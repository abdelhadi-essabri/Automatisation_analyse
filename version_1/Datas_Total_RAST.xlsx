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SAUV_ORDI1\THESE\Etude_FV_RAST\DATAS_Manip\manip_FV\"/>
    </mc:Choice>
  </mc:AlternateContent>
  <xr:revisionPtr revIDLastSave="0" documentId="13_ncr:1_{5B15F38D-E841-4508-AB5D-94DE8E14D0A2}" xr6:coauthVersionLast="47" xr6:coauthVersionMax="47" xr10:uidLastSave="{00000000-0000-0000-0000-000000000000}"/>
  <bookViews>
    <workbookView xWindow="-28920" yWindow="-120" windowWidth="29040" windowHeight="15840" xr2:uid="{06EB9689-9744-4FEF-BE40-4C003CAFFE46}"/>
  </bookViews>
  <sheets>
    <sheet name="Metadonnées" sheetId="10" r:id="rId1"/>
    <sheet name="Questionnaires" sheetId="9" r:id="rId2"/>
    <sheet name="Data_Sanguines" sheetId="8" r:id="rId3"/>
    <sheet name="RAST_FV" sheetId="23" r:id="rId4"/>
    <sheet name="RAST_PF" sheetId="24" r:id="rId5"/>
    <sheet name="CMJ" sheetId="15" r:id="rId6"/>
    <sheet name="SJ" sheetId="12" r:id="rId7"/>
    <sheet name="DJ PRE" sheetId="3" r:id="rId8"/>
    <sheet name="DJ POST" sheetId="4" r:id="rId9"/>
    <sheet name="VO2" sheetId="5" r:id="rId10"/>
    <sheet name="FV Ergometre" sheetId="6" r:id="rId11"/>
    <sheet name="cycle" sheetId="17" r:id="rId12"/>
  </sheets>
  <definedNames>
    <definedName name="_xlnm._FilterDatabase" localSheetId="0" hidden="1">Metadonnées!$J$1:$J$100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44" i="23" l="1"/>
  <c r="CX44" i="23"/>
  <c r="CY44" i="23"/>
  <c r="CZ44" i="23"/>
  <c r="CW45" i="23"/>
  <c r="CX45" i="23"/>
  <c r="CY45" i="23"/>
  <c r="CZ45" i="23"/>
  <c r="CW46" i="23"/>
  <c r="CX46" i="23"/>
  <c r="CY46" i="23"/>
  <c r="CZ46" i="23"/>
  <c r="CW47" i="23"/>
  <c r="CX47" i="23"/>
  <c r="CY47" i="23"/>
  <c r="CZ47" i="23"/>
  <c r="OD103" i="24"/>
  <c r="OD104" i="24"/>
  <c r="OD105" i="24"/>
  <c r="OD107" i="24"/>
  <c r="OD108" i="24"/>
  <c r="OD101" i="24"/>
  <c r="MO103" i="24"/>
  <c r="MO104" i="24"/>
  <c r="MO105" i="24"/>
  <c r="MO107" i="24"/>
  <c r="MO108" i="24"/>
  <c r="MO109" i="24"/>
  <c r="MO101" i="24"/>
  <c r="IY103" i="24"/>
  <c r="IY104" i="24"/>
  <c r="IY107" i="24"/>
  <c r="IY108" i="24"/>
  <c r="IY109" i="24"/>
  <c r="IY101" i="24"/>
  <c r="HI103" i="24"/>
  <c r="HI104" i="24"/>
  <c r="HI105" i="24"/>
  <c r="HI107" i="24"/>
  <c r="HI108" i="24"/>
  <c r="HI109" i="24"/>
  <c r="HI101" i="24"/>
  <c r="DS104" i="24"/>
  <c r="DS105" i="24"/>
  <c r="DS107" i="24"/>
  <c r="DS109" i="24"/>
  <c r="DS101" i="24"/>
  <c r="CD103" i="24"/>
  <c r="CD104" i="24"/>
  <c r="CD105" i="24"/>
  <c r="CD107" i="24"/>
  <c r="CD108" i="24"/>
  <c r="CD109" i="24"/>
  <c r="CD101" i="24"/>
  <c r="DA44" i="23"/>
  <c r="DB44" i="23"/>
  <c r="DA45" i="23"/>
  <c r="DB45" i="23"/>
  <c r="DA46" i="23"/>
  <c r="DB46" i="23"/>
  <c r="DA47" i="23"/>
  <c r="DB47" i="23"/>
  <c r="CW48" i="23"/>
  <c r="CX48" i="23"/>
  <c r="CY48" i="23"/>
  <c r="CZ48" i="23"/>
  <c r="DA48" i="23"/>
  <c r="DB48" i="23"/>
  <c r="DA101" i="23"/>
  <c r="DB101" i="23"/>
  <c r="DA102" i="23"/>
  <c r="DB102" i="23"/>
  <c r="DA103" i="23"/>
  <c r="DB103" i="23"/>
  <c r="DA104" i="23"/>
  <c r="DB104" i="23"/>
  <c r="DA105" i="23"/>
  <c r="DB105" i="23"/>
  <c r="DA106" i="23"/>
  <c r="DB106" i="23"/>
  <c r="DA107" i="23"/>
  <c r="DB107" i="23"/>
  <c r="DA108" i="23"/>
  <c r="DB108" i="23"/>
  <c r="DA109" i="23"/>
  <c r="DB109" i="23"/>
  <c r="CW101" i="23"/>
  <c r="CW102" i="23"/>
  <c r="CW103" i="23"/>
  <c r="CW104" i="23"/>
  <c r="CW105" i="23"/>
  <c r="CW106" i="23"/>
  <c r="CW107" i="23"/>
  <c r="CW108" i="23"/>
  <c r="CW109" i="23"/>
  <c r="CX108" i="23"/>
  <c r="CY108" i="23"/>
  <c r="CZ108" i="23"/>
  <c r="CX109" i="23"/>
  <c r="CY109" i="23"/>
  <c r="CZ109" i="23"/>
  <c r="CX101" i="23"/>
  <c r="CY101" i="23"/>
  <c r="CZ101" i="23"/>
  <c r="CX102" i="23"/>
  <c r="CY102" i="23"/>
  <c r="CZ102" i="23"/>
  <c r="CX103" i="23"/>
  <c r="CY103" i="23"/>
  <c r="CZ103" i="23"/>
  <c r="CX104" i="23"/>
  <c r="CY104" i="23"/>
  <c r="CZ104" i="23"/>
  <c r="CX105" i="23"/>
  <c r="CY105" i="23"/>
  <c r="CZ105" i="23"/>
  <c r="CX106" i="23"/>
  <c r="CY106" i="23"/>
  <c r="CZ106" i="23"/>
  <c r="CX107" i="23"/>
  <c r="CY107" i="23"/>
  <c r="CZ107" i="23"/>
  <c r="BH102" i="4"/>
  <c r="BH103" i="4"/>
  <c r="BH105" i="4"/>
  <c r="BH106" i="4"/>
  <c r="BH107" i="4"/>
  <c r="BH108" i="4"/>
  <c r="BH109" i="4"/>
  <c r="BH101" i="4"/>
  <c r="BC102" i="4"/>
  <c r="BC103" i="4"/>
  <c r="BC105" i="4"/>
  <c r="BC106" i="4"/>
  <c r="BC107" i="4"/>
  <c r="BC108" i="4"/>
  <c r="BC109" i="4"/>
  <c r="BC101" i="4"/>
  <c r="AX102" i="4"/>
  <c r="AX103" i="4"/>
  <c r="AX105" i="4"/>
  <c r="AX106" i="4"/>
  <c r="AX107" i="4"/>
  <c r="AX108" i="4"/>
  <c r="AX109" i="4"/>
  <c r="AX101" i="4"/>
  <c r="AI102" i="4"/>
  <c r="AI103" i="4"/>
  <c r="AI105" i="4"/>
  <c r="AI106" i="4"/>
  <c r="AI107" i="4"/>
  <c r="AI108" i="4"/>
  <c r="AI109" i="4"/>
  <c r="AI101" i="4"/>
  <c r="Z102" i="4"/>
  <c r="Z103" i="4"/>
  <c r="Z105" i="4"/>
  <c r="Z106" i="4"/>
  <c r="Z107" i="4"/>
  <c r="Z108" i="4"/>
  <c r="Z109" i="4"/>
  <c r="Z101" i="4"/>
  <c r="X102" i="4"/>
  <c r="X103" i="4"/>
  <c r="X105" i="4"/>
  <c r="X106" i="4"/>
  <c r="X107" i="4"/>
  <c r="X108" i="4"/>
  <c r="X109" i="4"/>
  <c r="X101" i="4"/>
  <c r="R102" i="4"/>
  <c r="R103" i="4"/>
  <c r="R105" i="4"/>
  <c r="R106" i="4"/>
  <c r="R107" i="4"/>
  <c r="R108" i="4"/>
  <c r="R109" i="4"/>
  <c r="R101" i="4"/>
  <c r="AU2" i="4"/>
  <c r="AU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CW49" i="23"/>
  <c r="CX49" i="23"/>
  <c r="CY49" i="23"/>
  <c r="CZ49" i="23"/>
  <c r="DA49" i="23"/>
  <c r="DB49" i="23"/>
  <c r="DB100" i="23"/>
  <c r="DA100" i="23"/>
  <c r="CZ100" i="23"/>
  <c r="CY100" i="23"/>
  <c r="CX100" i="23"/>
  <c r="CW100" i="23"/>
  <c r="DB99" i="23"/>
  <c r="DA99" i="23"/>
  <c r="CW99" i="23"/>
  <c r="DB98" i="23"/>
  <c r="DA98" i="23"/>
  <c r="CZ98" i="23"/>
  <c r="CY98" i="23"/>
  <c r="CX98" i="23"/>
  <c r="CW98" i="23"/>
  <c r="DB97" i="23"/>
  <c r="DA97" i="23"/>
  <c r="CZ97" i="23"/>
  <c r="CY97" i="23"/>
  <c r="CX97" i="23"/>
  <c r="CW97" i="23"/>
  <c r="DB96" i="23"/>
  <c r="DA96" i="23"/>
  <c r="CZ96" i="23"/>
  <c r="CY96" i="23"/>
  <c r="CX96" i="23"/>
  <c r="CW96" i="23"/>
  <c r="DB95" i="23"/>
  <c r="DA95" i="23"/>
  <c r="CZ95" i="23"/>
  <c r="CY95" i="23"/>
  <c r="CX95" i="23"/>
  <c r="CW95" i="23"/>
  <c r="DB94" i="23"/>
  <c r="DA94" i="23"/>
  <c r="CZ94" i="23"/>
  <c r="CY94" i="23"/>
  <c r="CX94" i="23"/>
  <c r="CW94" i="23"/>
  <c r="DB93" i="23"/>
  <c r="DA93" i="23"/>
  <c r="CZ93" i="23"/>
  <c r="CY93" i="23"/>
  <c r="CX93" i="23"/>
  <c r="CW93" i="23"/>
  <c r="DB92" i="23"/>
  <c r="DA92" i="23"/>
  <c r="CW92" i="23"/>
  <c r="DB91" i="23"/>
  <c r="DA91" i="23"/>
  <c r="CZ91" i="23"/>
  <c r="CY91" i="23"/>
  <c r="CX91" i="23"/>
  <c r="CW91" i="23"/>
  <c r="DB90" i="23"/>
  <c r="DA90" i="23"/>
  <c r="CZ90" i="23"/>
  <c r="CY90" i="23"/>
  <c r="CX90" i="23"/>
  <c r="CW90" i="23"/>
  <c r="DB89" i="23"/>
  <c r="DA89" i="23"/>
  <c r="CZ89" i="23"/>
  <c r="CY89" i="23"/>
  <c r="CX89" i="23"/>
  <c r="CW89" i="23"/>
  <c r="DB88" i="23"/>
  <c r="DA88" i="23"/>
  <c r="CW88" i="23"/>
  <c r="DB87" i="23"/>
  <c r="DA87" i="23"/>
  <c r="CZ87" i="23"/>
  <c r="CY87" i="23"/>
  <c r="CX87" i="23"/>
  <c r="CW87" i="23"/>
  <c r="DB86" i="23"/>
  <c r="DA86" i="23"/>
  <c r="CZ86" i="23"/>
  <c r="CY86" i="23"/>
  <c r="CX86" i="23"/>
  <c r="CW86" i="23"/>
  <c r="DB85" i="23"/>
  <c r="DA85" i="23"/>
  <c r="CZ85" i="23"/>
  <c r="CY85" i="23"/>
  <c r="CX85" i="23"/>
  <c r="CW85" i="23"/>
  <c r="DB84" i="23"/>
  <c r="DA84" i="23"/>
  <c r="CZ84" i="23"/>
  <c r="CY84" i="23"/>
  <c r="CX84" i="23"/>
  <c r="CW84" i="23"/>
  <c r="DB83" i="23"/>
  <c r="DA83" i="23"/>
  <c r="CZ83" i="23"/>
  <c r="CY83" i="23"/>
  <c r="CX83" i="23"/>
  <c r="CW83" i="23"/>
  <c r="DB82" i="23"/>
  <c r="DA82" i="23"/>
  <c r="CZ82" i="23"/>
  <c r="CY82" i="23"/>
  <c r="CX82" i="23"/>
  <c r="CW82" i="23"/>
  <c r="DB81" i="23"/>
  <c r="DA81" i="23"/>
  <c r="CZ81" i="23"/>
  <c r="CY81" i="23"/>
  <c r="CX81" i="23"/>
  <c r="CW81" i="23"/>
  <c r="DB80" i="23"/>
  <c r="DA80" i="23"/>
  <c r="CZ80" i="23"/>
  <c r="CY80" i="23"/>
  <c r="CX80" i="23"/>
  <c r="CW80" i="23"/>
  <c r="DB79" i="23"/>
  <c r="DA79" i="23"/>
  <c r="CZ79" i="23"/>
  <c r="CY79" i="23"/>
  <c r="CX79" i="23"/>
  <c r="CW79" i="23"/>
  <c r="DB78" i="23"/>
  <c r="DA78" i="23"/>
  <c r="CZ78" i="23"/>
  <c r="CY78" i="23"/>
  <c r="CX78" i="23"/>
  <c r="CW78" i="23"/>
  <c r="DB77" i="23"/>
  <c r="DA77" i="23"/>
  <c r="CZ77" i="23"/>
  <c r="CY77" i="23"/>
  <c r="CX77" i="23"/>
  <c r="CW77" i="23"/>
  <c r="DB76" i="23"/>
  <c r="DA76" i="23"/>
  <c r="CZ76" i="23"/>
  <c r="CY76" i="23"/>
  <c r="CX76" i="23"/>
  <c r="CW76" i="23"/>
  <c r="DB75" i="23"/>
  <c r="DA75" i="23"/>
  <c r="CZ75" i="23"/>
  <c r="CY75" i="23"/>
  <c r="CX75" i="23"/>
  <c r="CW75" i="23"/>
  <c r="DB74" i="23"/>
  <c r="DA74" i="23"/>
  <c r="CZ74" i="23"/>
  <c r="CY74" i="23"/>
  <c r="CX74" i="23"/>
  <c r="CW74" i="23"/>
  <c r="DB73" i="23"/>
  <c r="DA73" i="23"/>
  <c r="CZ73" i="23"/>
  <c r="CY73" i="23"/>
  <c r="CX73" i="23"/>
  <c r="CW73" i="23"/>
  <c r="DB72" i="23"/>
  <c r="DA72" i="23"/>
  <c r="CZ72" i="23"/>
  <c r="CY72" i="23"/>
  <c r="CX72" i="23"/>
  <c r="CW72" i="23"/>
  <c r="DB71" i="23"/>
  <c r="DA71" i="23"/>
  <c r="CZ71" i="23"/>
  <c r="CY71" i="23"/>
  <c r="CX71" i="23"/>
  <c r="CW71" i="23"/>
  <c r="DB70" i="23"/>
  <c r="DA70" i="23"/>
  <c r="CZ70" i="23"/>
  <c r="CY70" i="23"/>
  <c r="CX70" i="23"/>
  <c r="CW70" i="23"/>
  <c r="DB69" i="23"/>
  <c r="DA69" i="23"/>
  <c r="CZ69" i="23"/>
  <c r="CY69" i="23"/>
  <c r="CX69" i="23"/>
  <c r="CW69" i="23"/>
  <c r="DB68" i="23"/>
  <c r="DA68" i="23"/>
  <c r="CZ68" i="23"/>
  <c r="CY68" i="23"/>
  <c r="CX68" i="23"/>
  <c r="CW68" i="23"/>
  <c r="DB67" i="23"/>
  <c r="DA67" i="23"/>
  <c r="CZ67" i="23"/>
  <c r="CY67" i="23"/>
  <c r="CX67" i="23"/>
  <c r="CW67" i="23"/>
  <c r="DB66" i="23"/>
  <c r="DA66" i="23"/>
  <c r="CZ66" i="23"/>
  <c r="CY66" i="23"/>
  <c r="CX66" i="23"/>
  <c r="CW66" i="23"/>
  <c r="DB65" i="23"/>
  <c r="DA65" i="23"/>
  <c r="CZ65" i="23"/>
  <c r="CY65" i="23"/>
  <c r="CX65" i="23"/>
  <c r="CW65" i="23"/>
  <c r="DB64" i="23"/>
  <c r="DA64" i="23"/>
  <c r="CZ64" i="23"/>
  <c r="CY64" i="23"/>
  <c r="CX64" i="23"/>
  <c r="CW64" i="23"/>
  <c r="DB63" i="23"/>
  <c r="DA63" i="23"/>
  <c r="CZ63" i="23"/>
  <c r="CY63" i="23"/>
  <c r="CX63" i="23"/>
  <c r="CW63" i="23"/>
  <c r="DB62" i="23"/>
  <c r="DA62" i="23"/>
  <c r="CZ62" i="23"/>
  <c r="CY62" i="23"/>
  <c r="CX62" i="23"/>
  <c r="CW62" i="23"/>
  <c r="DB61" i="23"/>
  <c r="DA61" i="23"/>
  <c r="CZ61" i="23"/>
  <c r="CY61" i="23"/>
  <c r="CX61" i="23"/>
  <c r="CW61" i="23"/>
  <c r="DB60" i="23"/>
  <c r="DA60" i="23"/>
  <c r="CZ60" i="23"/>
  <c r="CY60" i="23"/>
  <c r="CX60" i="23"/>
  <c r="CW60" i="23"/>
  <c r="DB59" i="23"/>
  <c r="DA59" i="23"/>
  <c r="CZ59" i="23"/>
  <c r="CY59" i="23"/>
  <c r="CX59" i="23"/>
  <c r="CW59" i="23"/>
  <c r="DB58" i="23"/>
  <c r="DA58" i="23"/>
  <c r="CZ58" i="23"/>
  <c r="CY58" i="23"/>
  <c r="CX58" i="23"/>
  <c r="CW58" i="23"/>
  <c r="DB57" i="23"/>
  <c r="DA57" i="23"/>
  <c r="CZ57" i="23"/>
  <c r="CY57" i="23"/>
  <c r="CX57" i="23"/>
  <c r="CW57" i="23"/>
  <c r="DB56" i="23"/>
  <c r="DA56" i="23"/>
  <c r="CZ56" i="23"/>
  <c r="CY56" i="23"/>
  <c r="CX56" i="23"/>
  <c r="CW56" i="23"/>
  <c r="DB55" i="23"/>
  <c r="DA55" i="23"/>
  <c r="CZ55" i="23"/>
  <c r="CY55" i="23"/>
  <c r="CX55" i="23"/>
  <c r="CW55" i="23"/>
  <c r="DB54" i="23"/>
  <c r="DA54" i="23"/>
  <c r="CZ54" i="23"/>
  <c r="CY54" i="23"/>
  <c r="CX54" i="23"/>
  <c r="CW54" i="23"/>
  <c r="DB53" i="23"/>
  <c r="DA53" i="23"/>
  <c r="CZ53" i="23"/>
  <c r="CY53" i="23"/>
  <c r="CX53" i="23"/>
  <c r="CW53" i="23"/>
  <c r="DB52" i="23"/>
  <c r="DA52" i="23"/>
  <c r="CZ52" i="23"/>
  <c r="CY52" i="23"/>
  <c r="CX52" i="23"/>
  <c r="CW52" i="23"/>
  <c r="DB51" i="23"/>
  <c r="DA51" i="23"/>
  <c r="CZ51" i="23"/>
  <c r="CY51" i="23"/>
  <c r="CX51" i="23"/>
  <c r="CW51" i="23"/>
  <c r="DB50" i="23"/>
  <c r="DA50" i="23"/>
  <c r="CZ50" i="23"/>
  <c r="CY50" i="23"/>
  <c r="CX50" i="23"/>
  <c r="CW50" i="23"/>
  <c r="DB43" i="23"/>
  <c r="DA43" i="23"/>
  <c r="CZ43" i="23"/>
  <c r="CY43" i="23"/>
  <c r="CX43" i="23"/>
  <c r="CW43" i="23"/>
  <c r="DB42" i="23"/>
  <c r="DA42" i="23"/>
  <c r="CW42" i="23"/>
  <c r="DB41" i="23"/>
  <c r="DA41" i="23"/>
  <c r="CZ41" i="23"/>
  <c r="CY41" i="23"/>
  <c r="CX41" i="23"/>
  <c r="CW41" i="23"/>
  <c r="DB40" i="23"/>
  <c r="DA40" i="23"/>
  <c r="CZ40" i="23"/>
  <c r="CY40" i="23"/>
  <c r="CX40" i="23"/>
  <c r="CW40" i="23"/>
  <c r="DB39" i="23"/>
  <c r="DA39" i="23"/>
  <c r="CZ39" i="23"/>
  <c r="CY39" i="23"/>
  <c r="CX39" i="23"/>
  <c r="CW39" i="23"/>
  <c r="DB38" i="23"/>
  <c r="DA38" i="23"/>
  <c r="CZ38" i="23"/>
  <c r="CY38" i="23"/>
  <c r="CX38" i="23"/>
  <c r="CW38" i="23"/>
  <c r="DB37" i="23"/>
  <c r="DA37" i="23"/>
  <c r="CZ37" i="23"/>
  <c r="CY37" i="23"/>
  <c r="CX37" i="23"/>
  <c r="CW37" i="23"/>
  <c r="DB36" i="23"/>
  <c r="DA36" i="23"/>
  <c r="CZ36" i="23"/>
  <c r="CY36" i="23"/>
  <c r="CX36" i="23"/>
  <c r="CW36" i="23"/>
  <c r="DB35" i="23"/>
  <c r="DA35" i="23"/>
  <c r="CZ35" i="23"/>
  <c r="CY35" i="23"/>
  <c r="CX35" i="23"/>
  <c r="CW35" i="23"/>
  <c r="DB34" i="23"/>
  <c r="DA34" i="23"/>
  <c r="CZ34" i="23"/>
  <c r="CY34" i="23"/>
  <c r="CX34" i="23"/>
  <c r="CW34" i="23"/>
  <c r="DB33" i="23"/>
  <c r="DA33" i="23"/>
  <c r="CZ33" i="23"/>
  <c r="CY33" i="23"/>
  <c r="CX33" i="23"/>
  <c r="CW33" i="23"/>
  <c r="DB32" i="23"/>
  <c r="DA32" i="23"/>
  <c r="CZ32" i="23"/>
  <c r="CY32" i="23"/>
  <c r="CX32" i="23"/>
  <c r="CW32" i="23"/>
  <c r="DB31" i="23"/>
  <c r="DA31" i="23"/>
  <c r="CZ31" i="23"/>
  <c r="CY31" i="23"/>
  <c r="CX31" i="23"/>
  <c r="CW31" i="23"/>
  <c r="DB30" i="23"/>
  <c r="DA30" i="23"/>
  <c r="CZ30" i="23"/>
  <c r="CY30" i="23"/>
  <c r="CX30" i="23"/>
  <c r="CW30" i="23"/>
  <c r="DB29" i="23"/>
  <c r="DA29" i="23"/>
  <c r="CZ29" i="23"/>
  <c r="CY29" i="23"/>
  <c r="CX29" i="23"/>
  <c r="CW29" i="23"/>
  <c r="DB28" i="23"/>
  <c r="DA28" i="23"/>
  <c r="CZ28" i="23"/>
  <c r="CY28" i="23"/>
  <c r="CX28" i="23"/>
  <c r="CW28" i="23"/>
  <c r="DB27" i="23"/>
  <c r="DA27" i="23"/>
  <c r="CZ27" i="23"/>
  <c r="CY27" i="23"/>
  <c r="CX27" i="23"/>
  <c r="CW27" i="23"/>
  <c r="DB26" i="23"/>
  <c r="DA26" i="23"/>
  <c r="CZ26" i="23"/>
  <c r="CY26" i="23"/>
  <c r="CX26" i="23"/>
  <c r="CW26" i="23"/>
  <c r="DB25" i="23"/>
  <c r="DA25" i="23"/>
  <c r="CZ25" i="23"/>
  <c r="CY25" i="23"/>
  <c r="CX25" i="23"/>
  <c r="CW25" i="23"/>
  <c r="DB24" i="23"/>
  <c r="DA24" i="23"/>
  <c r="CZ24" i="23"/>
  <c r="CY24" i="23"/>
  <c r="CX24" i="23"/>
  <c r="CW24" i="23"/>
  <c r="DB23" i="23"/>
  <c r="DA23" i="23"/>
  <c r="CZ23" i="23"/>
  <c r="CY23" i="23"/>
  <c r="CX23" i="23"/>
  <c r="CW23" i="23"/>
  <c r="DB22" i="23"/>
  <c r="DA22" i="23"/>
  <c r="CZ22" i="23"/>
  <c r="CY22" i="23"/>
  <c r="CX22" i="23"/>
  <c r="CW22" i="23"/>
  <c r="DB21" i="23"/>
  <c r="DA21" i="23"/>
  <c r="CZ21" i="23"/>
  <c r="CY21" i="23"/>
  <c r="CX21" i="23"/>
  <c r="CW21" i="23"/>
  <c r="DB20" i="23"/>
  <c r="DA20" i="23"/>
  <c r="CZ20" i="23"/>
  <c r="CY20" i="23"/>
  <c r="CX20" i="23"/>
  <c r="CW20" i="23"/>
  <c r="DB19" i="23"/>
  <c r="DA19" i="23"/>
  <c r="CZ19" i="23"/>
  <c r="CY19" i="23"/>
  <c r="CX19" i="23"/>
  <c r="CW19" i="23"/>
  <c r="DB18" i="23"/>
  <c r="DA18" i="23"/>
  <c r="CZ18" i="23"/>
  <c r="CY18" i="23"/>
  <c r="CX18" i="23"/>
  <c r="CW18" i="23"/>
  <c r="DB17" i="23"/>
  <c r="DA17" i="23"/>
  <c r="CZ17" i="23"/>
  <c r="CY17" i="23"/>
  <c r="CX17" i="23"/>
  <c r="CW17" i="23"/>
  <c r="DB16" i="23"/>
  <c r="DA16" i="23"/>
  <c r="CZ16" i="23"/>
  <c r="CY16" i="23"/>
  <c r="CX16" i="23"/>
  <c r="CW16" i="23"/>
  <c r="DB15" i="23"/>
  <c r="DA15" i="23"/>
  <c r="CZ15" i="23"/>
  <c r="CY15" i="23"/>
  <c r="CX15" i="23"/>
  <c r="CW15" i="23"/>
  <c r="DB14" i="23"/>
  <c r="DA14" i="23"/>
  <c r="CZ14" i="23"/>
  <c r="CY14" i="23"/>
  <c r="CX14" i="23"/>
  <c r="CW14" i="23"/>
  <c r="DB13" i="23"/>
  <c r="DA13" i="23"/>
  <c r="CZ13" i="23"/>
  <c r="CY13" i="23"/>
  <c r="CX13" i="23"/>
  <c r="CW13" i="23"/>
  <c r="DB12" i="23"/>
  <c r="DA12" i="23"/>
  <c r="CZ12" i="23"/>
  <c r="CY12" i="23"/>
  <c r="CX12" i="23"/>
  <c r="CW12" i="23"/>
  <c r="DB11" i="23"/>
  <c r="DA11" i="23"/>
  <c r="CZ11" i="23"/>
  <c r="CY11" i="23"/>
  <c r="CX11" i="23"/>
  <c r="CW11" i="23"/>
  <c r="DB10" i="23"/>
  <c r="DA10" i="23"/>
  <c r="CZ10" i="23"/>
  <c r="CY10" i="23"/>
  <c r="CX10" i="23"/>
  <c r="CW10" i="23"/>
  <c r="DB9" i="23"/>
  <c r="DA9" i="23"/>
  <c r="CZ9" i="23"/>
  <c r="CY9" i="23"/>
  <c r="CX9" i="23"/>
  <c r="CW9" i="23"/>
  <c r="DB8" i="23"/>
  <c r="DA8" i="23"/>
  <c r="CZ8" i="23"/>
  <c r="CY8" i="23"/>
  <c r="CX8" i="23"/>
  <c r="CW8" i="23"/>
  <c r="DB7" i="23"/>
  <c r="DA7" i="23"/>
  <c r="CZ7" i="23"/>
  <c r="CY7" i="23"/>
  <c r="CX7" i="23"/>
  <c r="CW7" i="23"/>
  <c r="DB6" i="23"/>
  <c r="DA6" i="23"/>
  <c r="CZ6" i="23"/>
  <c r="CY6" i="23"/>
  <c r="CX6" i="23"/>
  <c r="CW6" i="23"/>
  <c r="DB5" i="23"/>
  <c r="DA5" i="23"/>
  <c r="CZ5" i="23"/>
  <c r="CY5" i="23"/>
  <c r="CX5" i="23"/>
  <c r="CW5" i="23"/>
  <c r="DB4" i="23"/>
  <c r="DA4" i="23"/>
  <c r="CZ4" i="23"/>
  <c r="CY4" i="23"/>
  <c r="CX4" i="23"/>
  <c r="CW4" i="23"/>
  <c r="DB3" i="23"/>
  <c r="DA3" i="23"/>
  <c r="CZ3" i="23"/>
  <c r="CY3" i="23"/>
  <c r="CX3" i="23"/>
  <c r="CW3" i="23"/>
  <c r="DB2" i="23"/>
  <c r="DA2" i="23"/>
  <c r="CZ2" i="23"/>
  <c r="CY2" i="23"/>
  <c r="CX2" i="23"/>
  <c r="CW2" i="23"/>
  <c r="R89" i="12"/>
  <c r="R90" i="12"/>
  <c r="R91" i="12"/>
  <c r="R92" i="12"/>
  <c r="R93" i="12"/>
  <c r="R94" i="12"/>
  <c r="R95" i="12"/>
  <c r="R96" i="12"/>
  <c r="R97" i="12"/>
  <c r="R98" i="12"/>
  <c r="R99" i="12"/>
  <c r="R100" i="12"/>
  <c r="R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88" i="12"/>
  <c r="R89" i="15"/>
  <c r="R90" i="15"/>
  <c r="R91" i="15"/>
  <c r="R92" i="15"/>
  <c r="R93" i="15"/>
  <c r="R94" i="15"/>
  <c r="R95" i="15"/>
  <c r="R96" i="15"/>
  <c r="R97" i="15"/>
  <c r="R98" i="15"/>
  <c r="R99" i="15"/>
  <c r="R100" i="15"/>
  <c r="R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88" i="15"/>
  <c r="BH90" i="4"/>
  <c r="BH91" i="4"/>
  <c r="BH92" i="4"/>
  <c r="BH93" i="4"/>
  <c r="BH94" i="4"/>
  <c r="BH95" i="4"/>
  <c r="BH96" i="4"/>
  <c r="BH97" i="4"/>
  <c r="BH98" i="4"/>
  <c r="BH99" i="4"/>
  <c r="BH100" i="4"/>
  <c r="BH89" i="4"/>
  <c r="BC90" i="4"/>
  <c r="BC91" i="4"/>
  <c r="BC92" i="4"/>
  <c r="BC93" i="4"/>
  <c r="BC94" i="4"/>
  <c r="BC95" i="4"/>
  <c r="BC96" i="4"/>
  <c r="BC97" i="4"/>
  <c r="BC98" i="4"/>
  <c r="BC99" i="4"/>
  <c r="BC100" i="4"/>
  <c r="BC89" i="4"/>
  <c r="AX90" i="4"/>
  <c r="AX91" i="4"/>
  <c r="AX92" i="4"/>
  <c r="AX93" i="4"/>
  <c r="AX94" i="4"/>
  <c r="AX95" i="4"/>
  <c r="AX96" i="4"/>
  <c r="AX97" i="4"/>
  <c r="AX98" i="4"/>
  <c r="AX99" i="4"/>
  <c r="AX100" i="4"/>
  <c r="AX89" i="4"/>
  <c r="AI90" i="4"/>
  <c r="AI91" i="4"/>
  <c r="AI92" i="4"/>
  <c r="AI93" i="4"/>
  <c r="AI94" i="4"/>
  <c r="AI95" i="4"/>
  <c r="AI96" i="4"/>
  <c r="AI97" i="4"/>
  <c r="AI98" i="4"/>
  <c r="AI99" i="4"/>
  <c r="AI100" i="4"/>
  <c r="AI89" i="4"/>
  <c r="Z90" i="4"/>
  <c r="Z91" i="4"/>
  <c r="Z92" i="4"/>
  <c r="Z93" i="4"/>
  <c r="Z94" i="4"/>
  <c r="Z95" i="4"/>
  <c r="Z96" i="4"/>
  <c r="Z97" i="4"/>
  <c r="Z98" i="4"/>
  <c r="Z99" i="4"/>
  <c r="Z100" i="4"/>
  <c r="Z89" i="4"/>
  <c r="X100" i="4"/>
  <c r="X90" i="4"/>
  <c r="X91" i="4"/>
  <c r="X92" i="4"/>
  <c r="X93" i="4"/>
  <c r="X94" i="4"/>
  <c r="X95" i="4"/>
  <c r="X96" i="4"/>
  <c r="X97" i="4"/>
  <c r="X98" i="4"/>
  <c r="X99" i="4"/>
  <c r="X89" i="4"/>
  <c r="R90" i="4"/>
  <c r="R91" i="4"/>
  <c r="R92" i="4"/>
  <c r="R93" i="4"/>
  <c r="R94" i="4"/>
  <c r="R95" i="4"/>
  <c r="R96" i="4"/>
  <c r="R97" i="4"/>
  <c r="R98" i="4"/>
  <c r="R99" i="4"/>
  <c r="R100" i="4"/>
  <c r="R89" i="4"/>
  <c r="BG100" i="3"/>
  <c r="BG99" i="3"/>
  <c r="BG98" i="3"/>
  <c r="BG97" i="3"/>
  <c r="BG96" i="3"/>
  <c r="BG95" i="3"/>
  <c r="BG94" i="3"/>
  <c r="BG93" i="3"/>
  <c r="BG92" i="3"/>
  <c r="BG91" i="3"/>
  <c r="BG90" i="3"/>
  <c r="BG89" i="3"/>
  <c r="BB90" i="3"/>
  <c r="BB91" i="3"/>
  <c r="BB92" i="3"/>
  <c r="BB93" i="3"/>
  <c r="BB94" i="3"/>
  <c r="BB95" i="3"/>
  <c r="BB96" i="3"/>
  <c r="BB97" i="3"/>
  <c r="BB98" i="3"/>
  <c r="BB99" i="3"/>
  <c r="BB100" i="3"/>
  <c r="BB89" i="3"/>
  <c r="AW90" i="3"/>
  <c r="AW91" i="3"/>
  <c r="AW92" i="3"/>
  <c r="AW93" i="3"/>
  <c r="AW94" i="3"/>
  <c r="AW95" i="3"/>
  <c r="AW96" i="3"/>
  <c r="AW97" i="3"/>
  <c r="AW98" i="3"/>
  <c r="AW99" i="3"/>
  <c r="AW100" i="3"/>
  <c r="AW89" i="3"/>
  <c r="AI90" i="3"/>
  <c r="AI91" i="3"/>
  <c r="AI92" i="3"/>
  <c r="AI93" i="3"/>
  <c r="AI94" i="3"/>
  <c r="AI95" i="3"/>
  <c r="AI96" i="3"/>
  <c r="AI97" i="3"/>
  <c r="AI98" i="3"/>
  <c r="AI99" i="3"/>
  <c r="AI100" i="3"/>
  <c r="AI89" i="3"/>
  <c r="Z90" i="3"/>
  <c r="Z91" i="3"/>
  <c r="Z92" i="3"/>
  <c r="Z93" i="3"/>
  <c r="Z94" i="3"/>
  <c r="Z95" i="3"/>
  <c r="Z96" i="3"/>
  <c r="Z97" i="3"/>
  <c r="Z98" i="3"/>
  <c r="Z99" i="3"/>
  <c r="Z100" i="3"/>
  <c r="Z89" i="3"/>
  <c r="X100" i="3"/>
  <c r="X90" i="3"/>
  <c r="X91" i="3"/>
  <c r="X92" i="3"/>
  <c r="X93" i="3"/>
  <c r="X94" i="3"/>
  <c r="X95" i="3"/>
  <c r="X96" i="3"/>
  <c r="X97" i="3"/>
  <c r="X98" i="3"/>
  <c r="X99" i="3"/>
  <c r="X89" i="3"/>
  <c r="R90" i="3"/>
  <c r="R91" i="3"/>
  <c r="R92" i="3"/>
  <c r="R93" i="3"/>
  <c r="R94" i="3"/>
  <c r="R95" i="3"/>
  <c r="R96" i="3"/>
  <c r="R97" i="3"/>
  <c r="R98" i="3"/>
  <c r="R99" i="3"/>
  <c r="R100" i="3"/>
  <c r="AK3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2" i="6"/>
  <c r="R4" i="12"/>
  <c r="R5" i="12"/>
  <c r="R6" i="12"/>
  <c r="R7" i="12"/>
  <c r="R8" i="12"/>
  <c r="R9" i="12"/>
  <c r="R10" i="12"/>
  <c r="R11" i="12"/>
  <c r="R12" i="12"/>
  <c r="R14" i="12"/>
  <c r="R15" i="12"/>
  <c r="R16" i="12"/>
  <c r="R19" i="12"/>
  <c r="R20" i="12"/>
  <c r="R21" i="12"/>
  <c r="R22" i="12"/>
  <c r="R24" i="12"/>
  <c r="R25" i="12"/>
  <c r="R26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3" i="12"/>
  <c r="R84" i="12"/>
  <c r="R85" i="12"/>
  <c r="R86" i="12"/>
  <c r="R87" i="12"/>
  <c r="R3" i="12"/>
  <c r="P4" i="12"/>
  <c r="P5" i="12"/>
  <c r="P6" i="12"/>
  <c r="P7" i="12"/>
  <c r="P8" i="12"/>
  <c r="P9" i="12"/>
  <c r="P10" i="12"/>
  <c r="P11" i="12"/>
  <c r="P12" i="12"/>
  <c r="P14" i="12"/>
  <c r="P15" i="12"/>
  <c r="P16" i="12"/>
  <c r="P19" i="12"/>
  <c r="P20" i="12"/>
  <c r="P21" i="12"/>
  <c r="P22" i="12"/>
  <c r="P24" i="12"/>
  <c r="P25" i="12"/>
  <c r="P26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3" i="12"/>
  <c r="P84" i="12"/>
  <c r="P85" i="12"/>
  <c r="P86" i="12"/>
  <c r="P87" i="12"/>
  <c r="P3" i="12"/>
  <c r="U2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</calcChain>
</file>

<file path=xl/sharedStrings.xml><?xml version="1.0" encoding="utf-8"?>
<sst xmlns="http://schemas.openxmlformats.org/spreadsheetml/2006/main" count="24269" uniqueCount="554">
  <si>
    <t>Sujets RAST</t>
  </si>
  <si>
    <t>Sujets Sauts</t>
  </si>
  <si>
    <t>Masse</t>
  </si>
  <si>
    <t>Taille</t>
  </si>
  <si>
    <t>Age</t>
  </si>
  <si>
    <t>J_Dominante</t>
  </si>
  <si>
    <t xml:space="preserve">Sexe </t>
  </si>
  <si>
    <t>T° piste</t>
  </si>
  <si>
    <t>Données i-stat sanguines</t>
  </si>
  <si>
    <t>pH_PR</t>
  </si>
  <si>
    <t>pH_PO</t>
  </si>
  <si>
    <t>BE.B_PR</t>
  </si>
  <si>
    <t>BE.B_PO</t>
  </si>
  <si>
    <t>HCO3_PR</t>
  </si>
  <si>
    <t>HCO3_PO</t>
  </si>
  <si>
    <t>Glu_PR</t>
  </si>
  <si>
    <t>Glu_PO</t>
  </si>
  <si>
    <t>Hct_PR</t>
  </si>
  <si>
    <t>Hct_PO</t>
  </si>
  <si>
    <t>Lactate</t>
  </si>
  <si>
    <t>Sensations subjectives</t>
  </si>
  <si>
    <t>Muscle_soreness_PR</t>
  </si>
  <si>
    <t>Muscle_soreness_POST</t>
  </si>
  <si>
    <t>Vmoy</t>
  </si>
  <si>
    <t>F0</t>
  </si>
  <si>
    <t>V0</t>
  </si>
  <si>
    <t xml:space="preserve">Pmax </t>
  </si>
  <si>
    <t>Temps 30m</t>
  </si>
  <si>
    <t>VMA</t>
  </si>
  <si>
    <t>Vmax</t>
  </si>
  <si>
    <t xml:space="preserve">058E3 </t>
  </si>
  <si>
    <t>03122</t>
  </si>
  <si>
    <t>D</t>
  </si>
  <si>
    <t>F</t>
  </si>
  <si>
    <t>NaN</t>
  </si>
  <si>
    <t>0279A</t>
  </si>
  <si>
    <t>02E37</t>
  </si>
  <si>
    <t>0E614</t>
  </si>
  <si>
    <t>0D9F9</t>
  </si>
  <si>
    <t>00581</t>
  </si>
  <si>
    <t>071F4</t>
  </si>
  <si>
    <t>0D262</t>
  </si>
  <si>
    <t>0C4D6</t>
  </si>
  <si>
    <t>0F346</t>
  </si>
  <si>
    <t>0D19E</t>
  </si>
  <si>
    <t>G</t>
  </si>
  <si>
    <t>0DAD5</t>
  </si>
  <si>
    <t>00DB6</t>
  </si>
  <si>
    <t>06BC9</t>
  </si>
  <si>
    <t>0E818</t>
  </si>
  <si>
    <t>0AEC9</t>
  </si>
  <si>
    <t>09AAF</t>
  </si>
  <si>
    <t>0A0BF</t>
  </si>
  <si>
    <t>0A615</t>
  </si>
  <si>
    <t>0E4F1</t>
  </si>
  <si>
    <t>0719B</t>
  </si>
  <si>
    <t>069EE</t>
  </si>
  <si>
    <t>0EF93</t>
  </si>
  <si>
    <t>036CD</t>
  </si>
  <si>
    <t>03044</t>
  </si>
  <si>
    <t>0F465</t>
  </si>
  <si>
    <t>0CC33</t>
  </si>
  <si>
    <t>05F21</t>
  </si>
  <si>
    <t>H</t>
  </si>
  <si>
    <t>0312D</t>
  </si>
  <si>
    <t>062CE</t>
  </si>
  <si>
    <t>046E4</t>
  </si>
  <si>
    <t>056EA</t>
  </si>
  <si>
    <t>0F226</t>
  </si>
  <si>
    <t>0C5B0</t>
  </si>
  <si>
    <t>099DF</t>
  </si>
  <si>
    <t>07BCC</t>
  </si>
  <si>
    <t>0DA43</t>
  </si>
  <si>
    <t>0DFF1</t>
  </si>
  <si>
    <t>0148C</t>
  </si>
  <si>
    <t>0681A</t>
  </si>
  <si>
    <t>0EE80</t>
  </si>
  <si>
    <t>0C212</t>
  </si>
  <si>
    <t>06CEB</t>
  </si>
  <si>
    <t>0CA77</t>
  </si>
  <si>
    <t>0A6A4</t>
  </si>
  <si>
    <t>0F175</t>
  </si>
  <si>
    <t>010BF</t>
  </si>
  <si>
    <t>0DF81</t>
  </si>
  <si>
    <t>08004</t>
  </si>
  <si>
    <t>01C7B</t>
  </si>
  <si>
    <t>070A9</t>
  </si>
  <si>
    <t>0CBCD</t>
  </si>
  <si>
    <t>0235D</t>
  </si>
  <si>
    <t>08DA0</t>
  </si>
  <si>
    <t>048CB</t>
  </si>
  <si>
    <t>0A6FA</t>
  </si>
  <si>
    <t>03AEF</t>
  </si>
  <si>
    <t>07C1F</t>
  </si>
  <si>
    <t>07E98</t>
  </si>
  <si>
    <t>0A938</t>
  </si>
  <si>
    <t>0CC5B</t>
  </si>
  <si>
    <t>01305</t>
  </si>
  <si>
    <t>03535</t>
  </si>
  <si>
    <t>0812F</t>
  </si>
  <si>
    <t>07174</t>
  </si>
  <si>
    <t>0DD41</t>
  </si>
  <si>
    <t>0C8C4</t>
  </si>
  <si>
    <t>0ED3D</t>
  </si>
  <si>
    <t>02311</t>
  </si>
  <si>
    <t>00F96</t>
  </si>
  <si>
    <t>02F5F</t>
  </si>
  <si>
    <t>05BD7</t>
  </si>
  <si>
    <t>02326</t>
  </si>
  <si>
    <t>0138F</t>
  </si>
  <si>
    <t>0A4CB</t>
  </si>
  <si>
    <t>0AC72</t>
  </si>
  <si>
    <t>NAN</t>
  </si>
  <si>
    <t>046E1</t>
  </si>
  <si>
    <t>0EB05</t>
  </si>
  <si>
    <t>02BDA</t>
  </si>
  <si>
    <t>04F49</t>
  </si>
  <si>
    <t>0D6B0</t>
  </si>
  <si>
    <t>0C740</t>
  </si>
  <si>
    <t>097A8</t>
  </si>
  <si>
    <t>042E0</t>
  </si>
  <si>
    <t>096FC</t>
  </si>
  <si>
    <t>0F833</t>
  </si>
  <si>
    <t>0F831</t>
  </si>
  <si>
    <t>00880</t>
  </si>
  <si>
    <t>00881</t>
  </si>
  <si>
    <t>Fmean_Y</t>
  </si>
  <si>
    <t>Fmean_X</t>
  </si>
  <si>
    <t>DCMz</t>
  </si>
  <si>
    <t>Kvert</t>
  </si>
  <si>
    <t>064EE</t>
  </si>
  <si>
    <t>Pic_Impact</t>
  </si>
  <si>
    <t>Temps_Pic_Impact</t>
  </si>
  <si>
    <t>Pic_Fmax</t>
  </si>
  <si>
    <t>Temps_Pic_Fmax</t>
  </si>
  <si>
    <t>LSI_Pic_Fmax</t>
  </si>
  <si>
    <t>LSI_Temps_Pic_Fmax</t>
  </si>
  <si>
    <t>LSI_Temps_Contact</t>
  </si>
  <si>
    <t>LSI_Kvert</t>
  </si>
  <si>
    <t>LSI_Pic_Impact</t>
  </si>
  <si>
    <t>Daatas DJ pre</t>
  </si>
  <si>
    <t>vto</t>
  </si>
  <si>
    <t>Pmax</t>
  </si>
  <si>
    <t>Test VO2 Tapis</t>
  </si>
  <si>
    <t xml:space="preserve"> SV1</t>
  </si>
  <si>
    <t xml:space="preserve">SV2 </t>
  </si>
  <si>
    <t>VO2max</t>
  </si>
  <si>
    <t>Fcmax</t>
  </si>
  <si>
    <t>SV1_%VMA</t>
  </si>
  <si>
    <t>SV1_FC</t>
  </si>
  <si>
    <t>SV1_%Fcmax</t>
  </si>
  <si>
    <t>SV1_%VO2max</t>
  </si>
  <si>
    <t>SV2_%VMA</t>
  </si>
  <si>
    <t>SV2_FC</t>
  </si>
  <si>
    <t>SV2_%Fcmax</t>
  </si>
  <si>
    <t>SV2_%VO2max</t>
  </si>
  <si>
    <t>Test FV_Jambes</t>
  </si>
  <si>
    <t>R2</t>
  </si>
  <si>
    <t>F0/kg</t>
  </si>
  <si>
    <t>Vmax_C0</t>
  </si>
  <si>
    <t>Pmax/kg</t>
  </si>
  <si>
    <t>RFD0-50_C0</t>
  </si>
  <si>
    <t>RFD0-75_C0</t>
  </si>
  <si>
    <t>RFD25-75_C0</t>
  </si>
  <si>
    <t>F0_Gauche</t>
  </si>
  <si>
    <t>F0_Droite</t>
  </si>
  <si>
    <t>Assym_F0</t>
  </si>
  <si>
    <t>V0_Gauche</t>
  </si>
  <si>
    <t>V0_Droite</t>
  </si>
  <si>
    <t>Assym_V0</t>
  </si>
  <si>
    <t>Pmax_Gauche</t>
  </si>
  <si>
    <t>Pmax_Droite</t>
  </si>
  <si>
    <t>Assym_Pmax</t>
  </si>
  <si>
    <t>Eff_pousse</t>
  </si>
  <si>
    <t>Eff_pousse_Gauche</t>
  </si>
  <si>
    <t>Eff_pousse_Droite</t>
  </si>
  <si>
    <t>F_Gauche_Pmax(%)</t>
  </si>
  <si>
    <t>F_Droite_Pmax(%)</t>
  </si>
  <si>
    <t>F_Gauche_Pmax(N)</t>
  </si>
  <si>
    <t>F_Droite_Pmax(N)</t>
  </si>
  <si>
    <t>Assym_Force_Pmax (%)</t>
  </si>
  <si>
    <t>Vopt</t>
  </si>
  <si>
    <t>Vopt_Gauche</t>
  </si>
  <si>
    <t>Vopt_Droite</t>
  </si>
  <si>
    <t xml:space="preserve">Assym_Vopt </t>
  </si>
  <si>
    <t>Assym_moy</t>
  </si>
  <si>
    <t>Hpo</t>
  </si>
  <si>
    <t>Vto</t>
  </si>
  <si>
    <t>RMSE</t>
  </si>
  <si>
    <t>R2_Gauche</t>
  </si>
  <si>
    <t>R2_Droite</t>
  </si>
  <si>
    <t>Fmax_Droite_X</t>
  </si>
  <si>
    <t>Fmax_Droite_Y</t>
  </si>
  <si>
    <t>Fmax_Gauche_X</t>
  </si>
  <si>
    <t>Fmax_Gauche_Y</t>
  </si>
  <si>
    <t>Fmean_Droite_X</t>
  </si>
  <si>
    <t>Fmean_Gauche_X</t>
  </si>
  <si>
    <t>Fmean_Droite_Y</t>
  </si>
  <si>
    <t>Fmean_Gauche_Y</t>
  </si>
  <si>
    <t>Datas DJ post</t>
  </si>
  <si>
    <t>0DC46</t>
  </si>
  <si>
    <t xml:space="preserve"> PFR</t>
  </si>
  <si>
    <t>hauteur saut 1</t>
  </si>
  <si>
    <t>hauteur saut 2</t>
  </si>
  <si>
    <t>Sforce tot</t>
  </si>
  <si>
    <t>Sforce D</t>
  </si>
  <si>
    <t>Sforce G</t>
  </si>
  <si>
    <t>Fmoy tot z</t>
  </si>
  <si>
    <t>Fmoy droite z</t>
  </si>
  <si>
    <t xml:space="preserve"> Fmoy gauche z</t>
  </si>
  <si>
    <t xml:space="preserve"> SI Fmoy z</t>
  </si>
  <si>
    <t xml:space="preserve"> v moy tot poussee</t>
  </si>
  <si>
    <t xml:space="preserve"> Pmoy tot</t>
  </si>
  <si>
    <t xml:space="preserve"> Fmax tot z</t>
  </si>
  <si>
    <t xml:space="preserve"> Fmax droite z</t>
  </si>
  <si>
    <t xml:space="preserve"> Fmax gauche z</t>
  </si>
  <si>
    <t xml:space="preserve"> SI Fmax z</t>
  </si>
  <si>
    <t>RFD tot 0a75</t>
  </si>
  <si>
    <t xml:space="preserve"> RSI tot 1</t>
  </si>
  <si>
    <t>RSI tot 2</t>
  </si>
  <si>
    <t>RSI tot vto</t>
  </si>
  <si>
    <t xml:space="preserve"> Pmax tot</t>
  </si>
  <si>
    <t xml:space="preserve"> v Pmax tot</t>
  </si>
  <si>
    <t xml:space="preserve"> F Pmax tot</t>
  </si>
  <si>
    <t xml:space="preserve"> retard impact</t>
  </si>
  <si>
    <t xml:space="preserve"> tps freinage tot</t>
  </si>
  <si>
    <t xml:space="preserve"> tps freinage D</t>
  </si>
  <si>
    <t xml:space="preserve"> tps freinage G</t>
  </si>
  <si>
    <t>SI tps freinage</t>
  </si>
  <si>
    <t xml:space="preserve"> tps poussee tot</t>
  </si>
  <si>
    <t xml:space="preserve"> tps poussee D</t>
  </si>
  <si>
    <t xml:space="preserve"> tps poussee G</t>
  </si>
  <si>
    <t xml:space="preserve"> SI tps poussee</t>
  </si>
  <si>
    <t xml:space="preserve"> tps vol</t>
  </si>
  <si>
    <t xml:space="preserve"> IPF tot</t>
  </si>
  <si>
    <t xml:space="preserve"> IPF D</t>
  </si>
  <si>
    <t xml:space="preserve"> IPF G</t>
  </si>
  <si>
    <t xml:space="preserve"> SI IPF</t>
  </si>
  <si>
    <t>F freinage tot</t>
  </si>
  <si>
    <t xml:space="preserve"> F freinage D</t>
  </si>
  <si>
    <t xml:space="preserve"> F freinage G</t>
  </si>
  <si>
    <t xml:space="preserve"> SI F freinage</t>
  </si>
  <si>
    <t xml:space="preserve"> F atterissage tot</t>
  </si>
  <si>
    <t xml:space="preserve"> F atterissage D</t>
  </si>
  <si>
    <t xml:space="preserve"> F atterissage G</t>
  </si>
  <si>
    <t>SI F atterissage</t>
  </si>
  <si>
    <t xml:space="preserve"> Fmax tot x</t>
  </si>
  <si>
    <t xml:space="preserve"> Fmax droite x</t>
  </si>
  <si>
    <t xml:space="preserve"> Fmax gauche x</t>
  </si>
  <si>
    <t xml:space="preserve"> SI Fmax x</t>
  </si>
  <si>
    <t xml:space="preserve"> Fmax tot y</t>
  </si>
  <si>
    <t xml:space="preserve"> Fmax droite y</t>
  </si>
  <si>
    <t xml:space="preserve"> Fmax gauche y</t>
  </si>
  <si>
    <t>SI Fmax y</t>
  </si>
  <si>
    <t xml:space="preserve"> Fmoy tot x</t>
  </si>
  <si>
    <t xml:space="preserve"> Fmoy droite x</t>
  </si>
  <si>
    <t xml:space="preserve"> Fmoy gauche x</t>
  </si>
  <si>
    <t xml:space="preserve"> SI Fmoy x</t>
  </si>
  <si>
    <t xml:space="preserve"> Fmoy tot y</t>
  </si>
  <si>
    <t xml:space="preserve"> Fmoy droite y</t>
  </si>
  <si>
    <t xml:space="preserve"> Fmoy gauche y</t>
  </si>
  <si>
    <t xml:space="preserve"> SI Fmoy y</t>
  </si>
  <si>
    <t>RatioF tot</t>
  </si>
  <si>
    <t xml:space="preserve"> RatioF D</t>
  </si>
  <si>
    <t xml:space="preserve"> RatioF G</t>
  </si>
  <si>
    <t xml:space="preserve"> RFD D 0a75</t>
  </si>
  <si>
    <t xml:space="preserve"> RFD G 0a75</t>
  </si>
  <si>
    <t xml:space="preserve"> SI RFD</t>
  </si>
  <si>
    <t>stiffness D dep abs</t>
  </si>
  <si>
    <t xml:space="preserve"> stiffness G dep abs</t>
  </si>
  <si>
    <t xml:space="preserve"> stiffness tot dep abs</t>
  </si>
  <si>
    <t xml:space="preserve"> stiffness D dep norm</t>
  </si>
  <si>
    <t xml:space="preserve"> stiffness G dep norm</t>
  </si>
  <si>
    <t xml:space="preserve"> stiffness tot dep norm</t>
  </si>
  <si>
    <t xml:space="preserve">  0.4257</t>
  </si>
  <si>
    <t>0.1998</t>
  </si>
  <si>
    <t xml:space="preserve"> 0.4111</t>
  </si>
  <si>
    <t>0.2018</t>
  </si>
  <si>
    <t>Force_Moyenne_z</t>
  </si>
  <si>
    <t>Force_Moyenne_z_kg</t>
  </si>
  <si>
    <t>Force_Moyenne_y</t>
  </si>
  <si>
    <t>Force_Moyenne_y_kg</t>
  </si>
  <si>
    <t>Force_Moyenne_tot</t>
  </si>
  <si>
    <t>Force_Moyenne_tot_kg</t>
  </si>
  <si>
    <t>Ratio_Force_y</t>
  </si>
  <si>
    <t>Ratio_Force_z</t>
  </si>
  <si>
    <t>LSI_Force_moyenne_z</t>
  </si>
  <si>
    <t>LSI_Ratio_Force_y</t>
  </si>
  <si>
    <t>LSI_Force_Y_Freinage_Moyenne</t>
  </si>
  <si>
    <t>LSI_Force_Y_Propulsion_Moyenne</t>
  </si>
  <si>
    <t>LSI_Ratio_Force_freinage_y</t>
  </si>
  <si>
    <t>LSI_Ratio_Force_propulsion_y</t>
  </si>
  <si>
    <t>Sprint1_Depart_Pas1</t>
  </si>
  <si>
    <t>Sprint1_Depart_Pas2</t>
  </si>
  <si>
    <t>Sprint1_Depart_Assymetries</t>
  </si>
  <si>
    <t>Sprint1_10m_Pas1</t>
  </si>
  <si>
    <t>Sprint1_10m_Pas2</t>
  </si>
  <si>
    <t>Sprint1_10m_Assymetries</t>
  </si>
  <si>
    <t>Sprint3_Depart_Pas1</t>
  </si>
  <si>
    <t>Sprint3_Depart_Pas2</t>
  </si>
  <si>
    <t>Sprint3_Depart_Assymetries</t>
  </si>
  <si>
    <t>Sprint3_10m_Pas1</t>
  </si>
  <si>
    <t>Sprint3_10m_Pas2</t>
  </si>
  <si>
    <t>Sprint3_10m_Assymetries</t>
  </si>
  <si>
    <t>Sprint5_Depart_Pas1</t>
  </si>
  <si>
    <t>Sprint5_Depart_Pas2</t>
  </si>
  <si>
    <t>Sprint5_Depart_Assymetries</t>
  </si>
  <si>
    <t>Sprint5_10m_Pas1</t>
  </si>
  <si>
    <t>Sprint5_10m_Pas2</t>
  </si>
  <si>
    <t>Sprint5_10m_Assymetries</t>
  </si>
  <si>
    <t>Fatigue_index_Temps</t>
  </si>
  <si>
    <t>Fatigue_index_F0</t>
  </si>
  <si>
    <t>Fatigue_index_V0</t>
  </si>
  <si>
    <t>Fatigue_index_Pmax</t>
  </si>
  <si>
    <t>Sdecc</t>
  </si>
  <si>
    <t xml:space="preserve">RPE1 </t>
  </si>
  <si>
    <t>RPE2</t>
  </si>
  <si>
    <t>RPE3</t>
  </si>
  <si>
    <t>RPE4</t>
  </si>
  <si>
    <t>RPE5</t>
  </si>
  <si>
    <t>RPE6</t>
  </si>
  <si>
    <t>Fatigue_Fatigue</t>
  </si>
  <si>
    <t>1_Sprint</t>
  </si>
  <si>
    <t>2_Sprint</t>
  </si>
  <si>
    <t>3_Sprint</t>
  </si>
  <si>
    <t>4_Sprint</t>
  </si>
  <si>
    <t>5_Sprint</t>
  </si>
  <si>
    <t>6_Sprint</t>
  </si>
  <si>
    <t>04FF2</t>
  </si>
  <si>
    <t>004F9</t>
  </si>
  <si>
    <t>03A60</t>
  </si>
  <si>
    <t>0A78F</t>
  </si>
  <si>
    <t>0EE8A</t>
  </si>
  <si>
    <t>0A289</t>
  </si>
  <si>
    <t>0E1D5</t>
  </si>
  <si>
    <t>03F44</t>
  </si>
  <si>
    <t>0482D</t>
  </si>
  <si>
    <t>05922</t>
  </si>
  <si>
    <t>08790</t>
  </si>
  <si>
    <t>0E245</t>
  </si>
  <si>
    <t>02C78</t>
  </si>
  <si>
    <t>03382</t>
  </si>
  <si>
    <t>06C31</t>
  </si>
  <si>
    <t>0075C</t>
  </si>
  <si>
    <t>0DB98</t>
  </si>
  <si>
    <t>0E6EF</t>
  </si>
  <si>
    <t>0960F</t>
  </si>
  <si>
    <t>085A9</t>
  </si>
  <si>
    <t xml:space="preserve"> </t>
  </si>
  <si>
    <t>085BD</t>
  </si>
  <si>
    <t>04FCC</t>
  </si>
  <si>
    <t>Ratio_Force_y_max</t>
  </si>
  <si>
    <t>Ratio_Force_z_max</t>
  </si>
  <si>
    <t>Fpropulsion_y</t>
  </si>
  <si>
    <t>Fpropulsion_z</t>
  </si>
  <si>
    <t>Ffreinage_y</t>
  </si>
  <si>
    <t>Ffreinage_z</t>
  </si>
  <si>
    <t>Trapz_Ffreinage_z</t>
  </si>
  <si>
    <t>Trapz_Fpropulsion_z</t>
  </si>
  <si>
    <t>tpo</t>
  </si>
  <si>
    <t>Ratio_Ffreinage_y</t>
  </si>
  <si>
    <t>Ratio_Fpropulsion_y</t>
  </si>
  <si>
    <t>Tcontact</t>
  </si>
  <si>
    <t>LSI_TempsContact</t>
  </si>
  <si>
    <t>Participant</t>
  </si>
  <si>
    <t>Pic_Fmax_kg</t>
  </si>
  <si>
    <t>Pic_Impact_kg</t>
  </si>
  <si>
    <t>Fpropulsion_y_kg</t>
  </si>
  <si>
    <t>Fpropulsion_z_kg</t>
  </si>
  <si>
    <t>Ffreinage_y_kg</t>
  </si>
  <si>
    <t>08D0B</t>
  </si>
  <si>
    <t>0C0CE</t>
  </si>
  <si>
    <t>024E5</t>
  </si>
  <si>
    <t>04778</t>
  </si>
  <si>
    <t>08A2D</t>
  </si>
  <si>
    <t>0165C</t>
  </si>
  <si>
    <t>0EF94</t>
  </si>
  <si>
    <t>0620E</t>
  </si>
  <si>
    <t>02899</t>
  </si>
  <si>
    <t>00ECB</t>
  </si>
  <si>
    <t>06A58</t>
  </si>
  <si>
    <t>0D0B8</t>
  </si>
  <si>
    <t>0EFD5</t>
  </si>
  <si>
    <t>05A21</t>
  </si>
  <si>
    <t>0B711</t>
  </si>
  <si>
    <t>09FEA</t>
  </si>
  <si>
    <t>0BE9E</t>
  </si>
  <si>
    <t>0F9B5</t>
  </si>
  <si>
    <t>0C4AC</t>
  </si>
  <si>
    <t>0D69E</t>
  </si>
  <si>
    <t>047C8</t>
  </si>
  <si>
    <t>0AA92</t>
  </si>
  <si>
    <t>0A8D3</t>
  </si>
  <si>
    <t>043E5</t>
  </si>
  <si>
    <t>086A8</t>
  </si>
  <si>
    <t>05A13</t>
  </si>
  <si>
    <t>0E59E</t>
  </si>
  <si>
    <t>0D115</t>
  </si>
  <si>
    <t>0024D</t>
  </si>
  <si>
    <t>0045D</t>
  </si>
  <si>
    <t>028C9</t>
  </si>
  <si>
    <t>0EC32</t>
  </si>
  <si>
    <t>0B84C</t>
  </si>
  <si>
    <t>4,,99</t>
  </si>
  <si>
    <t>08A7B</t>
  </si>
  <si>
    <t>Sprint3_Depart_Pas3</t>
  </si>
  <si>
    <t>Sprint3_10m_Pas3</t>
  </si>
  <si>
    <t>Sprint5_Depart_Pas3</t>
  </si>
  <si>
    <t>Sprint5_10m_Pas3</t>
  </si>
  <si>
    <t>Pmoy tot BM</t>
  </si>
  <si>
    <t xml:space="preserve"> Fmax tot z BM</t>
  </si>
  <si>
    <t xml:space="preserve"> Pmax tot BM</t>
  </si>
  <si>
    <t xml:space="preserve"> F atterissage tot BM</t>
  </si>
  <si>
    <t>Fmoy tot z BM</t>
  </si>
  <si>
    <t xml:space="preserve"> Pmoy tot BM</t>
  </si>
  <si>
    <t xml:space="preserve"> IPF tot BM</t>
  </si>
  <si>
    <t>F freinage tot BM</t>
  </si>
  <si>
    <t xml:space="preserve">F freinage tot </t>
  </si>
  <si>
    <t xml:space="preserve">Fmoy tot z </t>
  </si>
  <si>
    <t xml:space="preserve"> Pmoy tot </t>
  </si>
  <si>
    <t xml:space="preserve"> Fmax tot z </t>
  </si>
  <si>
    <t>IPF tot BM</t>
  </si>
  <si>
    <t>0C2E2</t>
  </si>
  <si>
    <t>0F45F</t>
  </si>
  <si>
    <t>04550</t>
  </si>
  <si>
    <t>06467</t>
  </si>
  <si>
    <t>090C4</t>
  </si>
  <si>
    <t>045CC</t>
  </si>
  <si>
    <t>0C98A</t>
  </si>
  <si>
    <t>00CE0</t>
  </si>
  <si>
    <t>09EB2</t>
  </si>
  <si>
    <t>09EBB</t>
  </si>
  <si>
    <t>08A1F</t>
  </si>
  <si>
    <t>04A6B</t>
  </si>
  <si>
    <t>03D89</t>
  </si>
  <si>
    <t>0DFE6</t>
  </si>
  <si>
    <t>06C87</t>
  </si>
  <si>
    <t>002DD</t>
  </si>
  <si>
    <t>027EA</t>
  </si>
  <si>
    <t>0C4CA</t>
  </si>
  <si>
    <t>0F73F</t>
  </si>
  <si>
    <t>001F0</t>
  </si>
  <si>
    <t>0FD9C</t>
  </si>
  <si>
    <t>01937</t>
  </si>
  <si>
    <t>Sprint1_Depart_Pas3</t>
  </si>
  <si>
    <t>Sprint1_10m_Pas3</t>
  </si>
  <si>
    <t>Datas SJ</t>
  </si>
  <si>
    <t xml:space="preserve">Fmoy </t>
  </si>
  <si>
    <t>Fmoy relatif</t>
  </si>
  <si>
    <t>Efficacité poussée</t>
  </si>
  <si>
    <t>Datas CMJ</t>
  </si>
  <si>
    <t xml:space="preserve">Vto </t>
  </si>
  <si>
    <t xml:space="preserve">Fmax </t>
  </si>
  <si>
    <t>04395</t>
  </si>
  <si>
    <t>Fmax BM</t>
  </si>
  <si>
    <t>Pmax BM</t>
  </si>
  <si>
    <t>F_Pmax BM</t>
  </si>
  <si>
    <t>Fmean tot</t>
  </si>
  <si>
    <t>Fmean tot BM</t>
  </si>
  <si>
    <t xml:space="preserve">Fmax tot </t>
  </si>
  <si>
    <t>Fmax tot BM</t>
  </si>
  <si>
    <t>Sport</t>
  </si>
  <si>
    <t>Basket</t>
  </si>
  <si>
    <t>Handball</t>
  </si>
  <si>
    <t>Tennis</t>
  </si>
  <si>
    <t>Athletisme</t>
  </si>
  <si>
    <t>Football</t>
  </si>
  <si>
    <t>Basketball</t>
  </si>
  <si>
    <t>Hauteur1</t>
  </si>
  <si>
    <t>Hauteur2</t>
  </si>
  <si>
    <t>0BEEA</t>
  </si>
  <si>
    <t>081EE</t>
  </si>
  <si>
    <t>0B491</t>
  </si>
  <si>
    <t>03755</t>
  </si>
  <si>
    <t>07968</t>
  </si>
  <si>
    <t>0E3FD</t>
  </si>
  <si>
    <t>0DBD9</t>
  </si>
  <si>
    <t>0FA8B</t>
  </si>
  <si>
    <t>0E4B5</t>
  </si>
  <si>
    <t>0535B</t>
  </si>
  <si>
    <t>0B852</t>
  </si>
  <si>
    <t>0168A</t>
  </si>
  <si>
    <t>00073</t>
  </si>
  <si>
    <t>0F903</t>
  </si>
  <si>
    <t>07382</t>
  </si>
  <si>
    <t>01878</t>
  </si>
  <si>
    <t>0D0DC</t>
  </si>
  <si>
    <t>0C4FC</t>
  </si>
  <si>
    <t>02FFA</t>
  </si>
  <si>
    <t>08EB0</t>
  </si>
  <si>
    <t>02D0D</t>
  </si>
  <si>
    <t>0022B</t>
  </si>
  <si>
    <t>09A6D</t>
  </si>
  <si>
    <t>0EA84</t>
  </si>
  <si>
    <t>0D156</t>
  </si>
  <si>
    <t>moy</t>
  </si>
  <si>
    <t>0706D</t>
  </si>
  <si>
    <t>Durée_cycle</t>
  </si>
  <si>
    <t xml:space="preserve">Regularite_cycle </t>
  </si>
  <si>
    <t>Duree_regles</t>
  </si>
  <si>
    <t>Contraceptif</t>
  </si>
  <si>
    <t>Phase_test</t>
  </si>
  <si>
    <t>Douleurs /10</t>
  </si>
  <si>
    <t>Fatigue /10</t>
  </si>
  <si>
    <t>Milieu lutéal</t>
  </si>
  <si>
    <t>Sensation baisse perf</t>
  </si>
  <si>
    <t>Oui</t>
  </si>
  <si>
    <t>Non</t>
  </si>
  <si>
    <t>Type implant</t>
  </si>
  <si>
    <t>X</t>
  </si>
  <si>
    <t>Implant</t>
  </si>
  <si>
    <t>Anneau Hormonal</t>
  </si>
  <si>
    <t>Pillule</t>
  </si>
  <si>
    <t>Ovulation</t>
  </si>
  <si>
    <t>DRF</t>
  </si>
  <si>
    <t>F0_kg</t>
  </si>
  <si>
    <t>Pmax_kg</t>
  </si>
  <si>
    <t>Pmoy</t>
  </si>
  <si>
    <t>ratio_force_mean</t>
  </si>
  <si>
    <t>ratio_force_max</t>
  </si>
  <si>
    <t>S_FV_kg</t>
  </si>
  <si>
    <t>Vitesse10m</t>
  </si>
  <si>
    <t>Tfreinage</t>
  </si>
  <si>
    <t>Tvol</t>
  </si>
  <si>
    <t>Vitesse_10m</t>
  </si>
  <si>
    <t>DCMy</t>
  </si>
  <si>
    <t>Ratio_Force_freinage_y_max</t>
  </si>
  <si>
    <t>Ratio_Force_propulsion_y_max</t>
  </si>
  <si>
    <t>Ffreinage_z/kg</t>
  </si>
  <si>
    <t>Acceleration_Y</t>
  </si>
  <si>
    <t>Vitesse_Y</t>
  </si>
  <si>
    <t>Ratio_Tpo_tc</t>
  </si>
  <si>
    <t>Tc</t>
  </si>
  <si>
    <t>Squash</t>
  </si>
  <si>
    <t>0E889</t>
  </si>
  <si>
    <t>01A38</t>
  </si>
  <si>
    <t>0D24A</t>
  </si>
  <si>
    <t>0A612</t>
  </si>
  <si>
    <t>067C9</t>
  </si>
  <si>
    <t>0BDC3</t>
  </si>
  <si>
    <t>0AA93</t>
  </si>
  <si>
    <t>01D12</t>
  </si>
  <si>
    <t>09502</t>
  </si>
  <si>
    <t>0D3DJ</t>
  </si>
  <si>
    <t>01F56</t>
  </si>
  <si>
    <t>0ECCB</t>
  </si>
  <si>
    <t>0F3DA</t>
  </si>
  <si>
    <t>0CCAB</t>
  </si>
  <si>
    <t>06038</t>
  </si>
  <si>
    <t>0344F</t>
  </si>
  <si>
    <t>07A2A</t>
  </si>
  <si>
    <t>0C701</t>
  </si>
  <si>
    <t>095D2</t>
  </si>
  <si>
    <t>0D3D5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</si>
</sst>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24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6" fillId="0" borderId="0"/>
    <xf numFmtId="0" fontId="2" fillId="0" borderId="0"/>
  </cellStyleXfs>
  <cellXfs count="76">
    <xf numFmtId="0" fontId="0" fillId="0" borderId="0" xfId="0"/>
    <xf numFmtId="49" fontId="3" fillId="4" borderId="1" xfId="0" applyNumberFormat="1" applyFont="1" applyFill="1" applyBorder="1" applyAlignment="1">
      <alignment horizontal="center" vertical="center"/>
    </xf>
    <xf numFmtId="0" fontId="4" fillId="0" borderId="0" xfId="0" applyFont="1"/>
    <xf numFmtId="2" fontId="3" fillId="4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4" borderId="1" xfId="0" applyNumberFormat="1" applyFont="1" applyFill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7" fillId="0" borderId="0" xfId="0" applyFont="1"/>
    <xf numFmtId="2" fontId="4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 vertical="center"/>
    </xf>
    <xf numFmtId="2" fontId="10" fillId="2" borderId="1" xfId="0" applyNumberFormat="1" applyFont="1" applyFill="1" applyBorder="1" applyAlignment="1">
      <alignment horizontal="center" vertical="center"/>
    </xf>
    <xf numFmtId="2" fontId="10" fillId="4" borderId="1" xfId="0" applyNumberFormat="1" applyFont="1" applyFill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2" fontId="10" fillId="6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/>
    </xf>
    <xf numFmtId="2" fontId="11" fillId="4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4" fillId="2" borderId="1" xfId="0" applyNumberFormat="1" applyFon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49" fontId="10" fillId="7" borderId="1" xfId="0" applyNumberFormat="1" applyFont="1" applyFill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2" fontId="6" fillId="3" borderId="0" xfId="0" applyNumberFormat="1" applyFont="1" applyFill="1" applyAlignment="1">
      <alignment vertical="center" textRotation="90"/>
    </xf>
    <xf numFmtId="0" fontId="12" fillId="4" borderId="3" xfId="0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3" fillId="6" borderId="11" xfId="0" applyNumberFormat="1" applyFont="1" applyFill="1" applyBorder="1" applyAlignment="1">
      <alignment horizontal="center" vertical="center"/>
    </xf>
    <xf numFmtId="2" fontId="3" fillId="5" borderId="1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5" fillId="2" borderId="12" xfId="0" applyNumberFormat="1" applyFont="1" applyFill="1" applyBorder="1" applyAlignment="1">
      <alignment horizontal="center" vertical="center"/>
    </xf>
    <xf numFmtId="2" fontId="4" fillId="2" borderId="12" xfId="0" applyNumberFormat="1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/>
    </xf>
    <xf numFmtId="0" fontId="14" fillId="0" borderId="0" xfId="0" applyFont="1"/>
    <xf numFmtId="49" fontId="15" fillId="4" borderId="1" xfId="0" applyNumberFormat="1" applyFon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6" fillId="3" borderId="10" xfId="0" applyNumberFormat="1" applyFont="1" applyFill="1" applyBorder="1" applyAlignment="1">
      <alignment horizontal="center" vertical="center" textRotation="90"/>
    </xf>
    <xf numFmtId="2" fontId="6" fillId="3" borderId="4" xfId="0" applyNumberFormat="1" applyFont="1" applyFill="1" applyBorder="1" applyAlignment="1">
      <alignment horizontal="center" vertical="center" textRotation="90"/>
    </xf>
    <xf numFmtId="2" fontId="6" fillId="3" borderId="0" xfId="0" applyNumberFormat="1" applyFont="1" applyFill="1" applyAlignment="1">
      <alignment horizontal="center" vertical="center" textRotation="90"/>
    </xf>
    <xf numFmtId="2" fontId="6" fillId="3" borderId="7" xfId="0" applyNumberFormat="1" applyFont="1" applyFill="1" applyBorder="1" applyAlignment="1">
      <alignment horizontal="center" vertical="center" textRotation="90"/>
    </xf>
    <xf numFmtId="2" fontId="6" fillId="3" borderId="2" xfId="0" applyNumberFormat="1" applyFont="1" applyFill="1" applyBorder="1" applyAlignment="1">
      <alignment horizontal="center" vertical="center" textRotation="90"/>
    </xf>
    <xf numFmtId="2" fontId="6" fillId="3" borderId="5" xfId="0" applyNumberFormat="1" applyFont="1" applyFill="1" applyBorder="1" applyAlignment="1">
      <alignment horizontal="center" vertical="center" textRotation="90"/>
    </xf>
    <xf numFmtId="2" fontId="6" fillId="3" borderId="8" xfId="0" applyNumberFormat="1" applyFont="1" applyFill="1" applyBorder="1" applyAlignment="1">
      <alignment horizontal="center" vertical="center" textRotation="90"/>
    </xf>
    <xf numFmtId="2" fontId="6" fillId="3" borderId="11" xfId="0" applyNumberFormat="1" applyFont="1" applyFill="1" applyBorder="1" applyAlignment="1">
      <alignment horizontal="center" vertical="center" textRotation="90"/>
    </xf>
    <xf numFmtId="2" fontId="6" fillId="3" borderId="1" xfId="0" applyNumberFormat="1" applyFont="1" applyFill="1" applyBorder="1" applyAlignment="1">
      <alignment horizontal="center" vertical="center" textRotation="90"/>
    </xf>
    <xf numFmtId="2" fontId="6" fillId="3" borderId="1" xfId="0" applyNumberFormat="1" applyFont="1" applyFill="1" applyBorder="1" applyAlignment="1">
      <alignment horizontal="center" textRotation="90"/>
    </xf>
    <xf numFmtId="2" fontId="6" fillId="3" borderId="12" xfId="0" applyNumberFormat="1" applyFont="1" applyFill="1" applyBorder="1" applyAlignment="1">
      <alignment horizontal="center" vertical="center" textRotation="90"/>
    </xf>
    <xf numFmtId="2" fontId="6" fillId="3" borderId="6" xfId="0" applyNumberFormat="1" applyFont="1" applyFill="1" applyBorder="1" applyAlignment="1">
      <alignment horizontal="center" vertical="center" textRotation="90"/>
    </xf>
    <xf numFmtId="2" fontId="6" fillId="3" borderId="9" xfId="0" applyNumberFormat="1" applyFont="1" applyFill="1" applyBorder="1" applyAlignment="1">
      <alignment horizontal="center" vertical="center" textRotation="90"/>
    </xf>
    <xf numFmtId="2" fontId="6" fillId="3" borderId="13" xfId="0" applyNumberFormat="1" applyFont="1" applyFill="1" applyBorder="1" applyAlignment="1">
      <alignment horizontal="center" vertical="center" textRotation="90"/>
    </xf>
    <xf numFmtId="2" fontId="6" fillId="3" borderId="14" xfId="0" applyNumberFormat="1" applyFont="1" applyFill="1" applyBorder="1" applyAlignment="1">
      <alignment horizontal="center" vertical="center" textRotation="90"/>
    </xf>
    <xf numFmtId="2" fontId="6" fillId="3" borderId="15" xfId="0" applyNumberFormat="1" applyFont="1" applyFill="1" applyBorder="1" applyAlignment="1">
      <alignment horizontal="center" vertical="center" textRotation="90"/>
    </xf>
    <xf numFmtId="0" fontId="17" fillId="0" borderId="0" xfId="0" applyFont="1"/>
    <xf numFmtId="49" fontId="3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FC6EA2CD-C62B-4C80-A981-D40DEEFC3653}"/>
    <cellStyle name="Normal 2 2" xfId="2" xr:uid="{2F9562F9-5656-4949-8210-3D25A6981B26}"/>
    <cellStyle name="Normal 2 2 2" xfId="3" xr:uid="{C457363F-4F5C-459D-BF95-370ED27B6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314FE-9CA9-4EAA-A131-BCFA7B4FFD4D}">
  <sheetPr codeName="Feuil9"/>
  <dimension ref="A1:J109"/>
  <sheetViews>
    <sheetView tabSelected="1" zoomScale="85" zoomScaleNormal="85" workbookViewId="0">
      <pane ySplit="1" topLeftCell="A81" activePane="bottomLeft" state="frozen"/>
      <selection pane="bottomLeft" activeCell="K97" sqref="K97"/>
    </sheetView>
  </sheetViews>
  <sheetFormatPr baseColWidth="10" defaultRowHeight="15" x14ac:dyDescent="0.25"/>
  <cols>
    <col min="10" max="10" width="11.42578125" style="2"/>
  </cols>
  <sheetData>
    <row r="1" spans="1:10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461</v>
      </c>
    </row>
    <row r="2" spans="1:10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12" t="s">
        <v>463</v>
      </c>
    </row>
    <row r="3" spans="1:10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12" t="s">
        <v>463</v>
      </c>
    </row>
    <row r="4" spans="1:10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12" t="s">
        <v>463</v>
      </c>
    </row>
    <row r="5" spans="1:10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12" t="s">
        <v>463</v>
      </c>
    </row>
    <row r="6" spans="1:10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12" t="s">
        <v>463</v>
      </c>
    </row>
    <row r="7" spans="1:10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12" t="s">
        <v>463</v>
      </c>
    </row>
    <row r="8" spans="1:10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12" t="s">
        <v>463</v>
      </c>
    </row>
    <row r="9" spans="1:10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12" t="s">
        <v>463</v>
      </c>
    </row>
    <row r="10" spans="1:10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12" t="s">
        <v>463</v>
      </c>
    </row>
    <row r="11" spans="1:10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12" t="s">
        <v>463</v>
      </c>
    </row>
    <row r="12" spans="1:10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12" t="s">
        <v>463</v>
      </c>
    </row>
    <row r="13" spans="1:10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12" t="s">
        <v>463</v>
      </c>
    </row>
    <row r="14" spans="1:10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12" t="s">
        <v>463</v>
      </c>
    </row>
    <row r="15" spans="1:10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12" t="s">
        <v>463</v>
      </c>
    </row>
    <row r="16" spans="1:10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11" t="s">
        <v>464</v>
      </c>
    </row>
    <row r="17" spans="1:10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12" t="s">
        <v>463</v>
      </c>
    </row>
    <row r="18" spans="1:10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12" t="s">
        <v>463</v>
      </c>
    </row>
    <row r="19" spans="1:10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12" t="s">
        <v>467</v>
      </c>
    </row>
    <row r="20" spans="1:10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12" t="s">
        <v>467</v>
      </c>
    </row>
    <row r="21" spans="1:10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12" t="s">
        <v>467</v>
      </c>
    </row>
    <row r="22" spans="1:10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12" t="s">
        <v>467</v>
      </c>
    </row>
    <row r="23" spans="1:10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12" t="s">
        <v>467</v>
      </c>
    </row>
    <row r="24" spans="1:10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12" t="s">
        <v>467</v>
      </c>
    </row>
    <row r="25" spans="1:10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12" t="s">
        <v>467</v>
      </c>
    </row>
    <row r="26" spans="1:10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12" t="s">
        <v>467</v>
      </c>
    </row>
    <row r="27" spans="1:10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12" t="s">
        <v>467</v>
      </c>
    </row>
    <row r="28" spans="1:10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12" t="s">
        <v>467</v>
      </c>
    </row>
    <row r="29" spans="1:10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12" t="s">
        <v>467</v>
      </c>
    </row>
    <row r="30" spans="1:10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12" t="s">
        <v>467</v>
      </c>
    </row>
    <row r="31" spans="1:10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12" t="s">
        <v>467</v>
      </c>
    </row>
    <row r="32" spans="1:10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12" t="s">
        <v>467</v>
      </c>
    </row>
    <row r="33" spans="1:10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12" t="s">
        <v>467</v>
      </c>
    </row>
    <row r="34" spans="1:10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12" t="s">
        <v>467</v>
      </c>
    </row>
    <row r="35" spans="1:10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12" t="s">
        <v>467</v>
      </c>
    </row>
    <row r="36" spans="1:10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12" t="s">
        <v>464</v>
      </c>
    </row>
    <row r="37" spans="1:10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12" t="s">
        <v>467</v>
      </c>
    </row>
    <row r="38" spans="1:10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12" t="s">
        <v>467</v>
      </c>
    </row>
    <row r="39" spans="1:10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12" t="s">
        <v>467</v>
      </c>
    </row>
    <row r="40" spans="1:10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12" t="s">
        <v>467</v>
      </c>
    </row>
    <row r="41" spans="1:10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12" t="s">
        <v>467</v>
      </c>
    </row>
    <row r="42" spans="1:10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12" t="s">
        <v>465</v>
      </c>
    </row>
    <row r="43" spans="1:10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12" t="s">
        <v>466</v>
      </c>
    </row>
    <row r="44" spans="1:10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12" t="s">
        <v>466</v>
      </c>
    </row>
    <row r="45" spans="1:10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12" t="s">
        <v>466</v>
      </c>
    </row>
    <row r="46" spans="1:10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12" t="s">
        <v>466</v>
      </c>
    </row>
    <row r="47" spans="1:10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12" t="s">
        <v>466</v>
      </c>
    </row>
    <row r="48" spans="1:10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12" t="s">
        <v>466</v>
      </c>
    </row>
    <row r="49" spans="1:10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12" t="s">
        <v>466</v>
      </c>
    </row>
    <row r="50" spans="1:10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12" t="s">
        <v>466</v>
      </c>
    </row>
    <row r="51" spans="1:10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12" t="s">
        <v>466</v>
      </c>
    </row>
    <row r="52" spans="1:10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12" t="s">
        <v>466</v>
      </c>
    </row>
    <row r="53" spans="1:10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12" t="s">
        <v>466</v>
      </c>
    </row>
    <row r="54" spans="1:10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12" t="s">
        <v>466</v>
      </c>
    </row>
    <row r="55" spans="1:10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12" t="s">
        <v>466</v>
      </c>
    </row>
    <row r="56" spans="1:10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12" t="s">
        <v>466</v>
      </c>
    </row>
    <row r="57" spans="1:10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12" t="s">
        <v>466</v>
      </c>
    </row>
    <row r="58" spans="1:10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12" t="s">
        <v>466</v>
      </c>
    </row>
    <row r="59" spans="1:10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12" t="s">
        <v>466</v>
      </c>
    </row>
    <row r="60" spans="1:10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12" t="s">
        <v>466</v>
      </c>
    </row>
    <row r="61" spans="1:10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12" t="s">
        <v>463</v>
      </c>
    </row>
    <row r="62" spans="1:10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12" t="s">
        <v>463</v>
      </c>
    </row>
    <row r="63" spans="1:10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12" t="s">
        <v>463</v>
      </c>
    </row>
    <row r="64" spans="1:10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12" t="s">
        <v>463</v>
      </c>
    </row>
    <row r="65" spans="1:10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12" t="s">
        <v>463</v>
      </c>
    </row>
    <row r="66" spans="1:10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12" t="s">
        <v>463</v>
      </c>
    </row>
    <row r="67" spans="1:10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12" t="s">
        <v>463</v>
      </c>
    </row>
    <row r="68" spans="1:10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12" t="s">
        <v>463</v>
      </c>
    </row>
    <row r="69" spans="1:10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12" t="s">
        <v>463</v>
      </c>
    </row>
    <row r="70" spans="1:10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12" t="s">
        <v>463</v>
      </c>
    </row>
    <row r="71" spans="1:10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12" t="s">
        <v>463</v>
      </c>
    </row>
    <row r="72" spans="1:10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12" t="s">
        <v>463</v>
      </c>
    </row>
    <row r="73" spans="1:10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12" t="s">
        <v>463</v>
      </c>
    </row>
    <row r="74" spans="1:10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12" t="s">
        <v>463</v>
      </c>
    </row>
    <row r="75" spans="1:10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12" t="s">
        <v>463</v>
      </c>
    </row>
    <row r="76" spans="1:10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12" t="s">
        <v>463</v>
      </c>
    </row>
    <row r="77" spans="1:10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12" t="s">
        <v>467</v>
      </c>
    </row>
    <row r="78" spans="1:10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12" t="s">
        <v>467</v>
      </c>
    </row>
    <row r="79" spans="1:10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12" t="s">
        <v>467</v>
      </c>
    </row>
    <row r="80" spans="1:10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12" t="s">
        <v>467</v>
      </c>
    </row>
    <row r="81" spans="1:10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12" t="s">
        <v>467</v>
      </c>
    </row>
    <row r="82" spans="1:10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12" t="s">
        <v>467</v>
      </c>
    </row>
    <row r="83" spans="1:10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12" t="s">
        <v>467</v>
      </c>
    </row>
    <row r="84" spans="1:10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12" t="s">
        <v>467</v>
      </c>
    </row>
    <row r="85" spans="1:10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12" t="s">
        <v>467</v>
      </c>
    </row>
    <row r="86" spans="1:10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12" t="s">
        <v>467</v>
      </c>
    </row>
    <row r="87" spans="1:10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12" t="s">
        <v>467</v>
      </c>
    </row>
    <row r="88" spans="1:10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12" t="s">
        <v>466</v>
      </c>
    </row>
    <row r="89" spans="1:10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12" t="s">
        <v>467</v>
      </c>
    </row>
    <row r="90" spans="1:10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12" t="s">
        <v>467</v>
      </c>
    </row>
    <row r="91" spans="1:10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12" t="s">
        <v>467</v>
      </c>
    </row>
    <row r="92" spans="1:10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12" t="s">
        <v>467</v>
      </c>
    </row>
    <row r="93" spans="1:10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12" t="s">
        <v>467</v>
      </c>
    </row>
    <row r="94" spans="1:10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12" t="s">
        <v>467</v>
      </c>
    </row>
    <row r="95" spans="1:10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12" t="s">
        <v>467</v>
      </c>
    </row>
    <row r="96" spans="1:10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12" t="s">
        <v>467</v>
      </c>
    </row>
    <row r="97" spans="1:10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12" t="s">
        <v>467</v>
      </c>
    </row>
    <row r="98" spans="1:10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12" t="s">
        <v>467</v>
      </c>
    </row>
    <row r="99" spans="1:10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12" t="s">
        <v>467</v>
      </c>
    </row>
    <row r="100" spans="1:10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12" t="s">
        <v>466</v>
      </c>
    </row>
    <row r="101" spans="1:10" ht="15.75" x14ac:dyDescent="0.25">
      <c r="A101" s="10">
        <v>100</v>
      </c>
      <c r="B101" s="56" t="s">
        <v>534</v>
      </c>
      <c r="C101" s="56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12" t="s">
        <v>533</v>
      </c>
    </row>
    <row r="102" spans="1:10" ht="15.75" x14ac:dyDescent="0.25">
      <c r="A102" s="10">
        <v>101</v>
      </c>
      <c r="B102" s="56" t="s">
        <v>536</v>
      </c>
      <c r="C102" s="56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12" t="s">
        <v>533</v>
      </c>
    </row>
    <row r="103" spans="1:10" ht="15.75" x14ac:dyDescent="0.25">
      <c r="A103" s="10">
        <v>102</v>
      </c>
      <c r="B103" s="56" t="s">
        <v>537</v>
      </c>
      <c r="C103" s="56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12" t="s">
        <v>533</v>
      </c>
    </row>
    <row r="104" spans="1:10" ht="15.75" x14ac:dyDescent="0.25">
      <c r="A104" s="10">
        <v>103</v>
      </c>
      <c r="B104" s="56" t="s">
        <v>538</v>
      </c>
      <c r="C104" s="56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12" t="s">
        <v>533</v>
      </c>
    </row>
    <row r="105" spans="1:10" ht="15.75" x14ac:dyDescent="0.25">
      <c r="A105" s="10">
        <v>104</v>
      </c>
      <c r="B105" s="56" t="s">
        <v>539</v>
      </c>
      <c r="C105" s="56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12" t="s">
        <v>533</v>
      </c>
    </row>
    <row r="106" spans="1:10" ht="15.75" x14ac:dyDescent="0.25">
      <c r="A106" s="10">
        <v>105</v>
      </c>
      <c r="B106" s="56" t="s">
        <v>540</v>
      </c>
      <c r="C106" s="56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12" t="s">
        <v>533</v>
      </c>
    </row>
    <row r="107" spans="1:10" ht="15.75" x14ac:dyDescent="0.25">
      <c r="A107" s="10">
        <v>106</v>
      </c>
      <c r="B107" s="56" t="s">
        <v>541</v>
      </c>
      <c r="C107" s="56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12" t="s">
        <v>533</v>
      </c>
    </row>
    <row r="108" spans="1:10" ht="15.75" x14ac:dyDescent="0.25">
      <c r="A108" s="10">
        <v>107</v>
      </c>
      <c r="B108" s="56" t="s">
        <v>552</v>
      </c>
      <c r="C108" s="56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12" t="s">
        <v>533</v>
      </c>
    </row>
    <row r="109" spans="1:10" ht="15.75" x14ac:dyDescent="0.25">
      <c r="A109" s="10">
        <v>108</v>
      </c>
      <c r="B109" s="56" t="s">
        <v>553</v>
      </c>
      <c r="C109" s="56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12" t="s">
        <v>533</v>
      </c>
    </row>
  </sheetData>
  <autoFilter ref="J1:J100" xr:uid="{FDD314FE-9CA9-4EAA-A131-BCFA7B4FFD4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09987-9F44-48D4-8584-565203874418}">
  <sheetPr codeName="Feuil2"/>
  <dimension ref="A1:R170"/>
  <sheetViews>
    <sheetView zoomScale="70" zoomScaleNormal="70" workbookViewId="0">
      <pane ySplit="1" topLeftCell="A11" activePane="bottomLeft" state="frozen"/>
      <selection pane="bottomLeft" activeCell="D57" sqref="D57"/>
    </sheetView>
  </sheetViews>
  <sheetFormatPr baseColWidth="10" defaultRowHeight="15" x14ac:dyDescent="0.25"/>
  <cols>
    <col min="1" max="1" width="16.7109375" style="7" bestFit="1" customWidth="1"/>
    <col min="2" max="3" width="22" style="7" bestFit="1" customWidth="1"/>
    <col min="4" max="4" width="63.42578125" style="7" bestFit="1" customWidth="1"/>
    <col min="5" max="5" width="10" style="7" bestFit="1" customWidth="1"/>
    <col min="6" max="6" width="8.7109375" style="7" bestFit="1" customWidth="1"/>
    <col min="7" max="7" width="18.85546875" style="7" bestFit="1" customWidth="1"/>
    <col min="8" max="8" width="10" style="7" bestFit="1" customWidth="1"/>
    <col min="9" max="9" width="10.85546875" style="7" bestFit="1" customWidth="1"/>
    <col min="10" max="10" width="12.85546875" style="7" bestFit="1" customWidth="1"/>
    <col min="11" max="11" width="29" style="7" bestFit="1" customWidth="1"/>
    <col min="12" max="12" width="32.28515625" style="7" bestFit="1" customWidth="1"/>
    <col min="13" max="13" width="12.140625" style="7" bestFit="1" customWidth="1"/>
    <col min="14" max="14" width="12.85546875" style="7" bestFit="1" customWidth="1"/>
    <col min="15" max="18" width="12.140625" style="7" bestFit="1" customWidth="1"/>
  </cols>
  <sheetData>
    <row r="1" spans="1:18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58" t="s">
        <v>20</v>
      </c>
      <c r="K1" s="13" t="s">
        <v>21</v>
      </c>
      <c r="L1" s="13" t="s">
        <v>22</v>
      </c>
      <c r="M1" s="13" t="s">
        <v>315</v>
      </c>
      <c r="N1" s="13" t="s">
        <v>316</v>
      </c>
      <c r="O1" s="13" t="s">
        <v>317</v>
      </c>
      <c r="P1" s="13" t="s">
        <v>318</v>
      </c>
      <c r="Q1" s="13" t="s">
        <v>319</v>
      </c>
      <c r="R1" s="13" t="s">
        <v>320</v>
      </c>
    </row>
    <row r="2" spans="1:18" s="18" customFormat="1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59"/>
      <c r="K2" s="8">
        <v>0</v>
      </c>
      <c r="L2" s="8">
        <v>5</v>
      </c>
      <c r="M2" s="8">
        <v>1</v>
      </c>
      <c r="N2" s="8">
        <v>2</v>
      </c>
      <c r="O2" s="8">
        <v>4</v>
      </c>
      <c r="P2" s="8">
        <v>7</v>
      </c>
      <c r="Q2" s="8">
        <v>8</v>
      </c>
      <c r="R2" s="8">
        <v>10</v>
      </c>
    </row>
    <row r="3" spans="1:18" s="18" customFormat="1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59"/>
      <c r="K3" s="6">
        <v>15</v>
      </c>
      <c r="L3" s="6">
        <v>16</v>
      </c>
      <c r="M3" s="6">
        <v>2</v>
      </c>
      <c r="N3" s="6">
        <v>3</v>
      </c>
      <c r="O3" s="6">
        <v>4</v>
      </c>
      <c r="P3" s="6">
        <v>6</v>
      </c>
      <c r="Q3" s="6">
        <v>8</v>
      </c>
      <c r="R3" s="6">
        <v>9</v>
      </c>
    </row>
    <row r="4" spans="1:18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59"/>
      <c r="K4" s="8">
        <v>0</v>
      </c>
      <c r="L4" s="8">
        <v>12</v>
      </c>
      <c r="M4" s="8">
        <v>2</v>
      </c>
      <c r="N4" s="8">
        <v>4</v>
      </c>
      <c r="O4" s="8">
        <v>4</v>
      </c>
      <c r="P4" s="8">
        <v>6</v>
      </c>
      <c r="Q4" s="8">
        <v>8</v>
      </c>
      <c r="R4" s="8">
        <v>10</v>
      </c>
    </row>
    <row r="5" spans="1:18" s="18" customFormat="1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59"/>
      <c r="K5" s="6">
        <v>14</v>
      </c>
      <c r="L5" s="6">
        <v>10</v>
      </c>
      <c r="M5" s="6">
        <v>2</v>
      </c>
      <c r="N5" s="6">
        <v>3</v>
      </c>
      <c r="O5" s="6">
        <v>4</v>
      </c>
      <c r="P5" s="6">
        <v>6</v>
      </c>
      <c r="Q5" s="6">
        <v>8</v>
      </c>
      <c r="R5" s="6">
        <v>10</v>
      </c>
    </row>
    <row r="6" spans="1:18" s="18" customFormat="1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59"/>
      <c r="K6" s="8">
        <v>12</v>
      </c>
      <c r="L6" s="8">
        <v>10</v>
      </c>
      <c r="M6" s="8">
        <v>3</v>
      </c>
      <c r="N6" s="8">
        <v>5</v>
      </c>
      <c r="O6" s="8">
        <v>5</v>
      </c>
      <c r="P6" s="8">
        <v>6</v>
      </c>
      <c r="Q6" s="8">
        <v>8</v>
      </c>
      <c r="R6" s="8">
        <v>10</v>
      </c>
    </row>
    <row r="7" spans="1:18" s="18" customFormat="1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59"/>
      <c r="K7" s="8">
        <v>8</v>
      </c>
      <c r="L7" s="8">
        <v>6</v>
      </c>
      <c r="M7" s="8">
        <v>2</v>
      </c>
      <c r="N7" s="8">
        <v>3</v>
      </c>
      <c r="O7" s="8">
        <v>4</v>
      </c>
      <c r="P7" s="8">
        <v>5</v>
      </c>
      <c r="Q7" s="8">
        <v>5</v>
      </c>
      <c r="R7" s="8">
        <v>6</v>
      </c>
    </row>
    <row r="8" spans="1:18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59"/>
      <c r="K8" s="16">
        <v>12</v>
      </c>
      <c r="L8" s="16">
        <v>15</v>
      </c>
      <c r="M8" s="6">
        <v>4</v>
      </c>
      <c r="N8" s="6">
        <v>5</v>
      </c>
      <c r="O8" s="6">
        <v>6</v>
      </c>
      <c r="P8" s="6">
        <v>6</v>
      </c>
      <c r="Q8" s="6">
        <v>7</v>
      </c>
      <c r="R8" s="6">
        <v>8</v>
      </c>
    </row>
    <row r="9" spans="1:18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59"/>
      <c r="K9" s="8">
        <v>1</v>
      </c>
      <c r="L9" s="8">
        <v>1</v>
      </c>
      <c r="M9" s="8">
        <v>3</v>
      </c>
      <c r="N9" s="8">
        <v>5</v>
      </c>
      <c r="O9" s="8">
        <v>6</v>
      </c>
      <c r="P9" s="8">
        <v>8</v>
      </c>
      <c r="Q9" s="8">
        <v>9</v>
      </c>
      <c r="R9" s="8">
        <v>10</v>
      </c>
    </row>
    <row r="10" spans="1:18" s="18" customFormat="1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59"/>
      <c r="K10" s="8">
        <v>4</v>
      </c>
      <c r="L10" s="8">
        <v>4</v>
      </c>
      <c r="M10" s="8">
        <v>3</v>
      </c>
      <c r="N10" s="8">
        <v>3</v>
      </c>
      <c r="O10" s="8">
        <v>5</v>
      </c>
      <c r="P10" s="8">
        <v>8</v>
      </c>
      <c r="Q10" s="8">
        <v>8</v>
      </c>
      <c r="R10" s="8">
        <v>10</v>
      </c>
    </row>
    <row r="11" spans="1:18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59"/>
      <c r="K11" s="8">
        <v>1</v>
      </c>
      <c r="L11" s="8">
        <v>12</v>
      </c>
      <c r="M11" s="8">
        <v>5</v>
      </c>
      <c r="N11" s="8">
        <v>5</v>
      </c>
      <c r="O11" s="8">
        <v>8</v>
      </c>
      <c r="P11" s="8">
        <v>8</v>
      </c>
      <c r="Q11" s="8">
        <v>8</v>
      </c>
      <c r="R11" s="8">
        <v>10</v>
      </c>
    </row>
    <row r="12" spans="1:18" s="18" customFormat="1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59"/>
      <c r="K12" s="8">
        <v>0</v>
      </c>
      <c r="L12" s="8">
        <v>2</v>
      </c>
      <c r="M12" s="8">
        <v>3</v>
      </c>
      <c r="N12" s="8">
        <v>4</v>
      </c>
      <c r="O12" s="8">
        <v>4</v>
      </c>
      <c r="P12" s="8">
        <v>5</v>
      </c>
      <c r="Q12" s="8">
        <v>6</v>
      </c>
      <c r="R12" s="8">
        <v>7</v>
      </c>
    </row>
    <row r="13" spans="1:18" s="18" customFormat="1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59"/>
      <c r="K13" s="8">
        <v>8</v>
      </c>
      <c r="L13" s="8">
        <v>10</v>
      </c>
      <c r="M13" s="8">
        <v>1</v>
      </c>
      <c r="N13" s="8">
        <v>3</v>
      </c>
      <c r="O13" s="8">
        <v>5</v>
      </c>
      <c r="P13" s="8">
        <v>7</v>
      </c>
      <c r="Q13" s="8">
        <v>9</v>
      </c>
      <c r="R13" s="8">
        <v>10</v>
      </c>
    </row>
    <row r="14" spans="1:18" s="18" customFormat="1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59"/>
      <c r="K14" s="8">
        <v>4</v>
      </c>
      <c r="L14" s="8">
        <v>5</v>
      </c>
      <c r="M14" s="8">
        <v>2</v>
      </c>
      <c r="N14" s="8">
        <v>2</v>
      </c>
      <c r="O14" s="8">
        <v>3</v>
      </c>
      <c r="P14" s="8">
        <v>6</v>
      </c>
      <c r="Q14" s="8">
        <v>6</v>
      </c>
      <c r="R14" s="8">
        <v>8</v>
      </c>
    </row>
    <row r="15" spans="1:18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59"/>
      <c r="K15" s="8">
        <v>4</v>
      </c>
      <c r="L15" s="8">
        <v>13</v>
      </c>
      <c r="M15" s="8">
        <v>2</v>
      </c>
      <c r="N15" s="8">
        <v>3</v>
      </c>
      <c r="O15" s="8">
        <v>4</v>
      </c>
      <c r="P15" s="8">
        <v>5</v>
      </c>
      <c r="Q15" s="8">
        <v>7</v>
      </c>
      <c r="R15" s="8">
        <v>9</v>
      </c>
    </row>
    <row r="16" spans="1:18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59"/>
      <c r="K16" s="6">
        <v>10</v>
      </c>
      <c r="L16" s="6">
        <v>16</v>
      </c>
      <c r="M16" s="6">
        <v>3</v>
      </c>
      <c r="N16" s="6">
        <v>4</v>
      </c>
      <c r="O16" s="6">
        <v>5</v>
      </c>
      <c r="P16" s="6">
        <v>5</v>
      </c>
      <c r="Q16" s="6">
        <v>6</v>
      </c>
      <c r="R16" s="6">
        <v>7</v>
      </c>
    </row>
    <row r="17" spans="1:18" s="18" customFormat="1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59"/>
      <c r="K17" s="6">
        <v>8</v>
      </c>
      <c r="L17" s="6">
        <v>8</v>
      </c>
      <c r="M17" s="6">
        <v>3</v>
      </c>
      <c r="N17" s="6">
        <v>5</v>
      </c>
      <c r="O17" s="6">
        <v>7</v>
      </c>
      <c r="P17" s="6">
        <v>9</v>
      </c>
      <c r="Q17" s="6">
        <v>9</v>
      </c>
      <c r="R17" s="6">
        <v>10</v>
      </c>
    </row>
    <row r="18" spans="1:18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59"/>
      <c r="K18" s="14">
        <v>12</v>
      </c>
      <c r="L18" s="14">
        <v>14</v>
      </c>
      <c r="M18" s="14">
        <v>3</v>
      </c>
      <c r="N18" s="14">
        <v>3</v>
      </c>
      <c r="O18" s="14">
        <v>4</v>
      </c>
      <c r="P18" s="14">
        <v>4</v>
      </c>
      <c r="Q18" s="14">
        <v>5</v>
      </c>
      <c r="R18" s="14">
        <v>8</v>
      </c>
    </row>
    <row r="19" spans="1:18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0"/>
      <c r="K19" s="8">
        <v>1</v>
      </c>
      <c r="L19" s="8">
        <v>1</v>
      </c>
      <c r="M19" s="8">
        <v>2</v>
      </c>
      <c r="N19" s="8">
        <v>3</v>
      </c>
      <c r="O19" s="8">
        <v>4</v>
      </c>
      <c r="P19" s="8">
        <v>4</v>
      </c>
      <c r="Q19" s="8">
        <v>7</v>
      </c>
      <c r="R19" s="8">
        <v>10</v>
      </c>
    </row>
    <row r="20" spans="1:18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0"/>
      <c r="K20" s="8">
        <v>2</v>
      </c>
      <c r="L20" s="8">
        <v>4</v>
      </c>
      <c r="M20" s="8">
        <v>2</v>
      </c>
      <c r="N20" s="8">
        <v>2</v>
      </c>
      <c r="O20" s="8">
        <v>4</v>
      </c>
      <c r="P20" s="8">
        <v>6</v>
      </c>
      <c r="Q20" s="8">
        <v>7</v>
      </c>
      <c r="R20" s="8">
        <v>10</v>
      </c>
    </row>
    <row r="21" spans="1:18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0"/>
      <c r="K21" s="8">
        <v>4</v>
      </c>
      <c r="L21" s="8">
        <v>6</v>
      </c>
      <c r="M21" s="8">
        <v>3</v>
      </c>
      <c r="N21" s="8">
        <v>3</v>
      </c>
      <c r="O21" s="8">
        <v>5</v>
      </c>
      <c r="P21" s="8">
        <v>8</v>
      </c>
      <c r="Q21" s="8">
        <v>9</v>
      </c>
      <c r="R21" s="8">
        <v>10</v>
      </c>
    </row>
    <row r="22" spans="1:18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0"/>
      <c r="K22" s="8">
        <v>4</v>
      </c>
      <c r="L22" s="8">
        <v>12</v>
      </c>
      <c r="M22" s="8">
        <v>1</v>
      </c>
      <c r="N22" s="8">
        <v>3</v>
      </c>
      <c r="O22" s="8">
        <v>5</v>
      </c>
      <c r="P22" s="8">
        <v>7</v>
      </c>
      <c r="Q22" s="8">
        <v>8</v>
      </c>
      <c r="R22" s="8">
        <v>10</v>
      </c>
    </row>
    <row r="23" spans="1:18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0"/>
      <c r="K23" s="8">
        <v>12</v>
      </c>
      <c r="L23" s="8">
        <v>14</v>
      </c>
      <c r="M23" s="8">
        <v>2</v>
      </c>
      <c r="N23" s="8">
        <v>4</v>
      </c>
      <c r="O23" s="8">
        <v>5</v>
      </c>
      <c r="P23" s="8">
        <v>6</v>
      </c>
      <c r="Q23" s="8">
        <v>7</v>
      </c>
      <c r="R23" s="8">
        <v>9</v>
      </c>
    </row>
    <row r="24" spans="1:18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0"/>
      <c r="K24" s="14">
        <v>2</v>
      </c>
      <c r="L24" s="14">
        <v>4</v>
      </c>
      <c r="M24" s="14">
        <v>4</v>
      </c>
      <c r="N24" s="14">
        <v>4</v>
      </c>
      <c r="O24" s="14">
        <v>5</v>
      </c>
      <c r="P24" s="14">
        <v>6</v>
      </c>
      <c r="Q24" s="14">
        <v>6</v>
      </c>
      <c r="R24" s="14">
        <v>8</v>
      </c>
    </row>
    <row r="25" spans="1:18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0"/>
      <c r="K25" s="8">
        <v>2</v>
      </c>
      <c r="L25" s="8">
        <v>2</v>
      </c>
      <c r="M25" s="8">
        <v>2</v>
      </c>
      <c r="N25" s="8">
        <v>2</v>
      </c>
      <c r="O25" s="8">
        <v>3</v>
      </c>
      <c r="P25" s="8">
        <v>5</v>
      </c>
      <c r="Q25" s="8">
        <v>6</v>
      </c>
      <c r="R25" s="8">
        <v>6</v>
      </c>
    </row>
    <row r="26" spans="1:18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0"/>
      <c r="K26" s="8">
        <v>3</v>
      </c>
      <c r="L26" s="8">
        <v>3</v>
      </c>
      <c r="M26" s="8">
        <v>3</v>
      </c>
      <c r="N26" s="8">
        <v>3</v>
      </c>
      <c r="O26" s="8">
        <v>4</v>
      </c>
      <c r="P26" s="8">
        <v>4</v>
      </c>
      <c r="Q26" s="8">
        <v>5</v>
      </c>
      <c r="R26" s="8">
        <v>6</v>
      </c>
    </row>
    <row r="27" spans="1:18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0"/>
      <c r="K27" s="8">
        <v>6</v>
      </c>
      <c r="L27" s="8">
        <v>6</v>
      </c>
      <c r="M27" s="8">
        <v>3</v>
      </c>
      <c r="N27" s="8">
        <v>4</v>
      </c>
      <c r="O27" s="8">
        <v>5</v>
      </c>
      <c r="P27" s="8">
        <v>6</v>
      </c>
      <c r="Q27" s="8">
        <v>7</v>
      </c>
      <c r="R27" s="8">
        <v>8</v>
      </c>
    </row>
    <row r="28" spans="1:18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0"/>
      <c r="K28" s="8">
        <v>2</v>
      </c>
      <c r="L28" s="8">
        <v>8</v>
      </c>
      <c r="M28" s="8">
        <v>4</v>
      </c>
      <c r="N28" s="8">
        <v>4</v>
      </c>
      <c r="O28" s="8">
        <v>5</v>
      </c>
      <c r="P28" s="8">
        <v>5</v>
      </c>
      <c r="Q28" s="8">
        <v>7</v>
      </c>
      <c r="R28" s="8">
        <v>8</v>
      </c>
    </row>
    <row r="29" spans="1:18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0"/>
      <c r="K29" s="8">
        <v>0</v>
      </c>
      <c r="L29" s="8">
        <v>4</v>
      </c>
      <c r="M29" s="8">
        <v>3</v>
      </c>
      <c r="N29" s="8">
        <v>4</v>
      </c>
      <c r="O29" s="8">
        <v>5</v>
      </c>
      <c r="P29" s="8">
        <v>6</v>
      </c>
      <c r="Q29" s="8">
        <v>6</v>
      </c>
      <c r="R29" s="8">
        <v>7</v>
      </c>
    </row>
    <row r="30" spans="1:18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0"/>
      <c r="K30" s="8">
        <v>0</v>
      </c>
      <c r="L30" s="8">
        <v>0</v>
      </c>
      <c r="M30" s="8">
        <v>2</v>
      </c>
      <c r="N30" s="8">
        <v>4</v>
      </c>
      <c r="O30" s="8">
        <v>5</v>
      </c>
      <c r="P30" s="8">
        <v>6</v>
      </c>
      <c r="Q30" s="8">
        <v>7</v>
      </c>
      <c r="R30" s="8">
        <v>8</v>
      </c>
    </row>
    <row r="31" spans="1:18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0"/>
      <c r="K31" s="8">
        <v>0</v>
      </c>
      <c r="L31" s="8">
        <v>4</v>
      </c>
      <c r="M31" s="8">
        <v>3</v>
      </c>
      <c r="N31" s="8">
        <v>4</v>
      </c>
      <c r="O31" s="8">
        <v>5</v>
      </c>
      <c r="P31" s="8">
        <v>7</v>
      </c>
      <c r="Q31" s="8">
        <v>8</v>
      </c>
      <c r="R31" s="8">
        <v>10</v>
      </c>
    </row>
    <row r="32" spans="1:18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0"/>
      <c r="K32" s="8">
        <v>0</v>
      </c>
      <c r="L32" s="8">
        <v>4</v>
      </c>
      <c r="M32" s="8">
        <v>4</v>
      </c>
      <c r="N32" s="8">
        <v>5</v>
      </c>
      <c r="O32" s="8">
        <v>7</v>
      </c>
      <c r="P32" s="8">
        <v>8</v>
      </c>
      <c r="Q32" s="8">
        <v>9</v>
      </c>
      <c r="R32" s="8">
        <v>10</v>
      </c>
    </row>
    <row r="33" spans="1:18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0"/>
      <c r="K33" s="8">
        <v>4</v>
      </c>
      <c r="L33" s="8">
        <v>6</v>
      </c>
      <c r="M33" s="8">
        <v>3</v>
      </c>
      <c r="N33" s="8">
        <v>3</v>
      </c>
      <c r="O33" s="8">
        <v>4</v>
      </c>
      <c r="P33" s="8">
        <v>4</v>
      </c>
      <c r="Q33" s="8">
        <v>4</v>
      </c>
      <c r="R33" s="8">
        <v>6</v>
      </c>
    </row>
    <row r="34" spans="1:18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0"/>
      <c r="K34" s="8">
        <v>2</v>
      </c>
      <c r="L34" s="8">
        <v>4</v>
      </c>
      <c r="M34" s="8">
        <v>2</v>
      </c>
      <c r="N34" s="8">
        <v>4</v>
      </c>
      <c r="O34" s="8">
        <v>4</v>
      </c>
      <c r="P34" s="8">
        <v>6</v>
      </c>
      <c r="Q34" s="8">
        <v>7</v>
      </c>
      <c r="R34" s="8">
        <v>9</v>
      </c>
    </row>
    <row r="35" spans="1:18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0"/>
      <c r="K35" s="8">
        <v>5</v>
      </c>
      <c r="L35" s="8">
        <v>5</v>
      </c>
      <c r="M35" s="8">
        <v>2</v>
      </c>
      <c r="N35" s="8">
        <v>3</v>
      </c>
      <c r="O35" s="8">
        <v>4</v>
      </c>
      <c r="P35" s="8">
        <v>4</v>
      </c>
      <c r="Q35" s="8">
        <v>5</v>
      </c>
      <c r="R35" s="8">
        <v>8</v>
      </c>
    </row>
    <row r="36" spans="1:18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0"/>
      <c r="K36" s="8">
        <v>0</v>
      </c>
      <c r="L36" s="8">
        <v>0</v>
      </c>
      <c r="M36" s="8">
        <v>3</v>
      </c>
      <c r="N36" s="8">
        <v>4</v>
      </c>
      <c r="O36" s="8">
        <v>5</v>
      </c>
      <c r="P36" s="8">
        <v>6</v>
      </c>
      <c r="Q36" s="8">
        <v>7</v>
      </c>
      <c r="R36" s="8">
        <v>8</v>
      </c>
    </row>
    <row r="37" spans="1:18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0"/>
      <c r="K37" s="8">
        <v>8</v>
      </c>
      <c r="L37" s="8">
        <v>6</v>
      </c>
      <c r="M37" s="8">
        <v>2</v>
      </c>
      <c r="N37" s="8">
        <v>2</v>
      </c>
      <c r="O37" s="8">
        <v>3</v>
      </c>
      <c r="P37" s="8">
        <v>4</v>
      </c>
      <c r="Q37" s="8">
        <v>5</v>
      </c>
      <c r="R37" s="8">
        <v>7</v>
      </c>
    </row>
    <row r="38" spans="1:18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0"/>
      <c r="K38" s="8">
        <v>8</v>
      </c>
      <c r="L38" s="8">
        <v>12</v>
      </c>
      <c r="M38" s="8">
        <v>2</v>
      </c>
      <c r="N38" s="8">
        <v>3</v>
      </c>
      <c r="O38" s="8">
        <v>3</v>
      </c>
      <c r="P38" s="8">
        <v>5</v>
      </c>
      <c r="Q38" s="8">
        <v>6</v>
      </c>
      <c r="R38" s="8">
        <v>7</v>
      </c>
    </row>
    <row r="39" spans="1:18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0"/>
      <c r="K39" s="8">
        <v>8</v>
      </c>
      <c r="L39" s="8">
        <v>10</v>
      </c>
      <c r="M39" s="8">
        <v>4</v>
      </c>
      <c r="N39" s="8">
        <v>4</v>
      </c>
      <c r="O39" s="8">
        <v>6</v>
      </c>
      <c r="P39" s="8">
        <v>7</v>
      </c>
      <c r="Q39" s="8">
        <v>8</v>
      </c>
      <c r="R39" s="8">
        <v>9</v>
      </c>
    </row>
    <row r="40" spans="1:18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0"/>
      <c r="K40" s="8">
        <v>4</v>
      </c>
      <c r="L40" s="8">
        <v>4</v>
      </c>
      <c r="M40" s="8">
        <v>2</v>
      </c>
      <c r="N40" s="8">
        <v>2</v>
      </c>
      <c r="O40" s="8">
        <v>3</v>
      </c>
      <c r="P40" s="8">
        <v>4</v>
      </c>
      <c r="Q40" s="8">
        <v>6</v>
      </c>
      <c r="R40" s="8">
        <v>8</v>
      </c>
    </row>
    <row r="41" spans="1:18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0"/>
      <c r="K41" s="8">
        <v>3.5</v>
      </c>
      <c r="L41" s="8">
        <v>8.5</v>
      </c>
      <c r="M41" s="8">
        <v>2</v>
      </c>
      <c r="N41" s="8">
        <v>3</v>
      </c>
      <c r="O41" s="8">
        <v>3</v>
      </c>
      <c r="P41" s="8">
        <v>5</v>
      </c>
      <c r="Q41" s="8">
        <v>5</v>
      </c>
      <c r="R41" s="8">
        <v>6</v>
      </c>
    </row>
    <row r="42" spans="1:18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0"/>
      <c r="K42" s="8">
        <v>4</v>
      </c>
      <c r="L42" s="8">
        <v>6</v>
      </c>
      <c r="M42" s="8">
        <v>1</v>
      </c>
      <c r="N42" s="8">
        <v>2</v>
      </c>
      <c r="O42" s="8">
        <v>4</v>
      </c>
      <c r="P42" s="8">
        <v>6</v>
      </c>
      <c r="Q42" s="8">
        <v>7</v>
      </c>
      <c r="R42" s="8">
        <v>8</v>
      </c>
    </row>
    <row r="43" spans="1:18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0"/>
      <c r="K43" s="8">
        <v>0.5</v>
      </c>
      <c r="L43" s="8">
        <v>2</v>
      </c>
      <c r="M43" s="8">
        <v>2</v>
      </c>
      <c r="N43" s="8">
        <v>4</v>
      </c>
      <c r="O43" s="8">
        <v>7</v>
      </c>
      <c r="P43" s="8">
        <v>9</v>
      </c>
      <c r="Q43" s="8">
        <v>10</v>
      </c>
      <c r="R43" s="8">
        <v>10</v>
      </c>
    </row>
    <row r="44" spans="1:18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0"/>
      <c r="K44" s="8">
        <v>2</v>
      </c>
      <c r="L44" s="8">
        <v>6</v>
      </c>
      <c r="M44" s="8">
        <v>2</v>
      </c>
      <c r="N44" s="8">
        <v>2</v>
      </c>
      <c r="O44" s="8">
        <v>5</v>
      </c>
      <c r="P44" s="8">
        <v>6</v>
      </c>
      <c r="Q44" s="8">
        <v>7</v>
      </c>
      <c r="R44" s="8">
        <v>9</v>
      </c>
    </row>
    <row r="45" spans="1:18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0"/>
      <c r="K45" s="8">
        <v>5</v>
      </c>
      <c r="L45" s="8">
        <v>5</v>
      </c>
      <c r="M45" s="8">
        <v>1</v>
      </c>
      <c r="N45" s="8">
        <v>3</v>
      </c>
      <c r="O45" s="8">
        <v>4</v>
      </c>
      <c r="P45" s="8">
        <v>5</v>
      </c>
      <c r="Q45" s="8">
        <v>7</v>
      </c>
      <c r="R45" s="8">
        <v>9</v>
      </c>
    </row>
    <row r="46" spans="1:18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0"/>
      <c r="K46" s="8">
        <v>1</v>
      </c>
      <c r="L46" s="8">
        <v>2</v>
      </c>
      <c r="M46" s="8">
        <v>3</v>
      </c>
      <c r="N46" s="8">
        <v>4</v>
      </c>
      <c r="O46" s="8">
        <v>5</v>
      </c>
      <c r="P46" s="8">
        <v>7</v>
      </c>
      <c r="Q46" s="8">
        <v>9</v>
      </c>
      <c r="R46" s="8">
        <v>10</v>
      </c>
    </row>
    <row r="47" spans="1:18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0"/>
      <c r="K47" s="8">
        <v>5</v>
      </c>
      <c r="L47" s="8">
        <v>5</v>
      </c>
      <c r="M47" s="8">
        <v>2</v>
      </c>
      <c r="N47" s="8">
        <v>2</v>
      </c>
      <c r="O47" s="8">
        <v>4</v>
      </c>
      <c r="P47" s="8">
        <v>5</v>
      </c>
      <c r="Q47" s="8">
        <v>7</v>
      </c>
      <c r="R47" s="8">
        <v>9</v>
      </c>
    </row>
    <row r="48" spans="1:18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0"/>
      <c r="K48" s="8">
        <v>2</v>
      </c>
      <c r="L48" s="8">
        <v>5</v>
      </c>
      <c r="M48" s="8">
        <v>1</v>
      </c>
      <c r="N48" s="8">
        <v>2</v>
      </c>
      <c r="O48" s="8">
        <v>3</v>
      </c>
      <c r="P48" s="8">
        <v>4</v>
      </c>
      <c r="Q48" s="8">
        <v>7</v>
      </c>
      <c r="R48" s="8">
        <v>8</v>
      </c>
    </row>
    <row r="49" spans="1:18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0"/>
      <c r="K49" s="8">
        <v>2</v>
      </c>
      <c r="L49" s="8">
        <v>4</v>
      </c>
      <c r="M49" s="8">
        <v>2</v>
      </c>
      <c r="N49" s="8">
        <v>3</v>
      </c>
      <c r="O49" s="8">
        <v>4</v>
      </c>
      <c r="P49" s="8">
        <v>5</v>
      </c>
      <c r="Q49" s="8">
        <v>5</v>
      </c>
      <c r="R49" s="8">
        <v>5</v>
      </c>
    </row>
    <row r="50" spans="1:18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0"/>
      <c r="K50" s="8">
        <v>0</v>
      </c>
      <c r="L50" s="8">
        <v>2</v>
      </c>
      <c r="M50" s="8">
        <v>1</v>
      </c>
      <c r="N50" s="8">
        <v>3</v>
      </c>
      <c r="O50" s="8">
        <v>5</v>
      </c>
      <c r="P50" s="8">
        <v>7</v>
      </c>
      <c r="Q50" s="8">
        <v>8</v>
      </c>
      <c r="R50" s="8">
        <v>10</v>
      </c>
    </row>
    <row r="51" spans="1:18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59"/>
      <c r="K51" s="8">
        <v>2</v>
      </c>
      <c r="L51" s="8">
        <v>5</v>
      </c>
      <c r="M51" s="8">
        <v>2</v>
      </c>
      <c r="N51" s="8">
        <v>3</v>
      </c>
      <c r="O51" s="8">
        <v>5</v>
      </c>
      <c r="P51" s="8">
        <v>7</v>
      </c>
      <c r="Q51" s="8">
        <v>7</v>
      </c>
      <c r="R51" s="8">
        <v>9</v>
      </c>
    </row>
    <row r="52" spans="1:18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59"/>
      <c r="K52" s="8">
        <v>4</v>
      </c>
      <c r="L52" s="8">
        <v>4</v>
      </c>
      <c r="M52" s="8">
        <v>2</v>
      </c>
      <c r="N52" s="8">
        <v>3</v>
      </c>
      <c r="O52" s="8">
        <v>3</v>
      </c>
      <c r="P52" s="8">
        <v>4</v>
      </c>
      <c r="Q52" s="8">
        <v>6</v>
      </c>
      <c r="R52" s="8">
        <v>7</v>
      </c>
    </row>
    <row r="53" spans="1:18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59"/>
      <c r="K53" s="8">
        <v>0</v>
      </c>
      <c r="L53" s="8">
        <v>1</v>
      </c>
      <c r="M53" s="8">
        <v>3</v>
      </c>
      <c r="N53" s="8">
        <v>3</v>
      </c>
      <c r="O53" s="8">
        <v>4</v>
      </c>
      <c r="P53" s="8">
        <v>5</v>
      </c>
      <c r="Q53" s="8">
        <v>5</v>
      </c>
      <c r="R53" s="8">
        <v>7</v>
      </c>
    </row>
    <row r="54" spans="1:18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59"/>
      <c r="K54" s="8">
        <v>5</v>
      </c>
      <c r="L54" s="8">
        <v>6</v>
      </c>
      <c r="M54" s="8">
        <v>2</v>
      </c>
      <c r="N54" s="8">
        <v>2</v>
      </c>
      <c r="O54" s="8">
        <v>3</v>
      </c>
      <c r="P54" s="8">
        <v>3</v>
      </c>
      <c r="Q54" s="8">
        <v>3</v>
      </c>
      <c r="R54" s="8">
        <v>5</v>
      </c>
    </row>
    <row r="55" spans="1:18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59"/>
      <c r="K55" s="8">
        <v>1</v>
      </c>
      <c r="L55" s="8">
        <v>2</v>
      </c>
      <c r="M55" s="8">
        <v>5</v>
      </c>
      <c r="N55" s="8">
        <v>6</v>
      </c>
      <c r="O55" s="8">
        <v>7</v>
      </c>
      <c r="P55" s="8">
        <v>7</v>
      </c>
      <c r="Q55" s="8">
        <v>8</v>
      </c>
      <c r="R55" s="8">
        <v>8</v>
      </c>
    </row>
    <row r="56" spans="1:18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59"/>
      <c r="K56" s="8">
        <v>5</v>
      </c>
      <c r="L56" s="8">
        <v>5</v>
      </c>
      <c r="M56" s="8">
        <v>3</v>
      </c>
      <c r="N56" s="8">
        <v>5</v>
      </c>
      <c r="O56" s="8">
        <v>6</v>
      </c>
      <c r="P56" s="8">
        <v>6</v>
      </c>
      <c r="Q56" s="8">
        <v>7</v>
      </c>
      <c r="R56" s="8">
        <v>8</v>
      </c>
    </row>
    <row r="57" spans="1:18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59"/>
      <c r="K57" s="8">
        <v>4</v>
      </c>
      <c r="L57" s="8">
        <v>3</v>
      </c>
      <c r="M57" s="8">
        <v>2</v>
      </c>
      <c r="N57" s="8">
        <v>3</v>
      </c>
      <c r="O57" s="8">
        <v>5</v>
      </c>
      <c r="P57" s="8">
        <v>4</v>
      </c>
      <c r="Q57" s="8">
        <v>7</v>
      </c>
      <c r="R57" s="8">
        <v>7</v>
      </c>
    </row>
    <row r="58" spans="1:18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59"/>
      <c r="K58" s="8">
        <v>2</v>
      </c>
      <c r="L58" s="8">
        <v>3</v>
      </c>
      <c r="M58" s="8">
        <v>2</v>
      </c>
      <c r="N58" s="8">
        <v>3</v>
      </c>
      <c r="O58" s="8">
        <v>4</v>
      </c>
      <c r="P58" s="8">
        <v>5</v>
      </c>
      <c r="Q58" s="8">
        <v>6</v>
      </c>
      <c r="R58" s="8">
        <v>7</v>
      </c>
    </row>
    <row r="59" spans="1:18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59"/>
      <c r="K59" s="8">
        <v>2</v>
      </c>
      <c r="L59" s="8">
        <v>5</v>
      </c>
      <c r="M59" s="8">
        <v>2</v>
      </c>
      <c r="N59" s="8">
        <v>3</v>
      </c>
      <c r="O59" s="8">
        <v>3</v>
      </c>
      <c r="P59" s="8">
        <v>4</v>
      </c>
      <c r="Q59" s="8">
        <v>5</v>
      </c>
      <c r="R59" s="8">
        <v>7</v>
      </c>
    </row>
    <row r="60" spans="1:18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59"/>
      <c r="K60" s="8">
        <v>4</v>
      </c>
      <c r="L60" s="8">
        <v>8</v>
      </c>
      <c r="M60" s="8">
        <v>2</v>
      </c>
      <c r="N60" s="8">
        <v>2</v>
      </c>
      <c r="O60" s="8">
        <v>4</v>
      </c>
      <c r="P60" s="8">
        <v>5</v>
      </c>
      <c r="Q60" s="8">
        <v>8</v>
      </c>
      <c r="R60" s="8">
        <v>10</v>
      </c>
    </row>
    <row r="61" spans="1:18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59"/>
      <c r="K61" s="8">
        <v>4</v>
      </c>
      <c r="L61" s="8">
        <v>4</v>
      </c>
      <c r="M61" s="8">
        <v>2</v>
      </c>
      <c r="N61" s="8">
        <v>2</v>
      </c>
      <c r="O61" s="8">
        <v>3</v>
      </c>
      <c r="P61" s="8">
        <v>4</v>
      </c>
      <c r="Q61" s="8">
        <v>5</v>
      </c>
      <c r="R61" s="8">
        <v>7</v>
      </c>
    </row>
    <row r="62" spans="1:18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59"/>
      <c r="K62" s="8">
        <v>2</v>
      </c>
      <c r="L62" s="8">
        <v>3</v>
      </c>
      <c r="M62" s="8">
        <v>3</v>
      </c>
      <c r="N62" s="8">
        <v>4</v>
      </c>
      <c r="O62" s="8">
        <v>5</v>
      </c>
      <c r="P62" s="8">
        <v>6</v>
      </c>
      <c r="Q62" s="8">
        <v>8</v>
      </c>
      <c r="R62" s="8">
        <v>10</v>
      </c>
    </row>
    <row r="63" spans="1:18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59"/>
      <c r="K63" s="8">
        <v>1</v>
      </c>
      <c r="L63" s="8">
        <v>1</v>
      </c>
      <c r="M63" s="8">
        <v>3</v>
      </c>
      <c r="N63" s="8">
        <v>6</v>
      </c>
      <c r="O63" s="8">
        <v>8</v>
      </c>
      <c r="P63" s="8">
        <v>8</v>
      </c>
      <c r="Q63" s="8">
        <v>9</v>
      </c>
      <c r="R63" s="8">
        <v>10</v>
      </c>
    </row>
    <row r="64" spans="1:18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59"/>
      <c r="K64" s="8">
        <v>5</v>
      </c>
      <c r="L64" s="8">
        <v>5</v>
      </c>
      <c r="M64" s="8">
        <v>3</v>
      </c>
      <c r="N64" s="8">
        <v>3</v>
      </c>
      <c r="O64" s="8">
        <v>3</v>
      </c>
      <c r="P64" s="8">
        <v>4</v>
      </c>
      <c r="Q64" s="8">
        <v>4</v>
      </c>
      <c r="R64" s="8">
        <v>4</v>
      </c>
    </row>
    <row r="65" spans="1:18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59"/>
      <c r="K65" s="8">
        <v>1</v>
      </c>
      <c r="L65" s="8">
        <v>1</v>
      </c>
      <c r="M65" s="8">
        <v>1</v>
      </c>
      <c r="N65" s="8">
        <v>2</v>
      </c>
      <c r="O65" s="8">
        <v>3</v>
      </c>
      <c r="P65" s="8">
        <v>5</v>
      </c>
      <c r="Q65" s="8">
        <v>6</v>
      </c>
      <c r="R65" s="8">
        <v>7</v>
      </c>
    </row>
    <row r="66" spans="1:18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59"/>
      <c r="K66" s="8">
        <v>2</v>
      </c>
      <c r="L66" s="8">
        <v>3</v>
      </c>
      <c r="M66" s="8">
        <v>2</v>
      </c>
      <c r="N66" s="8">
        <v>4</v>
      </c>
      <c r="O66" s="8">
        <v>5</v>
      </c>
      <c r="P66" s="8">
        <v>7</v>
      </c>
      <c r="Q66" s="8">
        <v>7</v>
      </c>
      <c r="R66" s="8">
        <v>8</v>
      </c>
    </row>
    <row r="67" spans="1:18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59"/>
      <c r="K67" s="8">
        <v>2</v>
      </c>
      <c r="L67" s="8">
        <v>1</v>
      </c>
      <c r="M67" s="8">
        <v>4</v>
      </c>
      <c r="N67" s="8">
        <v>6</v>
      </c>
      <c r="O67" s="8">
        <v>6</v>
      </c>
      <c r="P67" s="8">
        <v>8</v>
      </c>
      <c r="Q67" s="8">
        <v>9</v>
      </c>
      <c r="R67" s="8">
        <v>9</v>
      </c>
    </row>
    <row r="68" spans="1:18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59"/>
      <c r="K68" s="8">
        <v>5</v>
      </c>
      <c r="L68" s="8">
        <v>6</v>
      </c>
      <c r="M68" s="8">
        <v>2</v>
      </c>
      <c r="N68" s="8">
        <v>3</v>
      </c>
      <c r="O68" s="8">
        <v>5</v>
      </c>
      <c r="P68" s="8">
        <v>5</v>
      </c>
      <c r="Q68" s="8">
        <v>7</v>
      </c>
      <c r="R68" s="8">
        <v>8</v>
      </c>
    </row>
    <row r="69" spans="1:18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59"/>
      <c r="K69" s="8">
        <v>1</v>
      </c>
      <c r="L69" s="8">
        <v>2</v>
      </c>
      <c r="M69" s="8">
        <v>2</v>
      </c>
      <c r="N69" s="8">
        <v>4</v>
      </c>
      <c r="O69" s="8">
        <v>6</v>
      </c>
      <c r="P69" s="8">
        <v>8</v>
      </c>
      <c r="Q69" s="8">
        <v>8</v>
      </c>
      <c r="R69" s="8">
        <v>9</v>
      </c>
    </row>
    <row r="70" spans="1:18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59"/>
      <c r="K70" s="8">
        <v>1</v>
      </c>
      <c r="L70" s="8">
        <v>1</v>
      </c>
      <c r="M70" s="8">
        <v>2</v>
      </c>
      <c r="N70" s="8">
        <v>3</v>
      </c>
      <c r="O70" s="8">
        <v>4</v>
      </c>
      <c r="P70" s="8">
        <v>5</v>
      </c>
      <c r="Q70" s="8">
        <v>6</v>
      </c>
      <c r="R70" s="8">
        <v>8</v>
      </c>
    </row>
    <row r="71" spans="1:18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59"/>
      <c r="K71" s="8">
        <v>2</v>
      </c>
      <c r="L71" s="8">
        <v>3</v>
      </c>
      <c r="M71" s="8">
        <v>2</v>
      </c>
      <c r="N71" s="8">
        <v>3</v>
      </c>
      <c r="O71" s="8">
        <v>4</v>
      </c>
      <c r="P71" s="8">
        <v>6</v>
      </c>
      <c r="Q71" s="8">
        <v>7</v>
      </c>
      <c r="R71" s="8">
        <v>7</v>
      </c>
    </row>
    <row r="72" spans="1:18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59"/>
      <c r="K72" s="8">
        <v>6</v>
      </c>
      <c r="L72" s="8">
        <v>6</v>
      </c>
      <c r="M72" s="8">
        <v>3</v>
      </c>
      <c r="N72" s="8">
        <v>4</v>
      </c>
      <c r="O72" s="8">
        <v>4</v>
      </c>
      <c r="P72" s="8">
        <v>5</v>
      </c>
      <c r="Q72" s="8">
        <v>5</v>
      </c>
      <c r="R72" s="8">
        <v>5</v>
      </c>
    </row>
    <row r="73" spans="1:18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59"/>
      <c r="K73" s="8">
        <v>2</v>
      </c>
      <c r="L73" s="8">
        <v>2</v>
      </c>
      <c r="M73" s="8">
        <v>2</v>
      </c>
      <c r="N73" s="8">
        <v>3</v>
      </c>
      <c r="O73" s="8">
        <v>4</v>
      </c>
      <c r="P73" s="8">
        <v>5</v>
      </c>
      <c r="Q73" s="8">
        <v>7</v>
      </c>
      <c r="R73" s="8">
        <v>8</v>
      </c>
    </row>
    <row r="74" spans="1:18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59"/>
      <c r="K74" s="8">
        <v>1</v>
      </c>
      <c r="L74" s="8">
        <v>1</v>
      </c>
      <c r="M74" s="8">
        <v>3</v>
      </c>
      <c r="N74" s="8">
        <v>3</v>
      </c>
      <c r="O74" s="8">
        <v>4</v>
      </c>
      <c r="P74" s="8">
        <v>5</v>
      </c>
      <c r="Q74" s="8">
        <v>6</v>
      </c>
      <c r="R74" s="8">
        <v>7</v>
      </c>
    </row>
    <row r="75" spans="1:18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59"/>
      <c r="K75" s="8">
        <v>2</v>
      </c>
      <c r="L75" s="8">
        <v>1</v>
      </c>
      <c r="M75" s="8">
        <v>2</v>
      </c>
      <c r="N75" s="8">
        <v>3</v>
      </c>
      <c r="O75" s="8">
        <v>4</v>
      </c>
      <c r="P75" s="8">
        <v>5</v>
      </c>
      <c r="Q75" s="8">
        <v>5</v>
      </c>
      <c r="R75" s="8">
        <v>5</v>
      </c>
    </row>
    <row r="76" spans="1:18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59"/>
      <c r="K76" s="8">
        <v>2</v>
      </c>
      <c r="L76" s="8">
        <v>5</v>
      </c>
      <c r="M76" s="8">
        <v>3</v>
      </c>
      <c r="N76" s="8">
        <v>3</v>
      </c>
      <c r="O76" s="8">
        <v>4</v>
      </c>
      <c r="P76" s="8">
        <v>6</v>
      </c>
      <c r="Q76" s="8">
        <v>6</v>
      </c>
      <c r="R76" s="8">
        <v>8</v>
      </c>
    </row>
    <row r="77" spans="1:18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0"/>
      <c r="K77" s="19">
        <v>2</v>
      </c>
      <c r="L77" s="19">
        <v>2</v>
      </c>
      <c r="M77" s="19">
        <v>3</v>
      </c>
      <c r="N77" s="19">
        <v>3</v>
      </c>
      <c r="O77" s="19">
        <v>4</v>
      </c>
      <c r="P77" s="19">
        <v>5</v>
      </c>
      <c r="Q77" s="19">
        <v>5</v>
      </c>
      <c r="R77" s="19">
        <v>5</v>
      </c>
    </row>
    <row r="78" spans="1:18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0"/>
      <c r="K78" s="19">
        <v>2</v>
      </c>
      <c r="L78" s="19">
        <v>2</v>
      </c>
      <c r="M78" s="19">
        <v>2</v>
      </c>
      <c r="N78" s="19">
        <v>4</v>
      </c>
      <c r="O78" s="19">
        <v>4</v>
      </c>
      <c r="P78" s="19">
        <v>6</v>
      </c>
      <c r="Q78" s="19">
        <v>8</v>
      </c>
      <c r="R78" s="19">
        <v>10</v>
      </c>
    </row>
    <row r="79" spans="1:18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0"/>
      <c r="K79" s="19">
        <v>2</v>
      </c>
      <c r="L79" s="19">
        <v>2</v>
      </c>
      <c r="M79" s="19">
        <v>3</v>
      </c>
      <c r="N79" s="19">
        <v>4</v>
      </c>
      <c r="O79" s="19">
        <v>5</v>
      </c>
      <c r="P79" s="19">
        <v>6</v>
      </c>
      <c r="Q79" s="19">
        <v>9</v>
      </c>
      <c r="R79" s="19">
        <v>10</v>
      </c>
    </row>
    <row r="80" spans="1:18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0"/>
      <c r="K80" s="19">
        <v>2</v>
      </c>
      <c r="L80" s="19">
        <v>2</v>
      </c>
      <c r="M80" s="19">
        <v>2</v>
      </c>
      <c r="N80" s="19">
        <v>3</v>
      </c>
      <c r="O80" s="19">
        <v>4</v>
      </c>
      <c r="P80" s="19">
        <v>7</v>
      </c>
      <c r="Q80" s="19">
        <v>10</v>
      </c>
      <c r="R80" s="19">
        <v>10</v>
      </c>
    </row>
    <row r="81" spans="1:18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0"/>
      <c r="K81" s="19">
        <v>2</v>
      </c>
      <c r="L81" s="19">
        <v>2</v>
      </c>
      <c r="M81" s="19">
        <v>4</v>
      </c>
      <c r="N81" s="19">
        <v>4</v>
      </c>
      <c r="O81" s="19">
        <v>5</v>
      </c>
      <c r="P81" s="19">
        <v>5</v>
      </c>
      <c r="Q81" s="19">
        <v>6</v>
      </c>
      <c r="R81" s="19">
        <v>7</v>
      </c>
    </row>
    <row r="82" spans="1:18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0"/>
      <c r="K82" s="19">
        <v>2</v>
      </c>
      <c r="L82" s="19">
        <v>2</v>
      </c>
      <c r="M82" s="19">
        <v>0</v>
      </c>
      <c r="N82" s="19">
        <v>2</v>
      </c>
      <c r="O82" s="19">
        <v>2</v>
      </c>
      <c r="P82" s="19">
        <v>3</v>
      </c>
      <c r="Q82" s="19">
        <v>4</v>
      </c>
      <c r="R82" s="19">
        <v>5</v>
      </c>
    </row>
    <row r="83" spans="1:18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0"/>
      <c r="K83" s="19">
        <v>2</v>
      </c>
      <c r="L83" s="19">
        <v>2</v>
      </c>
      <c r="M83" s="19">
        <v>3</v>
      </c>
      <c r="N83" s="19">
        <v>4</v>
      </c>
      <c r="O83" s="19">
        <v>5</v>
      </c>
      <c r="P83" s="19">
        <v>6</v>
      </c>
      <c r="Q83" s="19">
        <v>7</v>
      </c>
      <c r="R83" s="19">
        <v>7</v>
      </c>
    </row>
    <row r="84" spans="1:18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0"/>
      <c r="K84" s="19">
        <v>2</v>
      </c>
      <c r="L84" s="19">
        <v>2</v>
      </c>
      <c r="M84" s="19">
        <v>3</v>
      </c>
      <c r="N84" s="19">
        <v>4</v>
      </c>
      <c r="O84" s="19">
        <v>4</v>
      </c>
      <c r="P84" s="19">
        <v>7</v>
      </c>
      <c r="Q84" s="19">
        <v>7</v>
      </c>
      <c r="R84" s="19">
        <v>7</v>
      </c>
    </row>
    <row r="85" spans="1:18" ht="16.5" thickBot="1" x14ac:dyDescent="0.3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1"/>
      <c r="K85" s="19">
        <v>2</v>
      </c>
      <c r="L85" s="19">
        <v>2</v>
      </c>
      <c r="M85" s="19">
        <v>1</v>
      </c>
      <c r="N85" s="19">
        <v>2</v>
      </c>
      <c r="O85" s="19">
        <v>2</v>
      </c>
      <c r="P85" s="19">
        <v>4</v>
      </c>
      <c r="Q85" s="19">
        <v>5</v>
      </c>
      <c r="R85" s="19">
        <v>7</v>
      </c>
    </row>
    <row r="86" spans="1:18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2" t="s">
        <v>20</v>
      </c>
      <c r="K86" s="19">
        <v>2</v>
      </c>
      <c r="L86" s="19">
        <v>2</v>
      </c>
      <c r="M86" s="19">
        <v>1</v>
      </c>
      <c r="N86" s="19">
        <v>2</v>
      </c>
      <c r="O86" s="19">
        <v>4</v>
      </c>
      <c r="P86" s="19">
        <v>5</v>
      </c>
      <c r="Q86" s="19">
        <v>7</v>
      </c>
      <c r="R86" s="19">
        <v>8</v>
      </c>
    </row>
    <row r="87" spans="1:18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0"/>
      <c r="K87" s="19">
        <v>2</v>
      </c>
      <c r="L87" s="19">
        <v>2</v>
      </c>
      <c r="M87" s="19">
        <v>3</v>
      </c>
      <c r="N87" s="19">
        <v>4</v>
      </c>
      <c r="O87" s="19">
        <v>5</v>
      </c>
      <c r="P87" s="19">
        <v>5</v>
      </c>
      <c r="Q87" s="19">
        <v>7</v>
      </c>
      <c r="R87" s="19">
        <v>8</v>
      </c>
    </row>
    <row r="88" spans="1:18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59"/>
      <c r="K88" s="19">
        <v>2</v>
      </c>
      <c r="L88" s="19">
        <v>2</v>
      </c>
      <c r="M88" s="19">
        <v>3</v>
      </c>
      <c r="N88" s="19">
        <v>5</v>
      </c>
      <c r="O88" s="19">
        <v>6</v>
      </c>
      <c r="P88" s="19">
        <v>7</v>
      </c>
      <c r="Q88" s="19">
        <v>7</v>
      </c>
      <c r="R88" s="19">
        <v>8</v>
      </c>
    </row>
    <row r="89" spans="1:18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59"/>
      <c r="K89" s="19">
        <v>2</v>
      </c>
      <c r="L89" s="19">
        <v>2</v>
      </c>
      <c r="M89" s="19">
        <v>2</v>
      </c>
      <c r="N89" s="19">
        <v>3</v>
      </c>
      <c r="O89" s="19">
        <v>5</v>
      </c>
      <c r="P89" s="19">
        <v>4</v>
      </c>
      <c r="Q89" s="19">
        <v>5</v>
      </c>
      <c r="R89" s="19">
        <v>5</v>
      </c>
    </row>
    <row r="90" spans="1:18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59"/>
      <c r="K90" s="19">
        <v>2</v>
      </c>
      <c r="L90" s="19">
        <v>2</v>
      </c>
      <c r="M90" s="19">
        <v>3</v>
      </c>
      <c r="N90" s="19">
        <v>4</v>
      </c>
      <c r="O90" s="19">
        <v>5</v>
      </c>
      <c r="P90" s="19">
        <v>5</v>
      </c>
      <c r="Q90" s="19">
        <v>6</v>
      </c>
      <c r="R90" s="19">
        <v>7</v>
      </c>
    </row>
    <row r="91" spans="1:18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59"/>
      <c r="K91" s="19">
        <v>2</v>
      </c>
      <c r="L91" s="19">
        <v>2</v>
      </c>
      <c r="M91" s="19">
        <v>2</v>
      </c>
      <c r="N91" s="19">
        <v>3</v>
      </c>
      <c r="O91" s="19">
        <v>3</v>
      </c>
      <c r="P91" s="19">
        <v>5</v>
      </c>
      <c r="Q91" s="19">
        <v>5</v>
      </c>
      <c r="R91" s="19">
        <v>6</v>
      </c>
    </row>
    <row r="92" spans="1:18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59"/>
      <c r="K92" s="19">
        <v>2</v>
      </c>
      <c r="L92" s="19">
        <v>2</v>
      </c>
      <c r="M92" s="19">
        <v>2</v>
      </c>
      <c r="N92" s="19">
        <v>3</v>
      </c>
      <c r="O92" s="19">
        <v>5</v>
      </c>
      <c r="P92" s="19">
        <v>5</v>
      </c>
      <c r="Q92" s="19">
        <v>8</v>
      </c>
      <c r="R92" s="19">
        <v>8</v>
      </c>
    </row>
    <row r="93" spans="1:18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59"/>
      <c r="K93" s="19">
        <v>2</v>
      </c>
      <c r="L93" s="19">
        <v>2</v>
      </c>
      <c r="M93" s="19">
        <v>2</v>
      </c>
      <c r="N93" s="19">
        <v>3</v>
      </c>
      <c r="O93" s="19">
        <v>4</v>
      </c>
      <c r="P93" s="19">
        <v>7</v>
      </c>
      <c r="Q93" s="19">
        <v>9</v>
      </c>
      <c r="R93" s="19">
        <v>9</v>
      </c>
    </row>
    <row r="94" spans="1:18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59"/>
      <c r="K94" s="19">
        <v>2</v>
      </c>
      <c r="L94" s="19">
        <v>2</v>
      </c>
      <c r="M94" s="19">
        <v>2</v>
      </c>
      <c r="N94" s="19">
        <v>5</v>
      </c>
      <c r="O94" s="19">
        <v>5</v>
      </c>
      <c r="P94" s="19">
        <v>7</v>
      </c>
      <c r="Q94" s="19">
        <v>8</v>
      </c>
      <c r="R94" s="19">
        <v>9</v>
      </c>
    </row>
    <row r="95" spans="1:18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59"/>
      <c r="K95" s="19">
        <v>2</v>
      </c>
      <c r="L95" s="19">
        <v>2</v>
      </c>
      <c r="M95" s="19">
        <v>3</v>
      </c>
      <c r="N95" s="19">
        <v>3</v>
      </c>
      <c r="O95" s="19">
        <v>4</v>
      </c>
      <c r="P95" s="19">
        <v>5</v>
      </c>
      <c r="Q95" s="19">
        <v>7</v>
      </c>
      <c r="R95" s="19">
        <v>9</v>
      </c>
    </row>
    <row r="96" spans="1:18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59"/>
      <c r="K96" s="19">
        <v>2</v>
      </c>
      <c r="L96" s="19">
        <v>2</v>
      </c>
      <c r="M96" s="19">
        <v>3</v>
      </c>
      <c r="N96" s="19">
        <v>3</v>
      </c>
      <c r="O96" s="19">
        <v>5</v>
      </c>
      <c r="P96" s="19">
        <v>7</v>
      </c>
      <c r="Q96" s="19">
        <v>7</v>
      </c>
      <c r="R96" s="19">
        <v>9</v>
      </c>
    </row>
    <row r="97" spans="1:18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59"/>
      <c r="K97" s="19">
        <v>2</v>
      </c>
      <c r="L97" s="19">
        <v>2</v>
      </c>
      <c r="M97" s="19">
        <v>2</v>
      </c>
      <c r="N97" s="19">
        <v>3</v>
      </c>
      <c r="O97" s="19">
        <v>5</v>
      </c>
      <c r="P97" s="19">
        <v>5</v>
      </c>
      <c r="Q97" s="19">
        <v>7</v>
      </c>
      <c r="R97" s="19">
        <v>7</v>
      </c>
    </row>
    <row r="98" spans="1:18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59"/>
      <c r="K98" s="19">
        <v>2</v>
      </c>
      <c r="L98" s="19">
        <v>2</v>
      </c>
      <c r="M98" s="19">
        <v>2</v>
      </c>
      <c r="N98" s="19">
        <v>4</v>
      </c>
      <c r="O98" s="19">
        <v>6</v>
      </c>
      <c r="P98" s="19">
        <v>7</v>
      </c>
      <c r="Q98" s="19">
        <v>8</v>
      </c>
      <c r="R98" s="19">
        <v>9</v>
      </c>
    </row>
    <row r="99" spans="1:18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59"/>
      <c r="K99" s="19">
        <v>2</v>
      </c>
      <c r="L99" s="19">
        <v>2</v>
      </c>
      <c r="M99" s="19">
        <v>2</v>
      </c>
      <c r="N99" s="19">
        <v>2</v>
      </c>
      <c r="O99" s="19">
        <v>3</v>
      </c>
      <c r="P99" s="19">
        <v>3</v>
      </c>
      <c r="Q99" s="19">
        <v>3</v>
      </c>
      <c r="R99" s="19">
        <v>3</v>
      </c>
    </row>
    <row r="100" spans="1:18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59"/>
      <c r="K100" s="19">
        <v>2</v>
      </c>
      <c r="L100" s="19">
        <v>2</v>
      </c>
      <c r="M100" s="19">
        <v>4</v>
      </c>
      <c r="N100" s="19">
        <v>5</v>
      </c>
      <c r="O100" s="19">
        <v>6</v>
      </c>
      <c r="P100" s="19">
        <v>7</v>
      </c>
      <c r="Q100" s="19">
        <v>8</v>
      </c>
      <c r="R100" s="19">
        <v>9</v>
      </c>
    </row>
    <row r="101" spans="1:18" ht="15.75" x14ac:dyDescent="0.25">
      <c r="A101" s="10">
        <v>100</v>
      </c>
      <c r="B101" s="56" t="s">
        <v>534</v>
      </c>
      <c r="C101" s="56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59"/>
      <c r="K101" s="19">
        <v>2</v>
      </c>
      <c r="L101" s="19">
        <v>2</v>
      </c>
      <c r="M101" s="19">
        <v>5</v>
      </c>
      <c r="N101" s="19">
        <v>5</v>
      </c>
      <c r="O101" s="19">
        <v>6</v>
      </c>
      <c r="P101" s="19">
        <v>7</v>
      </c>
      <c r="Q101" s="19">
        <v>8</v>
      </c>
      <c r="R101" s="19">
        <v>9</v>
      </c>
    </row>
    <row r="102" spans="1:18" ht="15.75" x14ac:dyDescent="0.25">
      <c r="A102" s="10">
        <v>101</v>
      </c>
      <c r="B102" s="56" t="s">
        <v>536</v>
      </c>
      <c r="C102" s="56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59"/>
      <c r="K102" s="19">
        <v>2</v>
      </c>
      <c r="L102" s="19">
        <v>2</v>
      </c>
      <c r="M102" s="19">
        <v>3</v>
      </c>
      <c r="N102" s="19">
        <v>4</v>
      </c>
      <c r="O102" s="19">
        <v>5</v>
      </c>
      <c r="P102" s="19">
        <v>6</v>
      </c>
      <c r="Q102" s="19">
        <v>6</v>
      </c>
      <c r="R102" s="19">
        <v>7</v>
      </c>
    </row>
    <row r="103" spans="1:18" ht="15.75" x14ac:dyDescent="0.25">
      <c r="A103" s="10">
        <v>102</v>
      </c>
      <c r="B103" s="56" t="s">
        <v>537</v>
      </c>
      <c r="C103" s="56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59"/>
      <c r="K103" s="19">
        <v>2</v>
      </c>
      <c r="L103" s="19">
        <v>2</v>
      </c>
      <c r="M103" s="19">
        <v>1</v>
      </c>
      <c r="N103" s="19">
        <v>3</v>
      </c>
      <c r="O103" s="19">
        <v>4</v>
      </c>
      <c r="P103" s="19">
        <v>6</v>
      </c>
      <c r="Q103" s="19">
        <v>7</v>
      </c>
      <c r="R103" s="19">
        <v>8</v>
      </c>
    </row>
    <row r="104" spans="1:18" ht="15.75" x14ac:dyDescent="0.25">
      <c r="A104" s="10">
        <v>103</v>
      </c>
      <c r="B104" s="56" t="s">
        <v>538</v>
      </c>
      <c r="C104" s="56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0"/>
      <c r="K104" s="19">
        <v>2</v>
      </c>
      <c r="L104" s="19">
        <v>2</v>
      </c>
      <c r="M104" s="19">
        <v>3</v>
      </c>
      <c r="N104" s="19">
        <v>5</v>
      </c>
      <c r="O104" s="19">
        <v>6</v>
      </c>
      <c r="P104" s="19">
        <v>7</v>
      </c>
      <c r="Q104" s="19">
        <v>8</v>
      </c>
      <c r="R104" s="19">
        <v>10</v>
      </c>
    </row>
    <row r="105" spans="1:18" ht="15.75" x14ac:dyDescent="0.25">
      <c r="A105" s="10">
        <v>104</v>
      </c>
      <c r="B105" s="56" t="s">
        <v>539</v>
      </c>
      <c r="C105" s="56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0"/>
      <c r="K105" s="19">
        <v>2</v>
      </c>
      <c r="L105" s="19">
        <v>2</v>
      </c>
      <c r="M105" s="19">
        <v>3</v>
      </c>
      <c r="N105" s="19">
        <v>5</v>
      </c>
      <c r="O105" s="19">
        <v>7</v>
      </c>
      <c r="P105" s="19">
        <v>8</v>
      </c>
      <c r="Q105" s="19">
        <v>9</v>
      </c>
      <c r="R105" s="19">
        <v>9</v>
      </c>
    </row>
    <row r="106" spans="1:18" ht="15.75" x14ac:dyDescent="0.25">
      <c r="A106" s="10">
        <v>105</v>
      </c>
      <c r="B106" s="56" t="s">
        <v>540</v>
      </c>
      <c r="C106" s="56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0"/>
      <c r="K106" s="19">
        <v>2</v>
      </c>
      <c r="L106" s="19">
        <v>2</v>
      </c>
      <c r="M106" s="19">
        <v>4</v>
      </c>
      <c r="N106" s="19">
        <v>5</v>
      </c>
      <c r="O106" s="19">
        <v>6</v>
      </c>
      <c r="P106" s="19">
        <v>8</v>
      </c>
      <c r="Q106" s="19">
        <v>8</v>
      </c>
      <c r="R106" s="19">
        <v>9</v>
      </c>
    </row>
    <row r="107" spans="1:18" ht="15.75" x14ac:dyDescent="0.25">
      <c r="A107" s="10">
        <v>106</v>
      </c>
      <c r="B107" s="56" t="s">
        <v>541</v>
      </c>
      <c r="C107" s="56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0"/>
      <c r="K107" s="19">
        <v>2</v>
      </c>
      <c r="L107" s="19">
        <v>2</v>
      </c>
      <c r="M107" s="19">
        <v>3</v>
      </c>
      <c r="N107" s="19">
        <v>5</v>
      </c>
      <c r="O107" s="19">
        <v>6</v>
      </c>
      <c r="P107" s="19">
        <v>8</v>
      </c>
      <c r="Q107" s="19">
        <v>9</v>
      </c>
      <c r="R107" s="19">
        <v>10</v>
      </c>
    </row>
    <row r="108" spans="1:18" ht="15.75" x14ac:dyDescent="0.25">
      <c r="A108" s="10">
        <v>107</v>
      </c>
      <c r="B108" s="56" t="s">
        <v>542</v>
      </c>
      <c r="C108" s="56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0"/>
      <c r="K108" s="19">
        <v>2</v>
      </c>
      <c r="L108" s="19">
        <v>2</v>
      </c>
      <c r="M108" s="19">
        <v>2</v>
      </c>
      <c r="N108" s="19">
        <v>4</v>
      </c>
      <c r="O108" s="19">
        <v>4</v>
      </c>
      <c r="P108" s="19">
        <v>4</v>
      </c>
      <c r="Q108" s="19">
        <v>5</v>
      </c>
      <c r="R108" s="19">
        <v>5</v>
      </c>
    </row>
    <row r="109" spans="1:18" ht="15.75" x14ac:dyDescent="0.25">
      <c r="A109" s="10">
        <v>108</v>
      </c>
      <c r="B109" s="56" t="s">
        <v>543</v>
      </c>
      <c r="C109" s="56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0"/>
      <c r="K109" s="19">
        <v>2</v>
      </c>
      <c r="L109" s="19">
        <v>2</v>
      </c>
      <c r="M109" s="19">
        <v>1</v>
      </c>
      <c r="N109" s="19">
        <v>3</v>
      </c>
      <c r="O109" s="19">
        <v>3</v>
      </c>
      <c r="P109" s="19">
        <v>4</v>
      </c>
      <c r="Q109" s="19">
        <v>6</v>
      </c>
      <c r="R109" s="19">
        <v>9</v>
      </c>
    </row>
    <row r="110" spans="1:18" x14ac:dyDescent="0.25">
      <c r="J110" s="60"/>
    </row>
    <row r="111" spans="1:18" x14ac:dyDescent="0.25">
      <c r="J111" s="60"/>
    </row>
    <row r="112" spans="1:18" x14ac:dyDescent="0.25">
      <c r="J112" s="60"/>
    </row>
    <row r="113" spans="10:10" x14ac:dyDescent="0.25">
      <c r="J113" s="60"/>
    </row>
    <row r="114" spans="10:10" x14ac:dyDescent="0.25">
      <c r="J114" s="60"/>
    </row>
    <row r="115" spans="10:10" x14ac:dyDescent="0.25">
      <c r="J115" s="60"/>
    </row>
    <row r="116" spans="10:10" x14ac:dyDescent="0.25">
      <c r="J116" s="60"/>
    </row>
    <row r="117" spans="10:10" x14ac:dyDescent="0.25">
      <c r="J117" s="60"/>
    </row>
    <row r="118" spans="10:10" x14ac:dyDescent="0.25">
      <c r="J118" s="60"/>
    </row>
    <row r="119" spans="10:10" x14ac:dyDescent="0.25">
      <c r="J119" s="60"/>
    </row>
    <row r="120" spans="10:10" x14ac:dyDescent="0.25">
      <c r="J120" s="60"/>
    </row>
    <row r="121" spans="10:10" x14ac:dyDescent="0.25">
      <c r="J121" s="60"/>
    </row>
    <row r="122" spans="10:10" x14ac:dyDescent="0.25">
      <c r="J122" s="60"/>
    </row>
    <row r="123" spans="10:10" x14ac:dyDescent="0.25">
      <c r="J123" s="60"/>
    </row>
    <row r="124" spans="10:10" x14ac:dyDescent="0.25">
      <c r="J124" s="60"/>
    </row>
    <row r="125" spans="10:10" x14ac:dyDescent="0.25">
      <c r="J125" s="60"/>
    </row>
    <row r="126" spans="10:10" x14ac:dyDescent="0.25">
      <c r="J126" s="60"/>
    </row>
    <row r="127" spans="10:10" x14ac:dyDescent="0.25">
      <c r="J127" s="60"/>
    </row>
    <row r="128" spans="10:10" x14ac:dyDescent="0.25">
      <c r="J128" s="60"/>
    </row>
    <row r="129" spans="10:10" x14ac:dyDescent="0.25">
      <c r="J129" s="60"/>
    </row>
    <row r="130" spans="10:10" x14ac:dyDescent="0.25">
      <c r="J130" s="60"/>
    </row>
    <row r="131" spans="10:10" x14ac:dyDescent="0.25">
      <c r="J131" s="60"/>
    </row>
    <row r="132" spans="10:10" x14ac:dyDescent="0.25">
      <c r="J132" s="60"/>
    </row>
    <row r="133" spans="10:10" x14ac:dyDescent="0.25">
      <c r="J133" s="60"/>
    </row>
    <row r="134" spans="10:10" x14ac:dyDescent="0.25">
      <c r="J134" s="60"/>
    </row>
    <row r="135" spans="10:10" x14ac:dyDescent="0.25">
      <c r="J135" s="60"/>
    </row>
    <row r="136" spans="10:10" x14ac:dyDescent="0.25">
      <c r="J136" s="59"/>
    </row>
    <row r="137" spans="10:10" x14ac:dyDescent="0.25">
      <c r="J137" s="59"/>
    </row>
    <row r="138" spans="10:10" x14ac:dyDescent="0.25">
      <c r="J138" s="59"/>
    </row>
    <row r="139" spans="10:10" x14ac:dyDescent="0.25">
      <c r="J139" s="59"/>
    </row>
    <row r="140" spans="10:10" x14ac:dyDescent="0.25">
      <c r="J140" s="59"/>
    </row>
    <row r="141" spans="10:10" x14ac:dyDescent="0.25">
      <c r="J141" s="59"/>
    </row>
    <row r="142" spans="10:10" x14ac:dyDescent="0.25">
      <c r="J142" s="59"/>
    </row>
    <row r="143" spans="10:10" x14ac:dyDescent="0.25">
      <c r="J143" s="59"/>
    </row>
    <row r="144" spans="10:10" x14ac:dyDescent="0.25">
      <c r="J144" s="59"/>
    </row>
    <row r="145" spans="10:10" x14ac:dyDescent="0.25">
      <c r="J145" s="59"/>
    </row>
    <row r="146" spans="10:10" x14ac:dyDescent="0.25">
      <c r="J146" s="59"/>
    </row>
    <row r="147" spans="10:10" x14ac:dyDescent="0.25">
      <c r="J147" s="59"/>
    </row>
    <row r="148" spans="10:10" x14ac:dyDescent="0.25">
      <c r="J148" s="59"/>
    </row>
    <row r="149" spans="10:10" x14ac:dyDescent="0.25">
      <c r="J149" s="59"/>
    </row>
    <row r="150" spans="10:10" x14ac:dyDescent="0.25">
      <c r="J150" s="59"/>
    </row>
    <row r="151" spans="10:10" x14ac:dyDescent="0.25">
      <c r="J151" s="59"/>
    </row>
    <row r="152" spans="10:10" x14ac:dyDescent="0.25">
      <c r="J152" s="59"/>
    </row>
    <row r="153" spans="10:10" x14ac:dyDescent="0.25">
      <c r="J153" s="59"/>
    </row>
    <row r="154" spans="10:10" x14ac:dyDescent="0.25">
      <c r="J154" s="59"/>
    </row>
    <row r="155" spans="10:10" x14ac:dyDescent="0.25">
      <c r="J155" s="59"/>
    </row>
    <row r="156" spans="10:10" x14ac:dyDescent="0.25">
      <c r="J156" s="59"/>
    </row>
    <row r="157" spans="10:10" x14ac:dyDescent="0.25">
      <c r="J157" s="59"/>
    </row>
    <row r="158" spans="10:10" x14ac:dyDescent="0.25">
      <c r="J158" s="59"/>
    </row>
    <row r="159" spans="10:10" x14ac:dyDescent="0.25">
      <c r="J159" s="59"/>
    </row>
    <row r="160" spans="10:10" x14ac:dyDescent="0.25">
      <c r="J160" s="59"/>
    </row>
    <row r="161" spans="10:10" x14ac:dyDescent="0.25">
      <c r="J161" s="59"/>
    </row>
    <row r="162" spans="10:10" x14ac:dyDescent="0.25">
      <c r="J162" s="63"/>
    </row>
    <row r="163" spans="10:10" x14ac:dyDescent="0.25">
      <c r="J163" s="63"/>
    </row>
    <row r="164" spans="10:10" x14ac:dyDescent="0.25">
      <c r="J164" s="63"/>
    </row>
    <row r="165" spans="10:10" x14ac:dyDescent="0.25">
      <c r="J165" s="63"/>
    </row>
    <row r="166" spans="10:10" x14ac:dyDescent="0.25">
      <c r="J166" s="63"/>
    </row>
    <row r="167" spans="10:10" x14ac:dyDescent="0.25">
      <c r="J167" s="63"/>
    </row>
    <row r="168" spans="10:10" x14ac:dyDescent="0.25">
      <c r="J168" s="63"/>
    </row>
    <row r="169" spans="10:10" x14ac:dyDescent="0.25">
      <c r="J169" s="63"/>
    </row>
    <row r="170" spans="10:10" ht="15.75" thickBot="1" x14ac:dyDescent="0.3">
      <c r="J170" s="64"/>
    </row>
  </sheetData>
  <mergeCells count="2">
    <mergeCell ref="J1:J85"/>
    <mergeCell ref="J86:J1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23ED0-DC65-489F-9A4A-D8BD32EA95FD}">
  <sheetPr codeName="Feuil4"/>
  <dimension ref="A1:U136"/>
  <sheetViews>
    <sheetView topLeftCell="D1" zoomScale="85" zoomScaleNormal="85" workbookViewId="0">
      <pane ySplit="1" topLeftCell="A23" activePane="bottomLeft" state="frozen"/>
      <selection pane="bottomLeft" activeCell="G61" sqref="G61"/>
    </sheetView>
  </sheetViews>
  <sheetFormatPr baseColWidth="10" defaultRowHeight="15" x14ac:dyDescent="0.25"/>
  <cols>
    <col min="1" max="1" width="16.7109375" style="7" bestFit="1" customWidth="1"/>
    <col min="2" max="3" width="22" style="7" bestFit="1" customWidth="1"/>
    <col min="4" max="4" width="63.42578125" style="7" bestFit="1" customWidth="1"/>
    <col min="5" max="5" width="10" style="7" bestFit="1" customWidth="1"/>
    <col min="6" max="6" width="8.7109375" style="7" bestFit="1" customWidth="1"/>
    <col min="7" max="7" width="18.85546875" style="7" bestFit="1" customWidth="1"/>
    <col min="8" max="8" width="10" style="7" bestFit="1" customWidth="1"/>
    <col min="9" max="9" width="10.85546875" style="7" bestFit="1" customWidth="1"/>
    <col min="10" max="10" width="12.85546875" style="7" bestFit="1" customWidth="1"/>
    <col min="11" max="11" width="33.7109375" style="7" bestFit="1" customWidth="1"/>
    <col min="12" max="12" width="12.28515625" style="7" bestFit="1" customWidth="1"/>
    <col min="13" max="14" width="15" style="7" bestFit="1" customWidth="1"/>
    <col min="15" max="16" width="16" style="7" bestFit="1" customWidth="1"/>
    <col min="17" max="18" width="12.85546875" style="7" bestFit="1" customWidth="1"/>
    <col min="19" max="20" width="13.140625" style="7" bestFit="1" customWidth="1"/>
    <col min="21" max="21" width="12.28515625" style="7" bestFit="1" customWidth="1"/>
  </cols>
  <sheetData>
    <row r="1" spans="1:21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2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</row>
    <row r="2" spans="1:21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60"/>
      <c r="K2" s="8" t="s">
        <v>34</v>
      </c>
      <c r="L2" s="8" t="s">
        <v>34</v>
      </c>
      <c r="M2" s="8" t="s">
        <v>34</v>
      </c>
      <c r="N2" s="8" t="s">
        <v>34</v>
      </c>
      <c r="O2" s="8" t="s">
        <v>34</v>
      </c>
      <c r="P2" s="8" t="s">
        <v>34</v>
      </c>
      <c r="Q2" s="8" t="s">
        <v>34</v>
      </c>
      <c r="R2" s="8" t="s">
        <v>34</v>
      </c>
      <c r="S2" s="8" t="s">
        <v>34</v>
      </c>
      <c r="T2" s="8" t="s">
        <v>34</v>
      </c>
      <c r="U2" s="8">
        <f>(12.48+12.13)/2</f>
        <v>12.305</v>
      </c>
    </row>
    <row r="3" spans="1:21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0"/>
      <c r="K3" s="6">
        <v>7.4</v>
      </c>
      <c r="L3" s="6">
        <v>7.19</v>
      </c>
      <c r="M3" s="6">
        <v>-2</v>
      </c>
      <c r="N3" s="6">
        <v>-16</v>
      </c>
      <c r="O3" s="6">
        <v>21.7</v>
      </c>
      <c r="P3" s="6">
        <v>11</v>
      </c>
      <c r="Q3" s="6">
        <v>5.6</v>
      </c>
      <c r="R3" s="6">
        <v>4.9000000000000004</v>
      </c>
      <c r="S3" s="6">
        <v>38</v>
      </c>
      <c r="T3" s="6">
        <v>46</v>
      </c>
      <c r="U3" s="8">
        <f>(12.93+13.26)/2</f>
        <v>13.094999999999999</v>
      </c>
    </row>
    <row r="4" spans="1:21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0"/>
      <c r="K4" s="8">
        <v>7.39</v>
      </c>
      <c r="L4" s="8">
        <v>7.1859999999999999</v>
      </c>
      <c r="M4" s="8">
        <v>-7</v>
      </c>
      <c r="N4" s="8">
        <v>-15</v>
      </c>
      <c r="O4" s="8">
        <v>16.2</v>
      </c>
      <c r="P4" s="8">
        <v>11.9</v>
      </c>
      <c r="Q4" s="8">
        <v>6.5</v>
      </c>
      <c r="R4" s="8">
        <v>5.5</v>
      </c>
      <c r="S4" s="8">
        <v>36</v>
      </c>
      <c r="T4" s="8">
        <v>42</v>
      </c>
      <c r="U4" s="8">
        <f>(12.18+12.53)/2</f>
        <v>12.355</v>
      </c>
    </row>
    <row r="5" spans="1:21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0"/>
      <c r="K5" s="6">
        <v>7.4139999999999997</v>
      </c>
      <c r="L5" s="6">
        <v>7.1950000000000003</v>
      </c>
      <c r="M5" s="6">
        <v>-4</v>
      </c>
      <c r="N5" s="6">
        <v>-16</v>
      </c>
      <c r="O5" s="6">
        <v>19.8</v>
      </c>
      <c r="P5" s="6">
        <v>11</v>
      </c>
      <c r="Q5" s="6">
        <v>5.9</v>
      </c>
      <c r="R5" s="6">
        <v>4.9000000000000004</v>
      </c>
      <c r="S5" s="6">
        <v>37</v>
      </c>
      <c r="T5" s="6">
        <v>46</v>
      </c>
      <c r="U5" s="8">
        <f>(12.76+13.14)/2</f>
        <v>12.95</v>
      </c>
    </row>
    <row r="6" spans="1:21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0"/>
      <c r="K6" s="8">
        <v>7.37</v>
      </c>
      <c r="L6" s="8">
        <v>7.1440000000000001</v>
      </c>
      <c r="M6" s="8">
        <v>-4</v>
      </c>
      <c r="N6" s="8">
        <v>-15</v>
      </c>
      <c r="O6" s="8">
        <v>20.3</v>
      </c>
      <c r="P6" s="8">
        <v>12.7</v>
      </c>
      <c r="Q6" s="8">
        <v>5</v>
      </c>
      <c r="R6" s="8">
        <v>6</v>
      </c>
      <c r="S6" s="8">
        <v>41</v>
      </c>
      <c r="T6" s="8">
        <v>45</v>
      </c>
      <c r="U6" s="8">
        <f>(13.42+13.4)/2</f>
        <v>13.41</v>
      </c>
    </row>
    <row r="7" spans="1:21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0"/>
      <c r="K7" s="8" t="s">
        <v>34</v>
      </c>
      <c r="L7" s="8" t="s">
        <v>34</v>
      </c>
      <c r="M7" s="8" t="s">
        <v>34</v>
      </c>
      <c r="N7" s="8" t="s">
        <v>34</v>
      </c>
      <c r="O7" s="8" t="s">
        <v>34</v>
      </c>
      <c r="P7" s="8" t="s">
        <v>34</v>
      </c>
      <c r="Q7" s="8" t="s">
        <v>34</v>
      </c>
      <c r="R7" s="8" t="s">
        <v>34</v>
      </c>
      <c r="S7" s="8" t="s">
        <v>34</v>
      </c>
      <c r="T7" s="8" t="s">
        <v>34</v>
      </c>
      <c r="U7" s="8">
        <f>(15.2+15.58)/2</f>
        <v>15.39</v>
      </c>
    </row>
    <row r="8" spans="1:21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0"/>
      <c r="K8" s="8" t="s">
        <v>34</v>
      </c>
      <c r="L8" s="8" t="s">
        <v>34</v>
      </c>
      <c r="M8" s="8" t="s">
        <v>34</v>
      </c>
      <c r="N8" s="8" t="s">
        <v>34</v>
      </c>
      <c r="O8" s="8" t="s">
        <v>34</v>
      </c>
      <c r="P8" s="8" t="s">
        <v>34</v>
      </c>
      <c r="Q8" s="8" t="s">
        <v>34</v>
      </c>
      <c r="R8" s="8" t="s">
        <v>34</v>
      </c>
      <c r="S8" s="8" t="s">
        <v>34</v>
      </c>
      <c r="T8" s="8" t="s">
        <v>34</v>
      </c>
      <c r="U8" s="8">
        <f>(11.04+11.32)/2</f>
        <v>11.18</v>
      </c>
    </row>
    <row r="9" spans="1:21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0"/>
      <c r="K9" s="8" t="s">
        <v>34</v>
      </c>
      <c r="L9" s="8" t="s">
        <v>34</v>
      </c>
      <c r="M9" s="8" t="s">
        <v>34</v>
      </c>
      <c r="N9" s="8" t="s">
        <v>34</v>
      </c>
      <c r="O9" s="8" t="s">
        <v>34</v>
      </c>
      <c r="P9" s="8" t="s">
        <v>34</v>
      </c>
      <c r="Q9" s="8" t="s">
        <v>34</v>
      </c>
      <c r="R9" s="8" t="s">
        <v>34</v>
      </c>
      <c r="S9" s="8" t="s">
        <v>34</v>
      </c>
      <c r="T9" s="8" t="s">
        <v>34</v>
      </c>
      <c r="U9" s="8">
        <f>(13.08+13.49)/2</f>
        <v>13.285</v>
      </c>
    </row>
    <row r="10" spans="1:21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0"/>
      <c r="K10" s="8" t="s">
        <v>34</v>
      </c>
      <c r="L10" s="8" t="s">
        <v>34</v>
      </c>
      <c r="M10" s="8" t="s">
        <v>34</v>
      </c>
      <c r="N10" s="8" t="s">
        <v>34</v>
      </c>
      <c r="O10" s="8" t="s">
        <v>34</v>
      </c>
      <c r="P10" s="8" t="s">
        <v>34</v>
      </c>
      <c r="Q10" s="8" t="s">
        <v>34</v>
      </c>
      <c r="R10" s="8" t="s">
        <v>34</v>
      </c>
      <c r="S10" s="8" t="s">
        <v>34</v>
      </c>
      <c r="T10" s="8" t="s">
        <v>34</v>
      </c>
      <c r="U10" s="8">
        <f>(10.88+11.18)/2</f>
        <v>11.030000000000001</v>
      </c>
    </row>
    <row r="11" spans="1:21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0"/>
      <c r="K11" s="8" t="s">
        <v>34</v>
      </c>
      <c r="L11" s="8" t="s">
        <v>34</v>
      </c>
      <c r="M11" s="8" t="s">
        <v>34</v>
      </c>
      <c r="N11" s="8" t="s">
        <v>34</v>
      </c>
      <c r="O11" s="8" t="s">
        <v>34</v>
      </c>
      <c r="P11" s="8" t="s">
        <v>34</v>
      </c>
      <c r="Q11" s="8" t="s">
        <v>34</v>
      </c>
      <c r="R11" s="8" t="s">
        <v>34</v>
      </c>
      <c r="S11" s="8" t="s">
        <v>34</v>
      </c>
      <c r="T11" s="8" t="s">
        <v>34</v>
      </c>
      <c r="U11" s="8">
        <f>(9.3+9.58)/2</f>
        <v>9.4400000000000013</v>
      </c>
    </row>
    <row r="12" spans="1:21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0"/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>
        <f>(11.49+11.8)/2</f>
        <v>11.645</v>
      </c>
    </row>
    <row r="13" spans="1:21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0"/>
      <c r="K13" s="8" t="s">
        <v>34</v>
      </c>
      <c r="L13" s="8" t="s">
        <v>34</v>
      </c>
      <c r="M13" s="8" t="s">
        <v>34</v>
      </c>
      <c r="N13" s="8" t="s">
        <v>34</v>
      </c>
      <c r="O13" s="8" t="s">
        <v>34</v>
      </c>
      <c r="P13" s="8" t="s">
        <v>34</v>
      </c>
      <c r="Q13" s="8" t="s">
        <v>34</v>
      </c>
      <c r="R13" s="8" t="s">
        <v>34</v>
      </c>
      <c r="S13" s="8" t="s">
        <v>34</v>
      </c>
      <c r="T13" s="8" t="s">
        <v>34</v>
      </c>
      <c r="U13" s="8">
        <f>(11.25+12.44)/2</f>
        <v>11.844999999999999</v>
      </c>
    </row>
    <row r="14" spans="1:21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0"/>
      <c r="K14" s="8" t="s">
        <v>34</v>
      </c>
      <c r="L14" s="8" t="s">
        <v>34</v>
      </c>
      <c r="M14" s="8" t="s">
        <v>34</v>
      </c>
      <c r="N14" s="8" t="s">
        <v>34</v>
      </c>
      <c r="O14" s="8" t="s">
        <v>34</v>
      </c>
      <c r="P14" s="8" t="s">
        <v>34</v>
      </c>
      <c r="Q14" s="8" t="s">
        <v>34</v>
      </c>
      <c r="R14" s="8" t="s">
        <v>34</v>
      </c>
      <c r="S14" s="8" t="s">
        <v>34</v>
      </c>
      <c r="T14" s="8" t="s">
        <v>34</v>
      </c>
      <c r="U14" s="8">
        <f>(8.84+9.13)/2</f>
        <v>8.9849999999999994</v>
      </c>
    </row>
    <row r="15" spans="1:21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0"/>
      <c r="K15" s="8" t="s">
        <v>34</v>
      </c>
      <c r="L15" s="8" t="s">
        <v>34</v>
      </c>
      <c r="M15" s="8" t="s">
        <v>34</v>
      </c>
      <c r="N15" s="8" t="s">
        <v>34</v>
      </c>
      <c r="O15" s="8" t="s">
        <v>34</v>
      </c>
      <c r="P15" s="8" t="s">
        <v>34</v>
      </c>
      <c r="Q15" s="8" t="s">
        <v>34</v>
      </c>
      <c r="R15" s="8" t="s">
        <v>34</v>
      </c>
      <c r="S15" s="8" t="s">
        <v>34</v>
      </c>
      <c r="T15" s="8" t="s">
        <v>34</v>
      </c>
      <c r="U15" s="8">
        <f>(11.76+12.07)/2</f>
        <v>11.914999999999999</v>
      </c>
    </row>
    <row r="16" spans="1:21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0"/>
      <c r="K16" s="6">
        <v>7.3940000000000001</v>
      </c>
      <c r="L16" s="6">
        <v>7.1909999999999998</v>
      </c>
      <c r="M16" s="6">
        <v>0</v>
      </c>
      <c r="N16" s="6">
        <v>-14</v>
      </c>
      <c r="O16" s="6">
        <v>24.3</v>
      </c>
      <c r="P16" s="6">
        <v>13.2</v>
      </c>
      <c r="Q16" s="6">
        <v>5.0999999999999996</v>
      </c>
      <c r="R16" s="6">
        <v>5.8</v>
      </c>
      <c r="S16" s="6">
        <v>45</v>
      </c>
      <c r="T16" s="6">
        <v>49</v>
      </c>
      <c r="U16" s="8">
        <f>(12.48+12.13)/2</f>
        <v>12.305</v>
      </c>
    </row>
    <row r="17" spans="1:21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0"/>
      <c r="K17" s="6">
        <v>7.3810000000000002</v>
      </c>
      <c r="L17" s="6">
        <v>7.2640000000000002</v>
      </c>
      <c r="M17" s="6">
        <v>-3</v>
      </c>
      <c r="N17" s="6">
        <v>-10</v>
      </c>
      <c r="O17" s="6">
        <v>21.8</v>
      </c>
      <c r="P17" s="6">
        <v>16.600000000000001</v>
      </c>
      <c r="Q17" s="6">
        <v>4.9000000000000004</v>
      </c>
      <c r="R17" s="6">
        <v>6.2</v>
      </c>
      <c r="S17" s="6">
        <v>42</v>
      </c>
      <c r="T17" s="6">
        <v>38</v>
      </c>
      <c r="U17" s="8">
        <f>(7.76+8.05)/2</f>
        <v>7.9050000000000002</v>
      </c>
    </row>
    <row r="18" spans="1:21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0"/>
      <c r="K18" s="14">
        <v>7.3890000000000002</v>
      </c>
      <c r="L18" s="14">
        <v>7.218</v>
      </c>
      <c r="M18" s="14">
        <v>-3</v>
      </c>
      <c r="N18" s="14">
        <v>-13</v>
      </c>
      <c r="O18" s="14">
        <v>21.1</v>
      </c>
      <c r="P18" s="14">
        <v>13.9</v>
      </c>
      <c r="Q18" s="14">
        <v>5.3</v>
      </c>
      <c r="R18" s="14">
        <v>5.2</v>
      </c>
      <c r="S18" s="14">
        <v>40</v>
      </c>
      <c r="T18" s="14">
        <v>42</v>
      </c>
      <c r="U18" s="14">
        <f>(14.19+13.88)/2</f>
        <v>14.035</v>
      </c>
    </row>
    <row r="19" spans="1:21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0"/>
      <c r="K19" s="8">
        <v>7.4029999999999996</v>
      </c>
      <c r="L19" s="8">
        <v>7.1870000000000003</v>
      </c>
      <c r="M19" s="8">
        <v>1</v>
      </c>
      <c r="N19" s="8">
        <v>-14</v>
      </c>
      <c r="O19" s="8">
        <v>25.5</v>
      </c>
      <c r="P19" s="8">
        <v>12.8</v>
      </c>
      <c r="Q19" s="8">
        <v>8.5</v>
      </c>
      <c r="R19" s="8">
        <v>6</v>
      </c>
      <c r="S19" s="8">
        <v>49</v>
      </c>
      <c r="T19" s="8">
        <v>52</v>
      </c>
      <c r="U19" s="8">
        <f>(11.38+11.62)/2</f>
        <v>11.5</v>
      </c>
    </row>
    <row r="20" spans="1:21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0"/>
      <c r="K20" s="8">
        <v>7.3689999999999998</v>
      </c>
      <c r="L20" s="8">
        <v>7.1420000000000003</v>
      </c>
      <c r="M20" s="8">
        <v>-3</v>
      </c>
      <c r="N20" s="8">
        <v>-15</v>
      </c>
      <c r="O20" s="8">
        <v>22.2</v>
      </c>
      <c r="P20" s="8">
        <v>13.3</v>
      </c>
      <c r="Q20" s="8">
        <v>6</v>
      </c>
      <c r="R20" s="8">
        <v>5.8</v>
      </c>
      <c r="S20" s="8">
        <v>45</v>
      </c>
      <c r="T20" s="8">
        <v>50</v>
      </c>
      <c r="U20" s="8">
        <f>(9.81+10.03)/2</f>
        <v>9.92</v>
      </c>
    </row>
    <row r="21" spans="1:21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0"/>
      <c r="K21" s="8">
        <v>7.4279999999999999</v>
      </c>
      <c r="L21" s="8">
        <v>7.2290000000000001</v>
      </c>
      <c r="M21" s="8">
        <v>-12</v>
      </c>
      <c r="N21" s="8">
        <v>0</v>
      </c>
      <c r="O21" s="8">
        <v>14.2</v>
      </c>
      <c r="P21" s="8">
        <v>24.5</v>
      </c>
      <c r="Q21" s="8">
        <v>5.8</v>
      </c>
      <c r="R21" s="8">
        <v>5.3</v>
      </c>
      <c r="S21" s="8">
        <v>50</v>
      </c>
      <c r="T21" s="8">
        <v>54</v>
      </c>
      <c r="U21" s="8">
        <f>(8.92+9.18)/2</f>
        <v>9.0500000000000007</v>
      </c>
    </row>
    <row r="22" spans="1:21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0"/>
      <c r="K22" s="8">
        <v>7.3810000000000002</v>
      </c>
      <c r="L22" s="8">
        <v>7.2009999999999996</v>
      </c>
      <c r="M22" s="8">
        <v>-2</v>
      </c>
      <c r="N22" s="8">
        <v>-5</v>
      </c>
      <c r="O22" s="8">
        <v>22.7</v>
      </c>
      <c r="P22" s="8">
        <v>18.5</v>
      </c>
      <c r="Q22" s="8">
        <v>5.0999999999999996</v>
      </c>
      <c r="R22" s="8">
        <v>4.9000000000000004</v>
      </c>
      <c r="S22" s="8">
        <v>51</v>
      </c>
      <c r="T22" s="8">
        <v>52</v>
      </c>
      <c r="U22" s="8">
        <f>(8.66+8.88)/2</f>
        <v>8.77</v>
      </c>
    </row>
    <row r="23" spans="1:21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0"/>
      <c r="K23" s="8">
        <v>7.15</v>
      </c>
      <c r="L23" s="8">
        <v>7.359</v>
      </c>
      <c r="M23" s="8">
        <v>-2</v>
      </c>
      <c r="N23" s="8">
        <v>-12</v>
      </c>
      <c r="O23" s="8">
        <v>16.899999999999999</v>
      </c>
      <c r="P23" s="8">
        <v>23.8</v>
      </c>
      <c r="Q23" s="8">
        <v>4.9000000000000004</v>
      </c>
      <c r="R23" s="8">
        <v>6.5</v>
      </c>
      <c r="S23" s="8">
        <v>43</v>
      </c>
      <c r="T23" s="8">
        <v>46</v>
      </c>
      <c r="U23" s="8">
        <f>(8.92+9.18)/2</f>
        <v>9.0500000000000007</v>
      </c>
    </row>
    <row r="24" spans="1:21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0"/>
      <c r="K24" s="14">
        <v>7.3819999999999997</v>
      </c>
      <c r="L24" s="14">
        <v>7.1909999999999998</v>
      </c>
      <c r="M24" s="14">
        <v>-3</v>
      </c>
      <c r="N24" s="14">
        <v>-14</v>
      </c>
      <c r="O24" s="14">
        <v>22</v>
      </c>
      <c r="P24" s="14">
        <v>13.2</v>
      </c>
      <c r="Q24" s="14">
        <v>5.9</v>
      </c>
      <c r="R24" s="14">
        <v>5.8</v>
      </c>
      <c r="S24" s="14">
        <v>44</v>
      </c>
      <c r="T24" s="14">
        <v>49</v>
      </c>
      <c r="U24" s="14">
        <v>9.5500000000000007</v>
      </c>
    </row>
    <row r="25" spans="1:21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0"/>
      <c r="K25" s="8">
        <v>7.3920000000000003</v>
      </c>
      <c r="L25" s="8">
        <v>7.1859999999999999</v>
      </c>
      <c r="M25" s="8">
        <v>-2</v>
      </c>
      <c r="N25" s="8">
        <v>-15</v>
      </c>
      <c r="O25" s="8">
        <v>22.8</v>
      </c>
      <c r="P25" s="8">
        <v>11.9</v>
      </c>
      <c r="Q25" s="8">
        <v>7.2</v>
      </c>
      <c r="R25" s="8">
        <v>5.5</v>
      </c>
      <c r="S25" s="8">
        <v>44</v>
      </c>
      <c r="T25" s="8">
        <v>42</v>
      </c>
      <c r="U25" s="8">
        <v>8.5399999999999991</v>
      </c>
    </row>
    <row r="26" spans="1:21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0"/>
      <c r="K26" s="8">
        <v>7.4139999999999997</v>
      </c>
      <c r="L26" s="8">
        <v>7.234</v>
      </c>
      <c r="M26" s="8">
        <v>-4</v>
      </c>
      <c r="N26" s="8">
        <v>-10</v>
      </c>
      <c r="O26" s="8">
        <v>19.8</v>
      </c>
      <c r="P26" s="8">
        <v>16.899999999999999</v>
      </c>
      <c r="Q26" s="8">
        <v>5.9</v>
      </c>
      <c r="R26" s="8">
        <v>3.9</v>
      </c>
      <c r="S26" s="8">
        <v>37</v>
      </c>
      <c r="T26" s="8">
        <v>49</v>
      </c>
      <c r="U26" s="8">
        <v>11.22</v>
      </c>
    </row>
    <row r="27" spans="1:21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0"/>
      <c r="K27" s="8">
        <v>7.3719999999999999</v>
      </c>
      <c r="L27" s="8">
        <v>7.1749999999999998</v>
      </c>
      <c r="M27" s="8">
        <v>-2</v>
      </c>
      <c r="N27" s="8">
        <v>-13</v>
      </c>
      <c r="O27" s="8">
        <v>23.1</v>
      </c>
      <c r="P27" s="8">
        <v>15.3</v>
      </c>
      <c r="Q27" s="8">
        <v>6.6</v>
      </c>
      <c r="R27" s="8">
        <v>6.3</v>
      </c>
      <c r="S27" s="8">
        <v>45</v>
      </c>
      <c r="T27" s="8">
        <v>46</v>
      </c>
      <c r="U27" s="8">
        <v>8.61</v>
      </c>
    </row>
    <row r="28" spans="1:21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0"/>
      <c r="K28" s="8">
        <v>7.3940000000000001</v>
      </c>
      <c r="L28" s="8">
        <v>7.2629999999999999</v>
      </c>
      <c r="M28" s="8">
        <v>0</v>
      </c>
      <c r="N28" s="8">
        <v>-8</v>
      </c>
      <c r="O28" s="8">
        <v>24.3</v>
      </c>
      <c r="P28" s="8">
        <v>18.7</v>
      </c>
      <c r="Q28" s="8">
        <v>5.0999999999999996</v>
      </c>
      <c r="R28" s="8">
        <v>5.5</v>
      </c>
      <c r="S28" s="8" t="s">
        <v>34</v>
      </c>
      <c r="T28" s="8" t="s">
        <v>34</v>
      </c>
      <c r="U28" s="8">
        <v>9.52</v>
      </c>
    </row>
    <row r="29" spans="1:21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0"/>
      <c r="K29" s="8">
        <v>7.3719999999999999</v>
      </c>
      <c r="L29" s="8">
        <v>7.2169999999999996</v>
      </c>
      <c r="M29" s="8">
        <v>-2</v>
      </c>
      <c r="N29" s="8">
        <v>-11</v>
      </c>
      <c r="O29" s="8">
        <v>16.7</v>
      </c>
      <c r="P29" s="8">
        <v>23.6</v>
      </c>
      <c r="Q29" s="8">
        <v>5.2</v>
      </c>
      <c r="R29" s="8">
        <v>5.6</v>
      </c>
      <c r="S29" s="8">
        <v>47</v>
      </c>
      <c r="T29" s="8">
        <v>44</v>
      </c>
      <c r="U29" s="8">
        <v>9.24</v>
      </c>
    </row>
    <row r="30" spans="1:21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0"/>
      <c r="K30" s="8">
        <v>7.4279999999999999</v>
      </c>
      <c r="L30" s="8">
        <v>7.2530000000000001</v>
      </c>
      <c r="M30" s="8">
        <v>0</v>
      </c>
      <c r="N30" s="8">
        <v>-10</v>
      </c>
      <c r="O30" s="8">
        <v>24.5</v>
      </c>
      <c r="P30" s="8">
        <v>15.8</v>
      </c>
      <c r="Q30" s="8">
        <v>5.8</v>
      </c>
      <c r="R30" s="8">
        <v>5.0999999999999996</v>
      </c>
      <c r="S30" s="8">
        <v>50</v>
      </c>
      <c r="T30" s="8">
        <v>46</v>
      </c>
      <c r="U30" s="8">
        <v>8.56</v>
      </c>
    </row>
    <row r="31" spans="1:21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0"/>
      <c r="K31" s="8">
        <v>7.3470000000000004</v>
      </c>
      <c r="L31" s="8">
        <v>7.2169999999999996</v>
      </c>
      <c r="M31" s="8">
        <v>-4</v>
      </c>
      <c r="N31" s="8">
        <v>-11</v>
      </c>
      <c r="O31" s="8">
        <v>21.5</v>
      </c>
      <c r="P31" s="8">
        <v>15.8</v>
      </c>
      <c r="Q31" s="8">
        <v>6.2</v>
      </c>
      <c r="R31" s="8">
        <v>5.2</v>
      </c>
      <c r="S31" s="8">
        <v>46</v>
      </c>
      <c r="T31" s="8">
        <v>50</v>
      </c>
      <c r="U31" s="8">
        <v>10.130000000000001</v>
      </c>
    </row>
    <row r="32" spans="1:21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0"/>
      <c r="K32" s="8">
        <v>7.375</v>
      </c>
      <c r="L32" s="8">
        <v>7.266</v>
      </c>
      <c r="M32" s="8">
        <v>-2</v>
      </c>
      <c r="N32" s="8">
        <v>-10</v>
      </c>
      <c r="O32" s="8">
        <v>22.9</v>
      </c>
      <c r="P32" s="8">
        <v>16.2</v>
      </c>
      <c r="Q32" s="8">
        <v>6.5</v>
      </c>
      <c r="R32" s="8">
        <v>5.5</v>
      </c>
      <c r="S32" s="8">
        <v>44</v>
      </c>
      <c r="T32" s="8">
        <v>47</v>
      </c>
      <c r="U32" s="8">
        <v>9.89</v>
      </c>
    </row>
    <row r="33" spans="1:21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0"/>
      <c r="K33" s="8">
        <v>7.3630000000000004</v>
      </c>
      <c r="L33" s="8">
        <v>7.2389999999999999</v>
      </c>
      <c r="M33" s="8">
        <v>-3</v>
      </c>
      <c r="N33" s="8">
        <v>-10</v>
      </c>
      <c r="O33" s="8">
        <v>21.5</v>
      </c>
      <c r="P33" s="8">
        <v>17.100000000000001</v>
      </c>
      <c r="Q33" s="8">
        <v>5.3</v>
      </c>
      <c r="R33" s="8">
        <v>6.2</v>
      </c>
      <c r="S33" s="8">
        <v>44</v>
      </c>
      <c r="T33" s="8">
        <v>46</v>
      </c>
      <c r="U33" s="8">
        <v>8.36</v>
      </c>
    </row>
    <row r="34" spans="1:21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0"/>
      <c r="K34" s="8">
        <v>7.3789999999999996</v>
      </c>
      <c r="L34" s="8">
        <v>7.2460000000000004</v>
      </c>
      <c r="M34" s="8">
        <v>-3</v>
      </c>
      <c r="N34" s="8">
        <v>-12</v>
      </c>
      <c r="O34" s="8">
        <v>21.2</v>
      </c>
      <c r="P34" s="8">
        <v>14.2</v>
      </c>
      <c r="Q34" s="8">
        <v>6</v>
      </c>
      <c r="R34" s="8">
        <v>5.7</v>
      </c>
      <c r="S34" s="8">
        <v>44</v>
      </c>
      <c r="T34" s="8">
        <v>47</v>
      </c>
      <c r="U34" s="8">
        <v>10.99</v>
      </c>
    </row>
    <row r="35" spans="1:21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0"/>
      <c r="K35" s="8">
        <v>7.3879999999999999</v>
      </c>
      <c r="L35" s="8">
        <v>7.22</v>
      </c>
      <c r="M35" s="8">
        <v>-3</v>
      </c>
      <c r="N35" s="8">
        <v>-13</v>
      </c>
      <c r="O35" s="8">
        <v>21.8</v>
      </c>
      <c r="P35" s="8">
        <v>13.9</v>
      </c>
      <c r="Q35" s="8">
        <v>7.1</v>
      </c>
      <c r="R35" s="8">
        <v>4.9000000000000004</v>
      </c>
      <c r="S35" s="8">
        <v>43</v>
      </c>
      <c r="T35" s="8">
        <v>47</v>
      </c>
      <c r="U35" s="8">
        <v>10.41</v>
      </c>
    </row>
    <row r="36" spans="1:21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0"/>
      <c r="K36" s="8">
        <v>7.4420000000000002</v>
      </c>
      <c r="L36" s="8">
        <v>7.1749999999999998</v>
      </c>
      <c r="M36" s="8">
        <v>0</v>
      </c>
      <c r="N36" s="8">
        <v>-13</v>
      </c>
      <c r="O36" s="8">
        <v>23.2</v>
      </c>
      <c r="P36" s="8">
        <v>15.3</v>
      </c>
      <c r="Q36" s="8">
        <v>6.7</v>
      </c>
      <c r="R36" s="8">
        <v>6.3</v>
      </c>
      <c r="S36" s="8">
        <v>40</v>
      </c>
      <c r="T36" s="8">
        <v>46</v>
      </c>
      <c r="U36" s="8">
        <v>8.4499999999999993</v>
      </c>
    </row>
    <row r="37" spans="1:21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0"/>
      <c r="K37" s="8">
        <v>7.3789999999999996</v>
      </c>
      <c r="L37" s="8">
        <v>7.2539999999999996</v>
      </c>
      <c r="M37" s="8">
        <v>0</v>
      </c>
      <c r="N37" s="8">
        <v>-7</v>
      </c>
      <c r="O37" s="8">
        <v>24.8</v>
      </c>
      <c r="P37" s="8">
        <v>20.2</v>
      </c>
      <c r="Q37" s="8">
        <v>6.9</v>
      </c>
      <c r="R37" s="8">
        <v>4.5999999999999996</v>
      </c>
      <c r="S37" s="8">
        <v>41</v>
      </c>
      <c r="T37" s="8">
        <v>43</v>
      </c>
      <c r="U37" s="8">
        <v>7.79</v>
      </c>
    </row>
    <row r="38" spans="1:21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0"/>
      <c r="K38" s="8">
        <v>7.4029999999999996</v>
      </c>
      <c r="L38" s="8">
        <v>7.18</v>
      </c>
      <c r="M38" s="8">
        <v>-1</v>
      </c>
      <c r="N38" s="8">
        <v>-14</v>
      </c>
      <c r="O38" s="8">
        <v>23</v>
      </c>
      <c r="P38" s="8">
        <v>14</v>
      </c>
      <c r="Q38" s="8">
        <v>5</v>
      </c>
      <c r="R38" s="8">
        <v>5</v>
      </c>
      <c r="S38" s="8">
        <v>46</v>
      </c>
      <c r="T38" s="8">
        <v>50</v>
      </c>
      <c r="U38" s="8">
        <v>8.59</v>
      </c>
    </row>
    <row r="39" spans="1:21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0"/>
      <c r="K39" s="8">
        <v>7.383</v>
      </c>
      <c r="L39" s="8" t="s">
        <v>34</v>
      </c>
      <c r="M39" s="8">
        <v>-2</v>
      </c>
      <c r="N39" s="8" t="s">
        <v>34</v>
      </c>
      <c r="O39" s="8">
        <v>22.3</v>
      </c>
      <c r="P39" s="8" t="s">
        <v>34</v>
      </c>
      <c r="Q39" s="8">
        <v>5.9</v>
      </c>
      <c r="R39" s="8" t="s">
        <v>34</v>
      </c>
      <c r="S39" s="8">
        <v>47</v>
      </c>
      <c r="T39" s="8" t="s">
        <v>34</v>
      </c>
      <c r="U39" s="8">
        <v>7.57</v>
      </c>
    </row>
    <row r="40" spans="1:21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0"/>
      <c r="K40" s="8">
        <v>7.3949999999999996</v>
      </c>
      <c r="L40" s="8">
        <v>7.2169999999999996</v>
      </c>
      <c r="M40" s="8">
        <v>-2</v>
      </c>
      <c r="N40" s="8">
        <v>-14</v>
      </c>
      <c r="O40" s="8">
        <v>22.7</v>
      </c>
      <c r="P40" s="8">
        <v>12.7</v>
      </c>
      <c r="Q40" s="8">
        <v>5.6</v>
      </c>
      <c r="R40" s="8">
        <v>6.5</v>
      </c>
      <c r="S40" s="8">
        <v>41</v>
      </c>
      <c r="T40" s="8">
        <v>44</v>
      </c>
      <c r="U40" s="8" t="s">
        <v>112</v>
      </c>
    </row>
    <row r="41" spans="1:21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0"/>
      <c r="K41" s="8">
        <v>7.3710000000000004</v>
      </c>
      <c r="L41" s="8">
        <v>7.2069999999999999</v>
      </c>
      <c r="M41" s="8">
        <v>0</v>
      </c>
      <c r="N41" s="8">
        <v>-12</v>
      </c>
      <c r="O41" s="8">
        <v>25.3</v>
      </c>
      <c r="P41" s="8">
        <v>14.6</v>
      </c>
      <c r="Q41" s="8">
        <v>6.2</v>
      </c>
      <c r="R41" s="8">
        <v>5.3</v>
      </c>
      <c r="S41" s="8">
        <v>48</v>
      </c>
      <c r="T41" s="8">
        <v>52</v>
      </c>
      <c r="U41" s="8">
        <v>8.43</v>
      </c>
    </row>
    <row r="42" spans="1:21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0"/>
      <c r="K42" s="8" t="s">
        <v>34</v>
      </c>
      <c r="L42" s="8" t="s">
        <v>34</v>
      </c>
      <c r="M42" s="8" t="s">
        <v>34</v>
      </c>
      <c r="N42" s="8" t="s">
        <v>34</v>
      </c>
      <c r="O42" s="8" t="s">
        <v>34</v>
      </c>
      <c r="P42" s="8" t="s">
        <v>34</v>
      </c>
      <c r="Q42" s="8" t="s">
        <v>34</v>
      </c>
      <c r="R42" s="8" t="s">
        <v>34</v>
      </c>
      <c r="S42" s="8" t="s">
        <v>34</v>
      </c>
      <c r="T42" s="8" t="s">
        <v>34</v>
      </c>
      <c r="U42" s="8" t="s">
        <v>34</v>
      </c>
    </row>
    <row r="43" spans="1:21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0"/>
      <c r="K43" s="8">
        <v>7.3730000000000002</v>
      </c>
      <c r="L43" s="8">
        <v>7.1310000000000002</v>
      </c>
      <c r="M43" s="8">
        <v>-1</v>
      </c>
      <c r="N43" s="8">
        <v>-15</v>
      </c>
      <c r="O43" s="8">
        <v>23.7</v>
      </c>
      <c r="P43" s="8">
        <v>14</v>
      </c>
      <c r="Q43" s="8">
        <v>6.5</v>
      </c>
      <c r="R43" s="8">
        <v>4.3</v>
      </c>
      <c r="S43" s="8">
        <v>43</v>
      </c>
      <c r="T43" s="8">
        <v>48</v>
      </c>
      <c r="U43" s="8">
        <v>14.27</v>
      </c>
    </row>
    <row r="44" spans="1:21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0"/>
      <c r="K44" s="8" t="s">
        <v>34</v>
      </c>
      <c r="L44" s="8">
        <v>7.1950000000000003</v>
      </c>
      <c r="M44" s="8" t="s">
        <v>34</v>
      </c>
      <c r="N44" s="8">
        <v>-13</v>
      </c>
      <c r="O44" s="8" t="s">
        <v>34</v>
      </c>
      <c r="P44" s="8">
        <v>13.7</v>
      </c>
      <c r="Q44" s="8" t="s">
        <v>34</v>
      </c>
      <c r="R44" s="8">
        <v>5</v>
      </c>
      <c r="S44" s="8" t="s">
        <v>34</v>
      </c>
      <c r="T44" s="8">
        <v>50</v>
      </c>
      <c r="U44" s="8">
        <v>12.07</v>
      </c>
    </row>
    <row r="45" spans="1:21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0"/>
      <c r="K45" s="8">
        <v>7.37</v>
      </c>
      <c r="L45" s="8">
        <v>7.1749999999999998</v>
      </c>
      <c r="M45" s="8">
        <v>-2</v>
      </c>
      <c r="N45" s="8">
        <v>-14</v>
      </c>
      <c r="O45" s="8">
        <v>22.9</v>
      </c>
      <c r="P45" s="8">
        <v>13.1</v>
      </c>
      <c r="Q45" s="8">
        <v>5.5</v>
      </c>
      <c r="R45" s="8">
        <v>6</v>
      </c>
      <c r="S45" s="8">
        <v>50</v>
      </c>
      <c r="T45" s="8">
        <v>52</v>
      </c>
      <c r="U45" s="8">
        <v>10.220000000000001</v>
      </c>
    </row>
    <row r="46" spans="1:21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0"/>
      <c r="K46" s="8">
        <v>7.4080000000000004</v>
      </c>
      <c r="L46" s="8">
        <v>7.15</v>
      </c>
      <c r="M46" s="8">
        <v>0</v>
      </c>
      <c r="N46" s="8">
        <v>-15</v>
      </c>
      <c r="O46" s="8">
        <v>24.6</v>
      </c>
      <c r="P46" s="8">
        <v>13.3</v>
      </c>
      <c r="Q46" s="8">
        <v>4.9000000000000004</v>
      </c>
      <c r="R46" s="8">
        <v>5.8</v>
      </c>
      <c r="S46" s="8">
        <v>44</v>
      </c>
      <c r="T46" s="8">
        <v>48</v>
      </c>
      <c r="U46" s="8">
        <v>12.07</v>
      </c>
    </row>
    <row r="47" spans="1:21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0"/>
      <c r="K47" s="8">
        <v>7.4189999999999996</v>
      </c>
      <c r="L47" s="8">
        <v>7.234</v>
      </c>
      <c r="M47" s="8">
        <v>-1</v>
      </c>
      <c r="N47" s="8">
        <v>-11</v>
      </c>
      <c r="O47" s="8">
        <v>23.5</v>
      </c>
      <c r="P47" s="8">
        <v>15.4</v>
      </c>
      <c r="Q47" s="8">
        <v>5.7</v>
      </c>
      <c r="R47" s="8">
        <v>5.7</v>
      </c>
      <c r="S47" s="8">
        <v>43</v>
      </c>
      <c r="T47" s="8">
        <v>46</v>
      </c>
      <c r="U47" s="8">
        <v>12.15</v>
      </c>
    </row>
    <row r="48" spans="1:21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0"/>
      <c r="K48" s="8">
        <v>7.4480000000000004</v>
      </c>
      <c r="L48" s="8">
        <v>7.23</v>
      </c>
      <c r="M48" s="8">
        <v>1</v>
      </c>
      <c r="N48" s="8">
        <v>-10</v>
      </c>
      <c r="O48" s="8">
        <v>24.4</v>
      </c>
      <c r="P48" s="8">
        <v>16.399999999999999</v>
      </c>
      <c r="Q48" s="8">
        <v>7.1</v>
      </c>
      <c r="R48" s="8">
        <v>5.9</v>
      </c>
      <c r="S48" s="8">
        <v>41</v>
      </c>
      <c r="T48" s="8">
        <v>47</v>
      </c>
      <c r="U48" s="8">
        <v>11.02</v>
      </c>
    </row>
    <row r="49" spans="1:21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0"/>
      <c r="K49" s="8">
        <v>7.33</v>
      </c>
      <c r="L49" s="8" t="s">
        <v>34</v>
      </c>
      <c r="M49" s="8">
        <v>-5</v>
      </c>
      <c r="N49" s="8" t="s">
        <v>34</v>
      </c>
      <c r="O49" s="8">
        <v>20.2</v>
      </c>
      <c r="P49" s="8" t="s">
        <v>34</v>
      </c>
      <c r="Q49" s="8">
        <v>6.9</v>
      </c>
      <c r="R49" s="8" t="s">
        <v>34</v>
      </c>
      <c r="S49" s="8">
        <v>51</v>
      </c>
      <c r="T49" s="8" t="s">
        <v>34</v>
      </c>
      <c r="U49" s="8">
        <v>14.58</v>
      </c>
    </row>
    <row r="50" spans="1:21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0"/>
      <c r="K50" s="8">
        <v>7.39</v>
      </c>
      <c r="L50" s="8">
        <v>7.26</v>
      </c>
      <c r="M50" s="8">
        <v>-1</v>
      </c>
      <c r="N50" s="8">
        <v>-10</v>
      </c>
      <c r="O50" s="8">
        <v>24.2</v>
      </c>
      <c r="P50" s="8">
        <v>16.2</v>
      </c>
      <c r="Q50" s="8">
        <v>4.5999999999999996</v>
      </c>
      <c r="R50" s="8">
        <v>4.8</v>
      </c>
      <c r="S50" s="8">
        <v>42</v>
      </c>
      <c r="T50" s="8">
        <v>45</v>
      </c>
      <c r="U50" s="8">
        <v>8.99</v>
      </c>
    </row>
    <row r="51" spans="1:21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0"/>
      <c r="K51" s="8">
        <v>7.33</v>
      </c>
      <c r="L51" s="8">
        <v>7.09</v>
      </c>
      <c r="M51" s="8">
        <v>-6</v>
      </c>
      <c r="N51" s="8">
        <v>-18</v>
      </c>
      <c r="O51" s="8">
        <v>18.8</v>
      </c>
      <c r="P51" s="8">
        <v>10.7</v>
      </c>
      <c r="Q51" s="8">
        <v>5.0999999999999996</v>
      </c>
      <c r="R51" s="8">
        <v>5.8</v>
      </c>
      <c r="S51" s="8">
        <v>43</v>
      </c>
      <c r="T51" s="8">
        <v>45</v>
      </c>
      <c r="U51" s="8">
        <v>13.87</v>
      </c>
    </row>
    <row r="52" spans="1:21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0"/>
      <c r="K52" s="8">
        <v>7.4189999999999996</v>
      </c>
      <c r="L52" s="8">
        <v>7.2629999999999999</v>
      </c>
      <c r="M52" s="8">
        <v>0</v>
      </c>
      <c r="N52" s="8">
        <v>-10</v>
      </c>
      <c r="O52" s="8">
        <v>24.6</v>
      </c>
      <c r="P52" s="8">
        <v>15.6</v>
      </c>
      <c r="Q52" s="8">
        <v>4.7</v>
      </c>
      <c r="R52" s="8">
        <v>4.4000000000000004</v>
      </c>
      <c r="S52" s="8">
        <v>44</v>
      </c>
      <c r="T52" s="8">
        <v>50</v>
      </c>
      <c r="U52" s="8">
        <v>7.85</v>
      </c>
    </row>
    <row r="53" spans="1:21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0"/>
      <c r="K53" s="8">
        <v>7.46</v>
      </c>
      <c r="L53" s="8" t="s">
        <v>34</v>
      </c>
      <c r="M53" s="8">
        <v>-1</v>
      </c>
      <c r="N53" s="8" t="s">
        <v>34</v>
      </c>
      <c r="O53" s="8">
        <v>23.6</v>
      </c>
      <c r="P53" s="8" t="s">
        <v>34</v>
      </c>
      <c r="Q53" s="8">
        <v>5</v>
      </c>
      <c r="R53" s="8" t="s">
        <v>34</v>
      </c>
      <c r="S53" s="8">
        <v>43</v>
      </c>
      <c r="T53" s="8" t="s">
        <v>34</v>
      </c>
      <c r="U53" s="8">
        <v>13.85</v>
      </c>
    </row>
    <row r="54" spans="1:21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0"/>
      <c r="K54" s="8">
        <v>7.3719999999999999</v>
      </c>
      <c r="L54" s="8">
        <v>7.1820000000000004</v>
      </c>
      <c r="M54" s="8">
        <v>-2</v>
      </c>
      <c r="N54" s="8">
        <v>-15</v>
      </c>
      <c r="O54" s="8">
        <v>23.6</v>
      </c>
      <c r="P54" s="8">
        <v>12.2</v>
      </c>
      <c r="Q54" s="8">
        <v>4.7</v>
      </c>
      <c r="R54" s="8">
        <v>4.0999999999999996</v>
      </c>
      <c r="S54" s="8">
        <v>46</v>
      </c>
      <c r="T54" s="8">
        <v>50</v>
      </c>
      <c r="U54" s="8">
        <v>12.23</v>
      </c>
    </row>
    <row r="55" spans="1:21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0"/>
      <c r="K55" s="8">
        <v>7.3730000000000002</v>
      </c>
      <c r="L55" s="8">
        <v>7.17</v>
      </c>
      <c r="M55" s="8">
        <v>-3</v>
      </c>
      <c r="N55" s="8">
        <v>-15</v>
      </c>
      <c r="O55" s="8">
        <v>22.3</v>
      </c>
      <c r="P55" s="8">
        <v>12.7</v>
      </c>
      <c r="Q55" s="8">
        <v>6.1</v>
      </c>
      <c r="R55" s="8">
        <v>6.4</v>
      </c>
      <c r="S55" s="8">
        <v>45</v>
      </c>
      <c r="T55" s="8">
        <v>47</v>
      </c>
      <c r="U55" s="8">
        <v>11.32</v>
      </c>
    </row>
    <row r="56" spans="1:21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0"/>
      <c r="K56" s="8">
        <v>7.39</v>
      </c>
      <c r="L56" s="8">
        <v>7.19</v>
      </c>
      <c r="M56" s="8">
        <v>0</v>
      </c>
      <c r="N56" s="8">
        <v>-13</v>
      </c>
      <c r="O56" s="8">
        <v>25</v>
      </c>
      <c r="P56" s="8">
        <v>13.8</v>
      </c>
      <c r="Q56" s="8">
        <v>5.9</v>
      </c>
      <c r="R56" s="8">
        <v>4.9000000000000004</v>
      </c>
      <c r="S56" s="8">
        <v>46</v>
      </c>
      <c r="T56" s="8">
        <v>48</v>
      </c>
      <c r="U56" s="8">
        <v>10.4</v>
      </c>
    </row>
    <row r="57" spans="1:21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0"/>
      <c r="K57" s="8">
        <v>7.4</v>
      </c>
      <c r="L57" s="8">
        <v>7.22</v>
      </c>
      <c r="M57" s="8">
        <v>2</v>
      </c>
      <c r="N57" s="8">
        <v>-10</v>
      </c>
      <c r="O57" s="8">
        <v>26.8</v>
      </c>
      <c r="P57" s="8">
        <v>17.100000000000001</v>
      </c>
      <c r="Q57" s="8">
        <v>7.2</v>
      </c>
      <c r="R57" s="8">
        <v>4.7</v>
      </c>
      <c r="S57" s="8">
        <v>50</v>
      </c>
      <c r="T57" s="8">
        <v>52</v>
      </c>
      <c r="U57" s="8">
        <v>11.62</v>
      </c>
    </row>
    <row r="58" spans="1:21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0"/>
      <c r="K58" s="8">
        <v>7.375</v>
      </c>
      <c r="L58" s="8">
        <v>7.1589999999999998</v>
      </c>
      <c r="M58" s="8">
        <v>-3</v>
      </c>
      <c r="N58" s="8">
        <v>-16</v>
      </c>
      <c r="O58" s="8">
        <v>22</v>
      </c>
      <c r="P58" s="8">
        <v>12.2</v>
      </c>
      <c r="Q58" s="8">
        <v>6</v>
      </c>
      <c r="R58" s="8">
        <v>5.8</v>
      </c>
      <c r="S58" s="8">
        <v>42</v>
      </c>
      <c r="T58" s="8">
        <v>46</v>
      </c>
      <c r="U58" s="8">
        <v>12.19</v>
      </c>
    </row>
    <row r="59" spans="1:21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0"/>
      <c r="K59" s="8">
        <v>7.37</v>
      </c>
      <c r="L59" s="8">
        <v>7.11</v>
      </c>
      <c r="M59" s="8">
        <v>-2</v>
      </c>
      <c r="N59" s="8">
        <v>-15</v>
      </c>
      <c r="O59" s="8">
        <v>22.7</v>
      </c>
      <c r="P59" s="8">
        <v>14.5</v>
      </c>
      <c r="Q59" s="8">
        <v>4.9000000000000004</v>
      </c>
      <c r="R59" s="8">
        <v>6.2</v>
      </c>
      <c r="S59" s="8">
        <v>43</v>
      </c>
      <c r="T59" s="8">
        <v>42</v>
      </c>
      <c r="U59" s="8">
        <v>14.18</v>
      </c>
    </row>
    <row r="60" spans="1:21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0"/>
      <c r="K60" s="8">
        <v>7.4</v>
      </c>
      <c r="L60" s="8">
        <v>7.1</v>
      </c>
      <c r="M60" s="8">
        <v>-2</v>
      </c>
      <c r="N60" s="8">
        <v>-17</v>
      </c>
      <c r="O60" s="8">
        <v>21.7</v>
      </c>
      <c r="P60" s="8">
        <v>12</v>
      </c>
      <c r="Q60" s="8">
        <v>5.8</v>
      </c>
      <c r="R60" s="8">
        <v>5.7</v>
      </c>
      <c r="S60" s="8">
        <v>45</v>
      </c>
      <c r="T60" s="8">
        <v>47</v>
      </c>
      <c r="U60" s="8">
        <v>11.38</v>
      </c>
    </row>
    <row r="61" spans="1:21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0"/>
      <c r="K61" s="8">
        <v>7.4029999999999996</v>
      </c>
      <c r="L61" s="8">
        <v>7.19</v>
      </c>
      <c r="M61" s="8">
        <v>2</v>
      </c>
      <c r="N61" s="8">
        <v>-15</v>
      </c>
      <c r="O61" s="8">
        <v>26.8</v>
      </c>
      <c r="P61" s="8">
        <v>12</v>
      </c>
      <c r="Q61" s="8">
        <v>7.2</v>
      </c>
      <c r="R61" s="8">
        <v>6</v>
      </c>
      <c r="S61" s="8">
        <v>50</v>
      </c>
      <c r="T61" s="8">
        <v>43</v>
      </c>
      <c r="U61" s="8">
        <v>11.64</v>
      </c>
    </row>
    <row r="62" spans="1:21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0"/>
      <c r="K62" s="8">
        <v>7.38</v>
      </c>
      <c r="L62" s="8">
        <v>7.25</v>
      </c>
      <c r="M62" s="8">
        <v>-4</v>
      </c>
      <c r="N62" s="8">
        <v>-10</v>
      </c>
      <c r="O62" s="8">
        <v>20.8</v>
      </c>
      <c r="P62" s="8">
        <v>16.2</v>
      </c>
      <c r="Q62" s="8">
        <v>4.7</v>
      </c>
      <c r="R62" s="8">
        <v>5.6</v>
      </c>
      <c r="S62" s="8">
        <v>36</v>
      </c>
      <c r="T62" s="8">
        <v>35</v>
      </c>
      <c r="U62" s="8">
        <v>9.11</v>
      </c>
    </row>
    <row r="63" spans="1:21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0"/>
      <c r="K63" s="8">
        <v>7.47</v>
      </c>
      <c r="L63" s="8">
        <v>7.24</v>
      </c>
      <c r="M63" s="8">
        <v>-2</v>
      </c>
      <c r="N63" s="8">
        <v>-13</v>
      </c>
      <c r="O63" s="8">
        <v>20.6</v>
      </c>
      <c r="P63" s="8">
        <v>12.9</v>
      </c>
      <c r="Q63" s="8">
        <v>6.5</v>
      </c>
      <c r="R63" s="8">
        <v>4.5999999999999996</v>
      </c>
      <c r="S63" s="8">
        <v>38</v>
      </c>
      <c r="T63" s="8">
        <v>12.9</v>
      </c>
      <c r="U63" s="8">
        <v>10.26</v>
      </c>
    </row>
    <row r="64" spans="1:21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0"/>
      <c r="K64" s="8">
        <v>7.42</v>
      </c>
      <c r="L64" s="8">
        <v>7.35</v>
      </c>
      <c r="M64" s="8">
        <v>-4</v>
      </c>
      <c r="N64" s="8">
        <v>-7</v>
      </c>
      <c r="O64" s="8">
        <v>19.600000000000001</v>
      </c>
      <c r="P64" s="8">
        <v>17.899999999999999</v>
      </c>
      <c r="Q64" s="8">
        <v>4.3</v>
      </c>
      <c r="R64" s="8">
        <v>5</v>
      </c>
      <c r="S64" s="8">
        <v>36</v>
      </c>
      <c r="T64" s="8">
        <v>38</v>
      </c>
      <c r="U64" s="8">
        <v>10.74</v>
      </c>
    </row>
    <row r="65" spans="1:21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0"/>
      <c r="K65" s="8">
        <v>7.44</v>
      </c>
      <c r="L65" s="8">
        <v>7.4</v>
      </c>
      <c r="M65" s="8">
        <v>-7</v>
      </c>
      <c r="N65" s="8">
        <v>-1</v>
      </c>
      <c r="O65" s="8">
        <v>15.3</v>
      </c>
      <c r="P65" s="8">
        <v>22.8</v>
      </c>
      <c r="Q65" s="8">
        <v>5.8</v>
      </c>
      <c r="R65" s="8">
        <v>8.1999999999999993</v>
      </c>
      <c r="S65" s="8">
        <v>45</v>
      </c>
      <c r="T65" s="8">
        <v>41</v>
      </c>
      <c r="U65" s="8">
        <v>9.2200000000000006</v>
      </c>
    </row>
    <row r="66" spans="1:21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0"/>
      <c r="K66" s="8" t="s">
        <v>34</v>
      </c>
      <c r="L66" s="8" t="s">
        <v>34</v>
      </c>
      <c r="M66" s="8" t="s">
        <v>34</v>
      </c>
      <c r="N66" s="8" t="s">
        <v>34</v>
      </c>
      <c r="O66" s="8" t="s">
        <v>34</v>
      </c>
      <c r="P66" s="8" t="s">
        <v>34</v>
      </c>
      <c r="Q66" s="8" t="s">
        <v>34</v>
      </c>
      <c r="R66" s="8" t="s">
        <v>34</v>
      </c>
      <c r="S66" s="8" t="s">
        <v>34</v>
      </c>
      <c r="T66" s="8" t="s">
        <v>34</v>
      </c>
      <c r="U66" s="8" t="s">
        <v>34</v>
      </c>
    </row>
    <row r="67" spans="1:21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0"/>
      <c r="K67" s="8" t="s">
        <v>34</v>
      </c>
      <c r="L67" s="8" t="s">
        <v>34</v>
      </c>
      <c r="M67" s="8" t="s">
        <v>34</v>
      </c>
      <c r="N67" s="8" t="s">
        <v>34</v>
      </c>
      <c r="O67" s="8" t="s">
        <v>34</v>
      </c>
      <c r="P67" s="8" t="s">
        <v>34</v>
      </c>
      <c r="Q67" s="8" t="s">
        <v>34</v>
      </c>
      <c r="R67" s="8" t="s">
        <v>34</v>
      </c>
      <c r="S67" s="8" t="s">
        <v>34</v>
      </c>
      <c r="T67" s="8" t="s">
        <v>34</v>
      </c>
      <c r="U67" s="8" t="s">
        <v>34</v>
      </c>
    </row>
    <row r="68" spans="1:21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0"/>
      <c r="K68" s="8">
        <v>7.4</v>
      </c>
      <c r="L68" s="8">
        <v>7.21</v>
      </c>
      <c r="M68" s="8">
        <v>-4</v>
      </c>
      <c r="N68" s="8">
        <v>-13</v>
      </c>
      <c r="O68" s="8">
        <v>20.100000000000001</v>
      </c>
      <c r="P68" s="8">
        <v>13.7</v>
      </c>
      <c r="Q68" s="8">
        <v>4.8</v>
      </c>
      <c r="R68" s="8">
        <v>6</v>
      </c>
      <c r="S68" s="8">
        <v>37</v>
      </c>
      <c r="T68" s="8">
        <v>41</v>
      </c>
      <c r="U68" s="8">
        <v>8.66</v>
      </c>
    </row>
    <row r="69" spans="1:21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0"/>
      <c r="K69" s="8">
        <v>7.4</v>
      </c>
      <c r="L69" s="8">
        <v>7.25</v>
      </c>
      <c r="M69" s="8">
        <v>-3</v>
      </c>
      <c r="N69" s="8">
        <v>-11</v>
      </c>
      <c r="O69" s="8">
        <v>21.2</v>
      </c>
      <c r="P69" s="8">
        <v>14.8</v>
      </c>
      <c r="Q69" s="8">
        <v>4.3</v>
      </c>
      <c r="R69" s="8">
        <v>4.5</v>
      </c>
      <c r="S69" s="8">
        <v>40</v>
      </c>
      <c r="T69" s="8">
        <v>41</v>
      </c>
      <c r="U69" s="8">
        <v>7.53</v>
      </c>
    </row>
    <row r="70" spans="1:21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0"/>
      <c r="K70" s="8">
        <v>7.41</v>
      </c>
      <c r="L70" s="8">
        <v>7.22</v>
      </c>
      <c r="M70" s="8">
        <v>-2</v>
      </c>
      <c r="N70" s="8">
        <v>-14</v>
      </c>
      <c r="O70" s="8">
        <v>22.6</v>
      </c>
      <c r="P70" s="8">
        <v>12</v>
      </c>
      <c r="Q70" s="8">
        <v>5.3</v>
      </c>
      <c r="R70" s="8">
        <v>5.7</v>
      </c>
      <c r="S70" s="8">
        <v>40</v>
      </c>
      <c r="T70" s="8">
        <v>41</v>
      </c>
      <c r="U70" s="8">
        <v>10.19</v>
      </c>
    </row>
    <row r="71" spans="1:21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0"/>
      <c r="K71" s="8">
        <v>7.4</v>
      </c>
      <c r="L71" s="8">
        <v>7.2629999999999999</v>
      </c>
      <c r="M71" s="8">
        <v>-3</v>
      </c>
      <c r="N71" s="8">
        <v>-12</v>
      </c>
      <c r="O71" s="8">
        <v>21.2</v>
      </c>
      <c r="P71" s="8">
        <v>14.4</v>
      </c>
      <c r="Q71" s="8">
        <v>6.6</v>
      </c>
      <c r="R71" s="8">
        <v>5.9</v>
      </c>
      <c r="S71" s="8">
        <v>33</v>
      </c>
      <c r="T71" s="8">
        <v>34</v>
      </c>
      <c r="U71" s="8">
        <v>9.58</v>
      </c>
    </row>
    <row r="72" spans="1:21" ht="16.5" thickBot="1" x14ac:dyDescent="0.3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0"/>
      <c r="K72" s="8">
        <v>7.38</v>
      </c>
      <c r="L72" s="8">
        <v>7.17</v>
      </c>
      <c r="M72" s="8">
        <v>-5</v>
      </c>
      <c r="N72" s="8">
        <v>-16</v>
      </c>
      <c r="O72" s="8">
        <v>19.7</v>
      </c>
      <c r="P72" s="8">
        <v>10.9</v>
      </c>
      <c r="Q72" s="8">
        <v>4.5999999999999996</v>
      </c>
      <c r="R72" s="8">
        <v>5.8</v>
      </c>
      <c r="S72" s="8">
        <v>37</v>
      </c>
      <c r="T72" s="8">
        <v>39</v>
      </c>
      <c r="U72" s="8">
        <v>11.46</v>
      </c>
    </row>
    <row r="73" spans="1:21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2" t="s">
        <v>8</v>
      </c>
      <c r="K73" s="8">
        <v>7.38</v>
      </c>
      <c r="L73" s="8">
        <v>7.2</v>
      </c>
      <c r="M73" s="8">
        <v>-4</v>
      </c>
      <c r="N73" s="8">
        <v>-14</v>
      </c>
      <c r="O73" s="8">
        <v>20.7</v>
      </c>
      <c r="P73" s="8">
        <v>13</v>
      </c>
      <c r="Q73" s="8">
        <v>6.5</v>
      </c>
      <c r="R73" s="8">
        <v>5</v>
      </c>
      <c r="S73" s="8">
        <v>35</v>
      </c>
      <c r="T73" s="8">
        <v>37</v>
      </c>
      <c r="U73" s="8">
        <v>9.64</v>
      </c>
    </row>
    <row r="74" spans="1:21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0"/>
      <c r="K74" s="8">
        <v>7.41</v>
      </c>
      <c r="L74" s="8">
        <v>7.21</v>
      </c>
      <c r="M74" s="8">
        <v>-2</v>
      </c>
      <c r="N74" s="8">
        <v>-14</v>
      </c>
      <c r="O74" s="8">
        <v>22.4</v>
      </c>
      <c r="P74" s="8">
        <v>12.3</v>
      </c>
      <c r="Q74" s="8">
        <v>5.4</v>
      </c>
      <c r="R74" s="8">
        <v>6.3</v>
      </c>
      <c r="S74" s="8">
        <v>37</v>
      </c>
      <c r="T74" s="8">
        <v>39</v>
      </c>
      <c r="U74" s="8">
        <v>11.06</v>
      </c>
    </row>
    <row r="75" spans="1:21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0"/>
      <c r="K75" s="8">
        <v>7.35</v>
      </c>
      <c r="L75" s="8">
        <v>7.18</v>
      </c>
      <c r="M75" s="8">
        <v>-6</v>
      </c>
      <c r="N75" s="8">
        <v>-15</v>
      </c>
      <c r="O75" s="8">
        <v>19</v>
      </c>
      <c r="P75" s="8">
        <v>11.9</v>
      </c>
      <c r="Q75" s="8">
        <v>4.9000000000000004</v>
      </c>
      <c r="R75" s="8">
        <v>4.9000000000000004</v>
      </c>
      <c r="S75" s="8">
        <v>35</v>
      </c>
      <c r="T75" s="8">
        <v>39</v>
      </c>
      <c r="U75" s="8">
        <v>11.74</v>
      </c>
    </row>
    <row r="76" spans="1:21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0"/>
      <c r="K76" s="8">
        <v>7.41</v>
      </c>
      <c r="L76" s="8">
        <v>7.29</v>
      </c>
      <c r="M76" s="8">
        <v>-2</v>
      </c>
      <c r="N76" s="8">
        <v>-10</v>
      </c>
      <c r="O76" s="8">
        <v>21.3</v>
      </c>
      <c r="P76" s="8">
        <v>15.8</v>
      </c>
      <c r="Q76" s="8">
        <v>5</v>
      </c>
      <c r="R76" s="8">
        <v>4.7</v>
      </c>
      <c r="S76" s="8">
        <v>43</v>
      </c>
      <c r="T76" s="8">
        <v>41</v>
      </c>
      <c r="U76" s="8">
        <v>8.15</v>
      </c>
    </row>
    <row r="77" spans="1:21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0"/>
      <c r="K77" s="19">
        <v>7.4009999999999998</v>
      </c>
      <c r="L77" s="19">
        <v>7.18</v>
      </c>
      <c r="M77" s="19">
        <v>-1</v>
      </c>
      <c r="N77" s="19">
        <v>-12</v>
      </c>
      <c r="O77" s="19">
        <v>23.5</v>
      </c>
      <c r="P77" s="19">
        <v>15.2</v>
      </c>
      <c r="Q77" s="19">
        <v>5.3</v>
      </c>
      <c r="R77" s="19">
        <v>5.8</v>
      </c>
      <c r="S77" s="19">
        <v>42</v>
      </c>
      <c r="T77" s="19">
        <v>48</v>
      </c>
      <c r="U77" s="19">
        <v>11.09</v>
      </c>
    </row>
    <row r="78" spans="1:21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0"/>
      <c r="K78" s="19">
        <v>7.4210000000000003</v>
      </c>
      <c r="L78" s="19">
        <v>7.22</v>
      </c>
      <c r="M78" s="19">
        <v>-2</v>
      </c>
      <c r="N78" s="19">
        <v>-12</v>
      </c>
      <c r="O78" s="19">
        <v>21.9</v>
      </c>
      <c r="P78" s="19">
        <v>15.3</v>
      </c>
      <c r="Q78" s="19">
        <v>6.3</v>
      </c>
      <c r="R78" s="19">
        <v>3.7</v>
      </c>
      <c r="S78" s="19">
        <v>42</v>
      </c>
      <c r="T78" s="19">
        <v>44</v>
      </c>
      <c r="U78" s="19">
        <v>10.72</v>
      </c>
    </row>
    <row r="79" spans="1:21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0"/>
      <c r="K79" s="19">
        <v>7.399</v>
      </c>
      <c r="L79" s="19">
        <v>7.2450000000000001</v>
      </c>
      <c r="M79" s="19">
        <v>-2</v>
      </c>
      <c r="N79" s="19">
        <v>-11</v>
      </c>
      <c r="O79" s="19">
        <v>22.6</v>
      </c>
      <c r="P79" s="19">
        <v>15.7</v>
      </c>
      <c r="Q79" s="19">
        <v>5.6</v>
      </c>
      <c r="R79" s="19">
        <v>5.8</v>
      </c>
      <c r="S79" s="19">
        <v>43</v>
      </c>
      <c r="T79" s="19">
        <v>45</v>
      </c>
      <c r="U79" s="19">
        <v>7.43</v>
      </c>
    </row>
    <row r="80" spans="1:21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0"/>
      <c r="K80" s="19">
        <v>7.3879999999999999</v>
      </c>
      <c r="L80" s="19">
        <v>7.2590000000000003</v>
      </c>
      <c r="M80" s="19">
        <v>0</v>
      </c>
      <c r="N80" s="19">
        <v>-9</v>
      </c>
      <c r="O80" s="19">
        <v>24.7</v>
      </c>
      <c r="P80" s="19">
        <v>17.7</v>
      </c>
      <c r="Q80" s="19">
        <v>6.1</v>
      </c>
      <c r="R80" s="19">
        <v>5.5</v>
      </c>
      <c r="S80" s="19">
        <v>45</v>
      </c>
      <c r="T80" s="19">
        <v>47</v>
      </c>
      <c r="U80" s="19">
        <v>7.5</v>
      </c>
    </row>
    <row r="81" spans="1:21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0"/>
      <c r="K81" s="19">
        <v>7.44</v>
      </c>
      <c r="L81" s="19">
        <v>7.31</v>
      </c>
      <c r="M81" s="19">
        <v>0</v>
      </c>
      <c r="N81" s="19">
        <v>-6</v>
      </c>
      <c r="O81" s="19">
        <v>22.9</v>
      </c>
      <c r="P81" s="19">
        <v>19.100000000000001</v>
      </c>
      <c r="Q81" s="19">
        <v>6.6</v>
      </c>
      <c r="R81" s="19">
        <v>5.8</v>
      </c>
      <c r="S81" s="19">
        <v>44</v>
      </c>
      <c r="T81" s="19">
        <v>45</v>
      </c>
      <c r="U81" s="19">
        <v>6.89</v>
      </c>
    </row>
    <row r="82" spans="1:21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0"/>
      <c r="K82" s="19">
        <v>7.4</v>
      </c>
      <c r="L82" s="8" t="s">
        <v>34</v>
      </c>
      <c r="M82" s="19">
        <v>0</v>
      </c>
      <c r="N82" s="8" t="s">
        <v>34</v>
      </c>
      <c r="O82" s="19">
        <v>24.6</v>
      </c>
      <c r="P82" s="8" t="s">
        <v>34</v>
      </c>
      <c r="Q82" s="19">
        <v>4.9000000000000004</v>
      </c>
      <c r="R82" s="8" t="s">
        <v>34</v>
      </c>
      <c r="S82" s="19">
        <v>43</v>
      </c>
      <c r="T82" s="8" t="s">
        <v>34</v>
      </c>
      <c r="U82" s="8" t="s">
        <v>34</v>
      </c>
    </row>
    <row r="83" spans="1:21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0"/>
      <c r="K83" s="19">
        <v>7</v>
      </c>
      <c r="L83" s="8" t="s">
        <v>34</v>
      </c>
      <c r="M83" s="8" t="s">
        <v>34</v>
      </c>
      <c r="N83" s="8" t="s">
        <v>34</v>
      </c>
      <c r="O83" s="8" t="s">
        <v>34</v>
      </c>
      <c r="P83" s="8" t="s">
        <v>34</v>
      </c>
      <c r="Q83" s="8" t="s">
        <v>34</v>
      </c>
      <c r="R83" s="8" t="s">
        <v>34</v>
      </c>
      <c r="S83" s="8" t="s">
        <v>34</v>
      </c>
      <c r="T83" s="8" t="s">
        <v>34</v>
      </c>
      <c r="U83" s="8" t="s">
        <v>34</v>
      </c>
    </row>
    <row r="84" spans="1:21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0"/>
      <c r="K84" s="19">
        <v>7.3949999999999996</v>
      </c>
      <c r="L84" s="19">
        <v>7.2229999999999999</v>
      </c>
      <c r="M84" s="19">
        <v>0</v>
      </c>
      <c r="N84" s="19">
        <v>-11</v>
      </c>
      <c r="O84" s="19">
        <v>24.9</v>
      </c>
      <c r="P84" s="19">
        <v>15.5</v>
      </c>
      <c r="Q84" s="19">
        <v>4.9000000000000004</v>
      </c>
      <c r="R84" s="19">
        <v>4.7</v>
      </c>
      <c r="S84" s="19">
        <v>44</v>
      </c>
      <c r="T84" s="19">
        <v>47</v>
      </c>
      <c r="U84" s="19">
        <v>11.1</v>
      </c>
    </row>
    <row r="85" spans="1:21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0"/>
      <c r="K85" s="19">
        <v>7.4539999999999997</v>
      </c>
      <c r="L85" s="19">
        <v>7.343</v>
      </c>
      <c r="M85" s="19">
        <v>3</v>
      </c>
      <c r="N85" s="19">
        <v>-6</v>
      </c>
      <c r="O85" s="19">
        <v>26.8</v>
      </c>
      <c r="P85" s="19">
        <v>18.600000000000001</v>
      </c>
      <c r="Q85" s="19">
        <v>6.2</v>
      </c>
      <c r="R85" s="19">
        <v>5.2</v>
      </c>
      <c r="S85" s="19">
        <v>39</v>
      </c>
      <c r="T85" s="19">
        <v>42</v>
      </c>
      <c r="U85" s="19">
        <v>10.43</v>
      </c>
    </row>
    <row r="86" spans="1:21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0"/>
      <c r="K86" s="19">
        <v>7.37</v>
      </c>
      <c r="L86" s="19">
        <v>7.194</v>
      </c>
      <c r="M86" s="19">
        <v>-1</v>
      </c>
      <c r="N86" s="19">
        <v>-12</v>
      </c>
      <c r="O86" s="19">
        <v>23.9</v>
      </c>
      <c r="P86" s="19">
        <v>15.4</v>
      </c>
      <c r="Q86" s="19">
        <v>5.2</v>
      </c>
      <c r="R86" s="19">
        <v>5.9</v>
      </c>
      <c r="S86" s="19">
        <v>43</v>
      </c>
      <c r="T86" s="19">
        <v>45</v>
      </c>
      <c r="U86" s="19">
        <v>7.8</v>
      </c>
    </row>
    <row r="87" spans="1:21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0"/>
      <c r="K87" s="19">
        <v>7.38</v>
      </c>
      <c r="L87" s="19">
        <v>7.2249999999999996</v>
      </c>
      <c r="M87" s="19">
        <v>-1</v>
      </c>
      <c r="N87" s="19">
        <v>-11</v>
      </c>
      <c r="O87" s="19">
        <v>23.7</v>
      </c>
      <c r="P87" s="19">
        <v>15.7</v>
      </c>
      <c r="Q87" s="19">
        <v>4.9000000000000004</v>
      </c>
      <c r="R87" s="19">
        <v>5.7</v>
      </c>
      <c r="S87" s="19">
        <v>43</v>
      </c>
      <c r="T87" s="19">
        <v>44</v>
      </c>
      <c r="U87" s="19">
        <v>8.5299999999999994</v>
      </c>
    </row>
    <row r="88" spans="1:21" ht="18.75" customHeight="1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0"/>
      <c r="K88" s="19">
        <v>7.407</v>
      </c>
      <c r="L88" s="19" t="s">
        <v>34</v>
      </c>
      <c r="M88" s="19">
        <v>1</v>
      </c>
      <c r="N88" s="19" t="s">
        <v>34</v>
      </c>
      <c r="O88" s="19">
        <v>25.7</v>
      </c>
      <c r="P88" s="19" t="s">
        <v>34</v>
      </c>
      <c r="Q88" s="19">
        <v>5</v>
      </c>
      <c r="R88" s="19" t="s">
        <v>34</v>
      </c>
      <c r="S88" s="19">
        <v>42</v>
      </c>
      <c r="T88" s="19" t="s">
        <v>34</v>
      </c>
      <c r="U88" s="19" t="s">
        <v>34</v>
      </c>
    </row>
    <row r="89" spans="1:21" ht="15" customHeight="1" x14ac:dyDescent="0.25">
      <c r="A89" s="10">
        <v>88</v>
      </c>
      <c r="B89" s="1" t="s">
        <v>472</v>
      </c>
      <c r="C89" s="75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0"/>
      <c r="K89" s="19">
        <v>7.3940000000000001</v>
      </c>
      <c r="L89" s="19">
        <v>7.242</v>
      </c>
      <c r="M89" s="19">
        <v>-3</v>
      </c>
      <c r="N89" s="19">
        <v>-12</v>
      </c>
      <c r="O89" s="19">
        <v>21.2</v>
      </c>
      <c r="P89" s="19">
        <v>13.7</v>
      </c>
      <c r="Q89" s="19">
        <v>5</v>
      </c>
      <c r="R89" s="19">
        <v>6.4</v>
      </c>
      <c r="S89" s="19">
        <v>40</v>
      </c>
      <c r="T89" s="19">
        <v>46</v>
      </c>
      <c r="U89" s="19">
        <v>9.59</v>
      </c>
    </row>
    <row r="90" spans="1:21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0"/>
      <c r="K90" s="19">
        <v>7.3789999999999996</v>
      </c>
      <c r="L90" s="19">
        <v>7.19</v>
      </c>
      <c r="M90" s="19">
        <v>-1</v>
      </c>
      <c r="N90" s="19">
        <v>-12</v>
      </c>
      <c r="O90" s="19">
        <v>24.1</v>
      </c>
      <c r="P90" s="19">
        <v>15.7</v>
      </c>
      <c r="Q90" s="19">
        <v>4.9000000000000004</v>
      </c>
      <c r="R90" s="19">
        <v>6</v>
      </c>
      <c r="S90" s="19">
        <v>42</v>
      </c>
      <c r="T90" s="19">
        <v>42</v>
      </c>
      <c r="U90" s="19">
        <v>9.6300000000000008</v>
      </c>
    </row>
    <row r="91" spans="1:21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0"/>
      <c r="K91" s="19">
        <v>7.39</v>
      </c>
      <c r="L91" s="19">
        <v>7.21</v>
      </c>
      <c r="M91" s="19">
        <v>-3</v>
      </c>
      <c r="N91" s="19">
        <v>-13</v>
      </c>
      <c r="O91" s="19">
        <v>21.4</v>
      </c>
      <c r="P91" s="19">
        <v>13.8</v>
      </c>
      <c r="Q91" s="19">
        <v>5</v>
      </c>
      <c r="R91" s="19">
        <v>5.9</v>
      </c>
      <c r="S91" s="19">
        <v>42</v>
      </c>
      <c r="T91" s="19">
        <v>45</v>
      </c>
      <c r="U91" s="19">
        <v>9.74</v>
      </c>
    </row>
    <row r="92" spans="1:21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0"/>
      <c r="K92" s="19">
        <v>7.4160000000000004</v>
      </c>
      <c r="L92" s="19">
        <v>7.2619999999999996</v>
      </c>
      <c r="M92" s="19">
        <v>-1</v>
      </c>
      <c r="N92" s="19">
        <v>-11</v>
      </c>
      <c r="O92" s="19">
        <v>22.7</v>
      </c>
      <c r="P92" s="19">
        <v>15.4</v>
      </c>
      <c r="Q92" s="19">
        <v>4.9000000000000004</v>
      </c>
      <c r="R92" s="19">
        <v>5.9</v>
      </c>
      <c r="S92" s="19">
        <v>39</v>
      </c>
      <c r="T92" s="19">
        <v>40</v>
      </c>
      <c r="U92" s="19">
        <v>8.6999999999999993</v>
      </c>
    </row>
    <row r="93" spans="1:21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0"/>
      <c r="K93" s="19">
        <v>7.41</v>
      </c>
      <c r="L93" s="19">
        <v>7.18</v>
      </c>
      <c r="M93" s="19">
        <v>-1</v>
      </c>
      <c r="N93" s="19">
        <v>-13</v>
      </c>
      <c r="O93" s="19">
        <v>22.8</v>
      </c>
      <c r="P93" s="19">
        <v>22.8</v>
      </c>
      <c r="Q93" s="19">
        <v>6.8</v>
      </c>
      <c r="R93" s="19">
        <v>4.7</v>
      </c>
      <c r="S93" s="19">
        <v>45</v>
      </c>
      <c r="T93" s="19">
        <v>50</v>
      </c>
      <c r="U93" s="19">
        <v>10.39</v>
      </c>
    </row>
    <row r="94" spans="1:21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0"/>
      <c r="K94" s="19">
        <v>7.3760000000000003</v>
      </c>
      <c r="L94" s="19">
        <v>7.266</v>
      </c>
      <c r="M94" s="19">
        <v>-3</v>
      </c>
      <c r="N94" s="19">
        <v>-11</v>
      </c>
      <c r="O94" s="19">
        <v>21.6</v>
      </c>
      <c r="P94" s="19">
        <v>14.9</v>
      </c>
      <c r="Q94" s="19">
        <v>5.8</v>
      </c>
      <c r="R94" s="19">
        <v>5.7</v>
      </c>
      <c r="S94" s="19">
        <v>36</v>
      </c>
      <c r="T94" s="19">
        <v>40</v>
      </c>
      <c r="U94" s="19">
        <v>7.26</v>
      </c>
    </row>
    <row r="95" spans="1:21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0"/>
      <c r="K95" s="19">
        <v>7.4</v>
      </c>
      <c r="L95" s="19">
        <v>7.22</v>
      </c>
      <c r="M95" s="19">
        <v>-3</v>
      </c>
      <c r="N95" s="19">
        <v>-14</v>
      </c>
      <c r="O95" s="19">
        <v>21.5</v>
      </c>
      <c r="P95" s="19">
        <v>11.9</v>
      </c>
      <c r="Q95" s="19">
        <v>4.5</v>
      </c>
      <c r="R95" s="19">
        <v>5.9</v>
      </c>
      <c r="S95" s="19">
        <v>41</v>
      </c>
      <c r="T95" s="19">
        <v>45</v>
      </c>
      <c r="U95" s="19">
        <v>10</v>
      </c>
    </row>
    <row r="96" spans="1:21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0"/>
      <c r="K96" s="19">
        <v>7.41</v>
      </c>
      <c r="L96" s="19">
        <v>7.1849999999999996</v>
      </c>
      <c r="M96" s="19">
        <v>-2</v>
      </c>
      <c r="N96" s="19">
        <v>-14</v>
      </c>
      <c r="O96" s="19">
        <v>22.6</v>
      </c>
      <c r="P96" s="19">
        <v>12.9</v>
      </c>
      <c r="Q96" s="19">
        <v>4.9000000000000004</v>
      </c>
      <c r="R96" s="19">
        <v>5.6</v>
      </c>
      <c r="S96" s="19">
        <v>43</v>
      </c>
      <c r="T96" s="19">
        <v>44</v>
      </c>
      <c r="U96" s="19">
        <v>11.76</v>
      </c>
    </row>
    <row r="97" spans="1:21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0"/>
      <c r="K97" s="19">
        <v>7.3840000000000003</v>
      </c>
      <c r="L97" s="19">
        <v>7.2</v>
      </c>
      <c r="M97" s="19">
        <v>0</v>
      </c>
      <c r="N97" s="19">
        <v>-12</v>
      </c>
      <c r="O97" s="19">
        <v>25</v>
      </c>
      <c r="P97" s="19">
        <v>15.6</v>
      </c>
      <c r="Q97" s="19">
        <v>4.8</v>
      </c>
      <c r="R97" s="19">
        <v>6.2</v>
      </c>
      <c r="S97" s="19">
        <v>44</v>
      </c>
      <c r="T97" s="19">
        <v>45</v>
      </c>
      <c r="U97" s="19">
        <v>9.5</v>
      </c>
    </row>
    <row r="98" spans="1:21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0"/>
      <c r="K98" s="19">
        <v>7.4029999999999996</v>
      </c>
      <c r="L98" s="19">
        <v>7.22</v>
      </c>
      <c r="M98" s="19">
        <v>-2</v>
      </c>
      <c r="N98" s="19">
        <v>-12</v>
      </c>
      <c r="O98" s="19">
        <v>22.2</v>
      </c>
      <c r="P98" s="19">
        <v>15.1</v>
      </c>
      <c r="Q98" s="19">
        <v>5.2</v>
      </c>
      <c r="R98" s="19">
        <v>5.8</v>
      </c>
      <c r="S98" s="19">
        <v>47</v>
      </c>
      <c r="T98" s="19">
        <v>50</v>
      </c>
      <c r="U98" s="19">
        <v>9.33</v>
      </c>
    </row>
    <row r="99" spans="1:21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0"/>
      <c r="K99" s="19">
        <v>7.3780000000000001</v>
      </c>
      <c r="L99" s="19">
        <v>7.18</v>
      </c>
      <c r="M99" s="19">
        <v>-2</v>
      </c>
      <c r="N99" s="19">
        <v>-12</v>
      </c>
      <c r="O99" s="19">
        <v>22.8</v>
      </c>
      <c r="P99" s="19">
        <v>16.2</v>
      </c>
      <c r="Q99" s="19">
        <v>4.5999999999999996</v>
      </c>
      <c r="R99" s="19">
        <v>5.5</v>
      </c>
      <c r="S99" s="19">
        <v>48</v>
      </c>
      <c r="T99" s="19">
        <v>49</v>
      </c>
      <c r="U99" s="19">
        <v>8.11</v>
      </c>
    </row>
    <row r="100" spans="1:21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60"/>
      <c r="K100" s="19">
        <v>7.41</v>
      </c>
      <c r="L100" s="19">
        <v>7.18</v>
      </c>
      <c r="M100" s="19">
        <v>0</v>
      </c>
      <c r="N100" s="19">
        <v>-14</v>
      </c>
      <c r="O100" s="19">
        <v>24.2</v>
      </c>
      <c r="P100" s="19">
        <v>12.9</v>
      </c>
      <c r="Q100" s="19">
        <v>5</v>
      </c>
      <c r="R100" s="19">
        <v>5.8</v>
      </c>
      <c r="S100" s="19">
        <v>46</v>
      </c>
      <c r="T100" s="19">
        <v>50</v>
      </c>
      <c r="U100" s="19">
        <v>14.64</v>
      </c>
    </row>
    <row r="101" spans="1:21" ht="15.75" x14ac:dyDescent="0.25">
      <c r="A101" s="10">
        <v>100</v>
      </c>
      <c r="B101" s="56" t="s">
        <v>534</v>
      </c>
      <c r="C101" s="56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0"/>
      <c r="K101" s="19">
        <v>7.38</v>
      </c>
      <c r="L101" s="19">
        <v>7.26</v>
      </c>
      <c r="M101" s="19">
        <v>-1</v>
      </c>
      <c r="N101" s="19">
        <v>-10</v>
      </c>
      <c r="O101" s="19">
        <v>23.5</v>
      </c>
      <c r="P101" s="19">
        <v>16.399999999999999</v>
      </c>
      <c r="Q101" s="19">
        <v>5.9</v>
      </c>
      <c r="R101" s="19">
        <v>6.3</v>
      </c>
      <c r="S101" s="19">
        <v>50</v>
      </c>
      <c r="T101" s="19">
        <v>50</v>
      </c>
      <c r="U101" s="19">
        <v>10.79</v>
      </c>
    </row>
    <row r="102" spans="1:21" ht="15.75" x14ac:dyDescent="0.25">
      <c r="A102" s="10">
        <v>101</v>
      </c>
      <c r="B102" s="56" t="s">
        <v>536</v>
      </c>
      <c r="C102" s="56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0"/>
      <c r="K102" s="19">
        <v>7.33</v>
      </c>
      <c r="L102" s="19">
        <v>7.25</v>
      </c>
      <c r="M102" s="19">
        <v>-3</v>
      </c>
      <c r="N102" s="19">
        <v>-10</v>
      </c>
      <c r="O102" s="19">
        <v>22.3</v>
      </c>
      <c r="P102" s="19">
        <v>16.100000000000001</v>
      </c>
      <c r="Q102" s="19">
        <v>5.5</v>
      </c>
      <c r="R102" s="19">
        <v>5.6</v>
      </c>
      <c r="S102" s="19">
        <v>43</v>
      </c>
      <c r="T102" s="19">
        <v>44</v>
      </c>
      <c r="U102" s="19">
        <v>9.41</v>
      </c>
    </row>
    <row r="103" spans="1:21" ht="15.75" x14ac:dyDescent="0.25">
      <c r="A103" s="10">
        <v>102</v>
      </c>
      <c r="B103" s="56" t="s">
        <v>537</v>
      </c>
      <c r="C103" s="56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0"/>
      <c r="K103" s="19">
        <v>7.41</v>
      </c>
      <c r="L103" s="19">
        <v>7.34</v>
      </c>
      <c r="M103" s="19">
        <v>2</v>
      </c>
      <c r="N103" s="19">
        <v>-4</v>
      </c>
      <c r="O103" s="19">
        <v>26.6</v>
      </c>
      <c r="P103" s="19">
        <v>21.2</v>
      </c>
      <c r="Q103" s="19">
        <v>6.2</v>
      </c>
      <c r="R103" s="19">
        <v>4.0999999999999996</v>
      </c>
      <c r="S103" s="19">
        <v>49</v>
      </c>
      <c r="T103" s="19">
        <v>49</v>
      </c>
      <c r="U103" s="19">
        <v>6.54</v>
      </c>
    </row>
    <row r="104" spans="1:21" ht="15.75" x14ac:dyDescent="0.25">
      <c r="A104" s="10">
        <v>103</v>
      </c>
      <c r="B104" s="56" t="s">
        <v>538</v>
      </c>
      <c r="C104" s="56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0"/>
      <c r="K104" s="19">
        <v>7.4020000000000001</v>
      </c>
      <c r="L104" s="19" t="s">
        <v>34</v>
      </c>
      <c r="M104" s="19">
        <v>-1</v>
      </c>
      <c r="N104" s="19" t="s">
        <v>34</v>
      </c>
      <c r="O104" s="19">
        <v>23.6</v>
      </c>
      <c r="P104" s="19" t="s">
        <v>34</v>
      </c>
      <c r="Q104" s="19">
        <v>5.9</v>
      </c>
      <c r="R104" s="19" t="s">
        <v>34</v>
      </c>
      <c r="S104" s="19">
        <v>44</v>
      </c>
      <c r="T104" s="19" t="s">
        <v>34</v>
      </c>
      <c r="U104" s="19">
        <v>11.75</v>
      </c>
    </row>
    <row r="105" spans="1:21" ht="15.75" x14ac:dyDescent="0.25">
      <c r="A105" s="10">
        <v>104</v>
      </c>
      <c r="B105" s="56" t="s">
        <v>539</v>
      </c>
      <c r="C105" s="56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0"/>
      <c r="K105" s="19">
        <v>7.37</v>
      </c>
      <c r="L105" s="19">
        <v>7.27</v>
      </c>
      <c r="M105" s="19">
        <v>-2</v>
      </c>
      <c r="N105" s="19">
        <v>-9</v>
      </c>
      <c r="O105" s="19">
        <v>23</v>
      </c>
      <c r="P105" s="19">
        <v>17.3</v>
      </c>
      <c r="Q105" s="19">
        <v>7.9</v>
      </c>
      <c r="R105" s="19">
        <v>5.5</v>
      </c>
      <c r="S105" s="19">
        <v>43</v>
      </c>
      <c r="T105" s="19">
        <v>45</v>
      </c>
      <c r="U105" s="19">
        <v>6.54</v>
      </c>
    </row>
    <row r="106" spans="1:21" ht="15.75" x14ac:dyDescent="0.25">
      <c r="A106" s="10">
        <v>105</v>
      </c>
      <c r="B106" s="56" t="s">
        <v>540</v>
      </c>
      <c r="C106" s="56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0"/>
      <c r="K106" s="19">
        <v>7.37</v>
      </c>
      <c r="L106" s="19">
        <v>7.19</v>
      </c>
      <c r="M106" s="19">
        <v>-3</v>
      </c>
      <c r="N106" s="19">
        <v>-14</v>
      </c>
      <c r="O106" s="19">
        <v>22.3</v>
      </c>
      <c r="P106" s="19">
        <v>13.3</v>
      </c>
      <c r="Q106" s="19">
        <v>7.4</v>
      </c>
      <c r="R106" s="19">
        <v>4.2</v>
      </c>
      <c r="S106" s="19">
        <v>41</v>
      </c>
      <c r="T106" s="19">
        <v>44</v>
      </c>
      <c r="U106" s="19">
        <v>10.26</v>
      </c>
    </row>
    <row r="107" spans="1:21" ht="15.75" x14ac:dyDescent="0.25">
      <c r="A107" s="10">
        <v>106</v>
      </c>
      <c r="B107" s="56" t="s">
        <v>541</v>
      </c>
      <c r="C107" s="56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0"/>
      <c r="K107" s="19">
        <v>7.43</v>
      </c>
      <c r="L107" s="19">
        <v>7.24</v>
      </c>
      <c r="M107" s="19">
        <v>-2</v>
      </c>
      <c r="N107" s="19">
        <v>-10</v>
      </c>
      <c r="O107" s="19">
        <v>21.1</v>
      </c>
      <c r="P107" s="19">
        <v>16.2</v>
      </c>
      <c r="Q107" s="19">
        <v>7.7</v>
      </c>
      <c r="R107" s="19">
        <v>5.7</v>
      </c>
      <c r="S107" s="19">
        <v>46</v>
      </c>
      <c r="T107" s="19">
        <v>47</v>
      </c>
      <c r="U107" s="19">
        <v>13.89</v>
      </c>
    </row>
    <row r="108" spans="1:21" ht="15.75" x14ac:dyDescent="0.25">
      <c r="A108" s="10">
        <v>107</v>
      </c>
      <c r="B108" s="56" t="s">
        <v>542</v>
      </c>
      <c r="C108" s="56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0"/>
      <c r="K108" s="19">
        <v>7.38</v>
      </c>
      <c r="L108" s="19">
        <v>7.23</v>
      </c>
      <c r="M108" s="19">
        <v>-4</v>
      </c>
      <c r="N108" s="19">
        <v>-14</v>
      </c>
      <c r="O108" s="19">
        <v>20.8</v>
      </c>
      <c r="P108" s="19">
        <v>11.5</v>
      </c>
      <c r="Q108" s="19">
        <v>4.5999999999999996</v>
      </c>
      <c r="R108" s="19">
        <v>75</v>
      </c>
      <c r="S108" s="19">
        <v>43</v>
      </c>
      <c r="T108" s="19">
        <v>44</v>
      </c>
      <c r="U108" s="19">
        <v>10.48</v>
      </c>
    </row>
    <row r="109" spans="1:21" ht="15.75" x14ac:dyDescent="0.25">
      <c r="A109" s="10">
        <v>108</v>
      </c>
      <c r="B109" s="56" t="s">
        <v>543</v>
      </c>
      <c r="C109" s="56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0"/>
      <c r="K109" s="19">
        <v>7.47</v>
      </c>
      <c r="L109" s="19" t="s">
        <v>34</v>
      </c>
      <c r="M109" s="19">
        <v>0</v>
      </c>
      <c r="N109" s="19" t="s">
        <v>34</v>
      </c>
      <c r="O109" s="19">
        <v>22.4</v>
      </c>
      <c r="P109" s="19" t="s">
        <v>34</v>
      </c>
      <c r="Q109" s="19">
        <v>8.6999999999999993</v>
      </c>
      <c r="R109" s="19" t="s">
        <v>34</v>
      </c>
      <c r="S109" s="19">
        <v>38</v>
      </c>
      <c r="T109" s="19" t="s">
        <v>34</v>
      </c>
      <c r="U109" s="19">
        <v>11.58</v>
      </c>
    </row>
    <row r="110" spans="1:21" x14ac:dyDescent="0.25">
      <c r="J110" s="60"/>
    </row>
    <row r="111" spans="1:21" x14ac:dyDescent="0.25">
      <c r="J111" s="60"/>
    </row>
    <row r="112" spans="1:21" x14ac:dyDescent="0.25">
      <c r="J112" s="60"/>
    </row>
    <row r="113" spans="10:10" x14ac:dyDescent="0.25">
      <c r="J113" s="60"/>
    </row>
    <row r="114" spans="10:10" x14ac:dyDescent="0.25">
      <c r="J114" s="60"/>
    </row>
    <row r="115" spans="10:10" x14ac:dyDescent="0.25">
      <c r="J115" s="60"/>
    </row>
    <row r="116" spans="10:10" x14ac:dyDescent="0.25">
      <c r="J116" s="60"/>
    </row>
    <row r="117" spans="10:10" x14ac:dyDescent="0.25">
      <c r="J117" s="60"/>
    </row>
    <row r="118" spans="10:10" x14ac:dyDescent="0.25">
      <c r="J118" s="60"/>
    </row>
    <row r="119" spans="10:10" x14ac:dyDescent="0.25">
      <c r="J119" s="60"/>
    </row>
    <row r="120" spans="10:10" x14ac:dyDescent="0.25">
      <c r="J120" s="60"/>
    </row>
    <row r="121" spans="10:10" x14ac:dyDescent="0.25">
      <c r="J121" s="60"/>
    </row>
    <row r="122" spans="10:10" x14ac:dyDescent="0.25">
      <c r="J122" s="60"/>
    </row>
    <row r="123" spans="10:10" x14ac:dyDescent="0.25">
      <c r="J123" s="60"/>
    </row>
    <row r="124" spans="10:10" x14ac:dyDescent="0.25">
      <c r="J124" s="60"/>
    </row>
    <row r="125" spans="10:10" x14ac:dyDescent="0.25">
      <c r="J125" s="60"/>
    </row>
    <row r="126" spans="10:10" x14ac:dyDescent="0.25">
      <c r="J126" s="60"/>
    </row>
    <row r="127" spans="10:10" x14ac:dyDescent="0.25">
      <c r="J127" s="60"/>
    </row>
    <row r="128" spans="10:10" x14ac:dyDescent="0.25">
      <c r="J128" s="60"/>
    </row>
    <row r="129" spans="10:10" x14ac:dyDescent="0.25">
      <c r="J129" s="60"/>
    </row>
    <row r="130" spans="10:10" x14ac:dyDescent="0.25">
      <c r="J130" s="60"/>
    </row>
    <row r="131" spans="10:10" x14ac:dyDescent="0.25">
      <c r="J131" s="60"/>
    </row>
    <row r="132" spans="10:10" x14ac:dyDescent="0.25">
      <c r="J132" s="60"/>
    </row>
    <row r="133" spans="10:10" x14ac:dyDescent="0.25">
      <c r="J133" s="60"/>
    </row>
    <row r="134" spans="10:10" x14ac:dyDescent="0.25">
      <c r="J134" s="60"/>
    </row>
    <row r="135" spans="10:10" x14ac:dyDescent="0.25">
      <c r="J135" s="60"/>
    </row>
    <row r="136" spans="10:10" x14ac:dyDescent="0.25">
      <c r="J136" s="60"/>
    </row>
  </sheetData>
  <mergeCells count="2">
    <mergeCell ref="J1:J72"/>
    <mergeCell ref="J73:J1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9C02B-6587-4879-98D5-FF8FC205F2FF}">
  <dimension ref="A1:DB152"/>
  <sheetViews>
    <sheetView zoomScale="70" zoomScaleNormal="70" workbookViewId="0">
      <selection activeCell="G114" sqref="G114:H121"/>
    </sheetView>
  </sheetViews>
  <sheetFormatPr baseColWidth="10" defaultRowHeight="15" x14ac:dyDescent="0.25"/>
  <cols>
    <col min="1" max="1" width="14" bestFit="1" customWidth="1"/>
    <col min="2" max="3" width="13.140625" bestFit="1" customWidth="1"/>
    <col min="4" max="5" width="8.140625" bestFit="1" customWidth="1"/>
    <col min="6" max="6" width="6.85546875" bestFit="1" customWidth="1"/>
    <col min="7" max="7" width="13.85546875" bestFit="1" customWidth="1"/>
    <col min="8" max="8" width="6.7109375" bestFit="1" customWidth="1"/>
    <col min="9" max="9" width="8.140625" bestFit="1" customWidth="1"/>
    <col min="10" max="10" width="10.140625" bestFit="1" customWidth="1"/>
    <col min="11" max="11" width="12.28515625" style="32" bestFit="1" customWidth="1"/>
    <col min="12" max="19" width="15" style="32" bestFit="1" customWidth="1"/>
    <col min="20" max="20" width="18.28515625" style="32" bestFit="1" customWidth="1"/>
    <col min="21" max="21" width="16.85546875" style="32" bestFit="1" customWidth="1"/>
    <col min="22" max="23" width="16" style="32" bestFit="1" customWidth="1"/>
    <col min="24" max="24" width="15" style="32" bestFit="1" customWidth="1"/>
    <col min="25" max="25" width="10.140625" style="32" bestFit="1" customWidth="1"/>
    <col min="26" max="26" width="12.28515625" style="32" bestFit="1" customWidth="1"/>
    <col min="27" max="34" width="15" style="32" bestFit="1" customWidth="1"/>
    <col min="35" max="35" width="18.28515625" style="32" bestFit="1" customWidth="1"/>
    <col min="36" max="36" width="16.85546875" style="32" bestFit="1" customWidth="1"/>
    <col min="37" max="38" width="16" style="32" bestFit="1" customWidth="1"/>
    <col min="39" max="39" width="15" style="32" bestFit="1" customWidth="1"/>
    <col min="40" max="40" width="10.140625" style="32" bestFit="1" customWidth="1"/>
    <col min="41" max="41" width="12.28515625" style="32" bestFit="1" customWidth="1"/>
    <col min="42" max="49" width="15" style="32" bestFit="1" customWidth="1"/>
    <col min="50" max="50" width="18.28515625" style="32" bestFit="1" customWidth="1"/>
    <col min="51" max="51" width="16.85546875" style="32" bestFit="1" customWidth="1"/>
    <col min="52" max="53" width="16" style="32" bestFit="1" customWidth="1"/>
    <col min="54" max="54" width="15" style="32" bestFit="1" customWidth="1"/>
    <col min="55" max="55" width="10.140625" style="32" bestFit="1" customWidth="1"/>
    <col min="56" max="56" width="12.28515625" style="32" bestFit="1" customWidth="1"/>
    <col min="57" max="64" width="15" style="32" bestFit="1" customWidth="1"/>
    <col min="65" max="65" width="18.28515625" style="32" bestFit="1" customWidth="1"/>
    <col min="66" max="66" width="16.85546875" style="32" bestFit="1" customWidth="1"/>
    <col min="67" max="68" width="16" style="32" bestFit="1" customWidth="1"/>
    <col min="69" max="69" width="15" style="32" bestFit="1" customWidth="1"/>
    <col min="70" max="70" width="10.140625" style="32" bestFit="1" customWidth="1"/>
    <col min="71" max="71" width="12.28515625" style="32" bestFit="1" customWidth="1"/>
    <col min="72" max="79" width="15" style="32" bestFit="1" customWidth="1"/>
    <col min="80" max="80" width="18.28515625" style="32" bestFit="1" customWidth="1"/>
    <col min="81" max="81" width="16.85546875" style="32" bestFit="1" customWidth="1"/>
    <col min="82" max="83" width="16" style="32" bestFit="1" customWidth="1"/>
    <col min="84" max="84" width="15" style="32" bestFit="1" customWidth="1"/>
    <col min="85" max="85" width="10.140625" style="32" bestFit="1" customWidth="1"/>
    <col min="86" max="86" width="12.28515625" style="32" bestFit="1" customWidth="1"/>
    <col min="87" max="94" width="15" style="32" bestFit="1" customWidth="1"/>
    <col min="95" max="95" width="18.28515625" style="32" bestFit="1" customWidth="1"/>
    <col min="96" max="96" width="16.85546875" style="32" bestFit="1" customWidth="1"/>
    <col min="97" max="98" width="16" style="32" bestFit="1" customWidth="1"/>
    <col min="99" max="99" width="15" style="32" bestFit="1" customWidth="1"/>
    <col min="100" max="100" width="10.140625" style="32" bestFit="1" customWidth="1"/>
    <col min="101" max="101" width="22.7109375" style="32" bestFit="1" customWidth="1"/>
    <col min="102" max="102" width="18.7109375" style="32" bestFit="1" customWidth="1"/>
    <col min="103" max="103" width="18.85546875" style="32" bestFit="1" customWidth="1"/>
    <col min="104" max="104" width="21.7109375" style="32" bestFit="1" customWidth="1"/>
    <col min="105" max="105" width="10" style="32" bestFit="1" customWidth="1"/>
    <col min="106" max="106" width="8.140625" style="32" bestFit="1" customWidth="1"/>
  </cols>
  <sheetData>
    <row r="1" spans="1:106" ht="18.75" customHeight="1" x14ac:dyDescent="0.25">
      <c r="A1" s="48" t="s">
        <v>364</v>
      </c>
      <c r="B1" s="49" t="s">
        <v>0</v>
      </c>
      <c r="C1" s="49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71" t="s">
        <v>322</v>
      </c>
      <c r="K1" s="13" t="s">
        <v>27</v>
      </c>
      <c r="L1" s="13" t="s">
        <v>23</v>
      </c>
      <c r="M1" s="13" t="s">
        <v>29</v>
      </c>
      <c r="N1" s="13" t="s">
        <v>24</v>
      </c>
      <c r="O1" s="13" t="s">
        <v>515</v>
      </c>
      <c r="P1" s="13" t="s">
        <v>25</v>
      </c>
      <c r="Q1" s="13" t="s">
        <v>142</v>
      </c>
      <c r="R1" s="13" t="s">
        <v>516</v>
      </c>
      <c r="S1" s="13" t="s">
        <v>517</v>
      </c>
      <c r="T1" s="13" t="s">
        <v>518</v>
      </c>
      <c r="U1" s="13" t="s">
        <v>519</v>
      </c>
      <c r="V1" s="13" t="s">
        <v>520</v>
      </c>
      <c r="W1" s="13" t="s">
        <v>514</v>
      </c>
      <c r="X1" s="13" t="s">
        <v>521</v>
      </c>
      <c r="Y1" s="68" t="s">
        <v>323</v>
      </c>
      <c r="Z1" s="13" t="s">
        <v>27</v>
      </c>
      <c r="AA1" s="13" t="s">
        <v>23</v>
      </c>
      <c r="AB1" s="13" t="s">
        <v>29</v>
      </c>
      <c r="AC1" s="13" t="s">
        <v>24</v>
      </c>
      <c r="AD1" s="13" t="s">
        <v>515</v>
      </c>
      <c r="AE1" s="13" t="s">
        <v>25</v>
      </c>
      <c r="AF1" s="13" t="s">
        <v>142</v>
      </c>
      <c r="AG1" s="13" t="s">
        <v>516</v>
      </c>
      <c r="AH1" s="13" t="s">
        <v>517</v>
      </c>
      <c r="AI1" s="13" t="s">
        <v>518</v>
      </c>
      <c r="AJ1" s="13" t="s">
        <v>519</v>
      </c>
      <c r="AK1" s="13" t="s">
        <v>520</v>
      </c>
      <c r="AL1" s="13" t="s">
        <v>514</v>
      </c>
      <c r="AM1" s="13" t="s">
        <v>521</v>
      </c>
      <c r="AN1" s="68" t="s">
        <v>324</v>
      </c>
      <c r="AO1" s="13" t="s">
        <v>27</v>
      </c>
      <c r="AP1" s="13" t="s">
        <v>23</v>
      </c>
      <c r="AQ1" s="13" t="s">
        <v>29</v>
      </c>
      <c r="AR1" s="13" t="s">
        <v>24</v>
      </c>
      <c r="AS1" s="13" t="s">
        <v>515</v>
      </c>
      <c r="AT1" s="13" t="s">
        <v>25</v>
      </c>
      <c r="AU1" s="13" t="s">
        <v>142</v>
      </c>
      <c r="AV1" s="13" t="s">
        <v>516</v>
      </c>
      <c r="AW1" s="13" t="s">
        <v>517</v>
      </c>
      <c r="AX1" s="13" t="s">
        <v>518</v>
      </c>
      <c r="AY1" s="13" t="s">
        <v>519</v>
      </c>
      <c r="AZ1" s="13" t="s">
        <v>520</v>
      </c>
      <c r="BA1" s="13" t="s">
        <v>514</v>
      </c>
      <c r="BB1" s="13" t="s">
        <v>521</v>
      </c>
      <c r="BC1" s="68" t="s">
        <v>325</v>
      </c>
      <c r="BD1" s="13" t="s">
        <v>27</v>
      </c>
      <c r="BE1" s="13" t="s">
        <v>23</v>
      </c>
      <c r="BF1" s="13" t="s">
        <v>29</v>
      </c>
      <c r="BG1" s="13" t="s">
        <v>24</v>
      </c>
      <c r="BH1" s="13" t="s">
        <v>515</v>
      </c>
      <c r="BI1" s="13" t="s">
        <v>25</v>
      </c>
      <c r="BJ1" s="13" t="s">
        <v>142</v>
      </c>
      <c r="BK1" s="13" t="s">
        <v>516</v>
      </c>
      <c r="BL1" s="13" t="s">
        <v>517</v>
      </c>
      <c r="BM1" s="13" t="s">
        <v>518</v>
      </c>
      <c r="BN1" s="13" t="s">
        <v>519</v>
      </c>
      <c r="BO1" s="13" t="s">
        <v>520</v>
      </c>
      <c r="BP1" s="13" t="s">
        <v>514</v>
      </c>
      <c r="BQ1" s="13" t="s">
        <v>521</v>
      </c>
      <c r="BR1" s="68" t="s">
        <v>326</v>
      </c>
      <c r="BS1" s="13" t="s">
        <v>27</v>
      </c>
      <c r="BT1" s="13" t="s">
        <v>23</v>
      </c>
      <c r="BU1" s="13" t="s">
        <v>29</v>
      </c>
      <c r="BV1" s="13" t="s">
        <v>24</v>
      </c>
      <c r="BW1" s="13" t="s">
        <v>515</v>
      </c>
      <c r="BX1" s="13" t="s">
        <v>25</v>
      </c>
      <c r="BY1" s="13" t="s">
        <v>142</v>
      </c>
      <c r="BZ1" s="13" t="s">
        <v>516</v>
      </c>
      <c r="CA1" s="13" t="s">
        <v>517</v>
      </c>
      <c r="CB1" s="13" t="s">
        <v>518</v>
      </c>
      <c r="CC1" s="13" t="s">
        <v>519</v>
      </c>
      <c r="CD1" s="13" t="s">
        <v>520</v>
      </c>
      <c r="CE1" s="13" t="s">
        <v>514</v>
      </c>
      <c r="CF1" s="13" t="s">
        <v>521</v>
      </c>
      <c r="CG1" s="68" t="s">
        <v>327</v>
      </c>
      <c r="CH1" s="13" t="s">
        <v>27</v>
      </c>
      <c r="CI1" s="13" t="s">
        <v>23</v>
      </c>
      <c r="CJ1" s="13" t="s">
        <v>29</v>
      </c>
      <c r="CK1" s="13" t="s">
        <v>24</v>
      </c>
      <c r="CL1" s="13" t="s">
        <v>515</v>
      </c>
      <c r="CM1" s="13" t="s">
        <v>25</v>
      </c>
      <c r="CN1" s="13" t="s">
        <v>142</v>
      </c>
      <c r="CO1" s="13" t="s">
        <v>516</v>
      </c>
      <c r="CP1" s="13" t="s">
        <v>517</v>
      </c>
      <c r="CQ1" s="13" t="s">
        <v>518</v>
      </c>
      <c r="CR1" s="13" t="s">
        <v>519</v>
      </c>
      <c r="CS1" s="13" t="s">
        <v>520</v>
      </c>
      <c r="CT1" s="13" t="s">
        <v>514</v>
      </c>
      <c r="CU1" s="13" t="s">
        <v>521</v>
      </c>
      <c r="CV1" s="68" t="s">
        <v>321</v>
      </c>
      <c r="CW1" s="13" t="s">
        <v>310</v>
      </c>
      <c r="CX1" s="13" t="s">
        <v>311</v>
      </c>
      <c r="CY1" s="13" t="s">
        <v>312</v>
      </c>
      <c r="CZ1" s="13" t="s">
        <v>313</v>
      </c>
      <c r="DA1" s="13" t="s">
        <v>314</v>
      </c>
      <c r="DB1" s="13" t="s">
        <v>495</v>
      </c>
    </row>
    <row r="2" spans="1:106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72"/>
      <c r="K2" s="8">
        <v>5.24</v>
      </c>
      <c r="L2" s="8">
        <v>20.026434749067896</v>
      </c>
      <c r="M2" s="8">
        <v>24.864062428586081</v>
      </c>
      <c r="N2" s="8">
        <v>508.06187879110303</v>
      </c>
      <c r="O2" s="8">
        <v>6.2262485145968514</v>
      </c>
      <c r="P2" s="8">
        <v>6.6473209707232765</v>
      </c>
      <c r="Q2" s="8">
        <v>844.31259532829165</v>
      </c>
      <c r="R2" s="8">
        <v>10.346968080003576</v>
      </c>
      <c r="S2" s="8">
        <v>311.17430032245278</v>
      </c>
      <c r="T2" s="8">
        <v>9.8329482512344306</v>
      </c>
      <c r="U2" s="8">
        <v>52.510526084387045</v>
      </c>
      <c r="V2" s="8">
        <v>-0.93665531452731821</v>
      </c>
      <c r="W2" s="8">
        <v>-8.7025150348373153</v>
      </c>
      <c r="X2" s="8">
        <v>21.505458232710957</v>
      </c>
      <c r="Y2" s="69"/>
      <c r="Z2" s="8">
        <v>5.38</v>
      </c>
      <c r="AA2" s="8">
        <v>19.716248599019135</v>
      </c>
      <c r="AB2" s="8">
        <v>22.890660931164497</v>
      </c>
      <c r="AC2" s="8">
        <v>501.47587930042454</v>
      </c>
      <c r="AD2" s="8">
        <v>6.1455377365248109</v>
      </c>
      <c r="AE2" s="8">
        <v>6.4347214491126135</v>
      </c>
      <c r="AF2" s="8">
        <v>806.71439918676242</v>
      </c>
      <c r="AG2" s="8">
        <v>9.8862058723867943</v>
      </c>
      <c r="AH2" s="8">
        <v>313.23622722867611</v>
      </c>
      <c r="AI2" s="8">
        <v>9.0415685147802822</v>
      </c>
      <c r="AJ2" s="8">
        <v>42.106061791316989</v>
      </c>
      <c r="AK2" s="8">
        <v>-0.95505886076425561</v>
      </c>
      <c r="AL2" s="8">
        <v>-9.1496558689326548</v>
      </c>
      <c r="AM2" s="8">
        <v>20.945940689132001</v>
      </c>
      <c r="AN2" s="69"/>
      <c r="AO2" s="8">
        <v>5.7</v>
      </c>
      <c r="AP2" s="8">
        <v>18.770505556455571</v>
      </c>
      <c r="AQ2" s="8">
        <v>21.833533286361178</v>
      </c>
      <c r="AR2" s="8">
        <v>466.52834418683301</v>
      </c>
      <c r="AS2" s="8">
        <v>5.7172591199366796</v>
      </c>
      <c r="AT2" s="8">
        <v>6.0769346423422137</v>
      </c>
      <c r="AU2" s="8">
        <v>708.76556410587932</v>
      </c>
      <c r="AV2" s="8">
        <v>8.6858525012975409</v>
      </c>
      <c r="AW2" s="8">
        <v>256.83891498062394</v>
      </c>
      <c r="AX2" s="8">
        <v>8.0326723013681605</v>
      </c>
      <c r="AY2" s="8">
        <v>41.536442013291662</v>
      </c>
      <c r="AZ2" s="8">
        <v>-0.94081300136101131</v>
      </c>
      <c r="BA2" s="8">
        <v>-9.054866669194789</v>
      </c>
      <c r="BB2" s="8">
        <v>19.961493781740302</v>
      </c>
      <c r="BC2" s="69"/>
      <c r="BD2" s="8">
        <v>6.09</v>
      </c>
      <c r="BE2" s="8">
        <v>16.855310247311071</v>
      </c>
      <c r="BF2" s="8">
        <v>20.324694595009451</v>
      </c>
      <c r="BG2" s="8">
        <v>459.44431805321091</v>
      </c>
      <c r="BH2" s="8">
        <v>5.6304450741815062</v>
      </c>
      <c r="BI2" s="8">
        <v>5.6055196324066809</v>
      </c>
      <c r="BJ2" s="8">
        <v>643.85603621124324</v>
      </c>
      <c r="BK2" s="8">
        <v>7.8903926006279814</v>
      </c>
      <c r="BL2" s="8">
        <v>222.56038733334722</v>
      </c>
      <c r="BM2" s="8">
        <v>9.0157492630115978</v>
      </c>
      <c r="BN2" s="8">
        <v>50.378062502155451</v>
      </c>
      <c r="BO2" s="8">
        <v>-1.0044465889711143</v>
      </c>
      <c r="BP2" s="8">
        <v>-9.3881436707449417</v>
      </c>
      <c r="BQ2" s="8">
        <v>18.66844789707293</v>
      </c>
      <c r="BR2" s="69"/>
      <c r="BS2" s="14">
        <v>6.26</v>
      </c>
      <c r="BT2" s="14">
        <v>16.863529255930654</v>
      </c>
      <c r="BU2" s="14">
        <v>19.314594333614064</v>
      </c>
      <c r="BV2" s="14">
        <v>431.86515738241553</v>
      </c>
      <c r="BW2" s="14">
        <v>5.2924651640001903</v>
      </c>
      <c r="BX2" s="14">
        <v>5.5821612454114966</v>
      </c>
      <c r="BY2" s="14">
        <v>602.68523619591417</v>
      </c>
      <c r="BZ2" s="14">
        <v>7.3858484827930662</v>
      </c>
      <c r="CA2" s="14">
        <v>236.95441115714306</v>
      </c>
      <c r="CB2" s="14">
        <v>8.4312235347242144</v>
      </c>
      <c r="CC2" s="14">
        <v>40.409933572992607</v>
      </c>
      <c r="CD2" s="14">
        <v>-0.94810324018328296</v>
      </c>
      <c r="CE2" s="14">
        <v>-9.1064276552036443</v>
      </c>
      <c r="CF2" s="14">
        <v>18.386267668421194</v>
      </c>
      <c r="CG2" s="69"/>
      <c r="CH2" s="14">
        <v>6.41</v>
      </c>
      <c r="CI2" s="14">
        <v>16.443987484208595</v>
      </c>
      <c r="CJ2" s="14">
        <v>18.933719513889251</v>
      </c>
      <c r="CK2" s="14">
        <v>421.02712461181915</v>
      </c>
      <c r="CL2" s="14">
        <v>5.1596461349487646</v>
      </c>
      <c r="CM2" s="14">
        <v>5.4645448941120609</v>
      </c>
      <c r="CN2" s="14">
        <v>575.18040602004965</v>
      </c>
      <c r="CO2" s="14">
        <v>7.0487794855398249</v>
      </c>
      <c r="CP2" s="14">
        <v>222.6356094969357</v>
      </c>
      <c r="CQ2" s="14">
        <v>8.3732513169442342</v>
      </c>
      <c r="CR2" s="14">
        <v>41.383851396578443</v>
      </c>
      <c r="CS2" s="14">
        <v>-0.94420418075587242</v>
      </c>
      <c r="CT2" s="14">
        <v>-9.0463595400857351</v>
      </c>
      <c r="CU2" s="14">
        <v>18.042822055050362</v>
      </c>
      <c r="CV2" s="69"/>
      <c r="CW2" s="8">
        <f t="shared" ref="CW2:CW65" si="0">100*((MIN(CH2,BS2,BD2,AO2,Z2,K2)-MAX(CH2,BS2,BD2,AO2,Z2,K2))/(MIN(CH2,BS2,BD2,AO2,Z2,K2)))</f>
        <v>-22.328244274809158</v>
      </c>
      <c r="CX2" s="8">
        <f>100*(((MAX(CL2,BH2,AD2))-MIN(CL2,BH2,AD2))/(MAX(CL2,BH2,AD2)))</f>
        <v>16.04239765247215</v>
      </c>
      <c r="CY2" s="8">
        <f>100*((MAX(CM2,BI2,AE2))-MIN(CM2,BI2,AE2))/(MAX(CM2,BI2,AE2))</f>
        <v>15.077211386272916</v>
      </c>
      <c r="CZ2" s="8">
        <f>100*((MAX(CO2,BK2,AG2))-MIN(CO2,BK2,AG2))/(MAX(CO2,BK2,AG2))</f>
        <v>28.70086283325535</v>
      </c>
      <c r="DA2" s="8">
        <f>((SUM(CH2,BS2,BD2,AO2,Z2,K2)/(MAX(CH2,BS2,BD2,AO2,Z2,K2)*6)-1))*100</f>
        <v>-8.7883515340613663</v>
      </c>
      <c r="DB2" s="8">
        <f>AVERAGE(K2,Z2,AO2,BD2,BS2,CH2)</f>
        <v>5.8466666666666667</v>
      </c>
    </row>
    <row r="3" spans="1:106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72"/>
      <c r="K3" s="8">
        <v>5</v>
      </c>
      <c r="L3" s="8">
        <v>21.3269654871523</v>
      </c>
      <c r="M3" s="8">
        <v>25.07180615806946</v>
      </c>
      <c r="N3" s="8">
        <v>441.86388670527083</v>
      </c>
      <c r="O3" s="8">
        <v>6.9041232297698567</v>
      </c>
      <c r="P3" s="8">
        <v>7.250170605143663</v>
      </c>
      <c r="Q3" s="8">
        <v>800.89714071627111</v>
      </c>
      <c r="R3" s="8">
        <v>12.514017823691736</v>
      </c>
      <c r="S3" s="8">
        <v>368.6536070005684</v>
      </c>
      <c r="T3" s="8">
        <v>12.339508030889027</v>
      </c>
      <c r="U3" s="8">
        <v>47.668514185238841</v>
      </c>
      <c r="V3" s="8">
        <v>-0.9522704506941807</v>
      </c>
      <c r="W3" s="8">
        <v>-8.8656753507600428</v>
      </c>
      <c r="X3" s="8">
        <v>22.949418392478179</v>
      </c>
      <c r="Y3" s="69"/>
      <c r="Z3" s="8">
        <v>4.93</v>
      </c>
      <c r="AA3" s="8">
        <v>21.828959806782247</v>
      </c>
      <c r="AB3" s="8">
        <v>24.832553735967899</v>
      </c>
      <c r="AC3" s="8">
        <v>448.54240846354901</v>
      </c>
      <c r="AD3" s="8">
        <v>7.0084751322429533</v>
      </c>
      <c r="AE3" s="8">
        <v>7.2528572442124908</v>
      </c>
      <c r="AF3" s="8">
        <v>813.30351414034237</v>
      </c>
      <c r="AG3" s="8">
        <v>12.70786740844285</v>
      </c>
      <c r="AH3" s="8">
        <v>369.07624232237731</v>
      </c>
      <c r="AI3" s="8">
        <v>11.35957058441811</v>
      </c>
      <c r="AJ3" s="8">
        <v>41.430174903576713</v>
      </c>
      <c r="AK3" s="8">
        <v>-0.96630540161747358</v>
      </c>
      <c r="AL3" s="8">
        <v>-9.1905344076517128</v>
      </c>
      <c r="AM3" s="8">
        <v>23.036291671738045</v>
      </c>
      <c r="AN3" s="69"/>
      <c r="AO3" s="8">
        <v>5.1100000000000003</v>
      </c>
      <c r="AP3" s="8">
        <v>20.892251991691349</v>
      </c>
      <c r="AQ3" s="8">
        <v>23.467795113158367</v>
      </c>
      <c r="AR3" s="8">
        <v>406.72717099571128</v>
      </c>
      <c r="AS3" s="8">
        <v>6.3551120468079887</v>
      </c>
      <c r="AT3" s="8">
        <v>7.150350493820703</v>
      </c>
      <c r="AU3" s="8">
        <v>727.06045699487038</v>
      </c>
      <c r="AV3" s="8">
        <v>11.36031964054485</v>
      </c>
      <c r="AW3" s="8">
        <v>374.06449200595426</v>
      </c>
      <c r="AX3" s="8">
        <v>11.871896176295062</v>
      </c>
      <c r="AY3" s="8">
        <v>38.852561411261469</v>
      </c>
      <c r="AZ3" s="8">
        <v>-0.88878329143446111</v>
      </c>
      <c r="BA3" s="8">
        <v>-8.4708424611173054</v>
      </c>
      <c r="BB3" s="8">
        <v>22.370564139441012</v>
      </c>
      <c r="BC3" s="69"/>
      <c r="BD3" s="8">
        <v>5.26</v>
      </c>
      <c r="BE3" s="8">
        <v>21.007096110029835</v>
      </c>
      <c r="BF3" s="8">
        <v>23.889897549248399</v>
      </c>
      <c r="BG3" s="8">
        <v>408.03156844862508</v>
      </c>
      <c r="BH3" s="8">
        <v>6.3754932570097669</v>
      </c>
      <c r="BI3" s="8">
        <v>6.766483916278359</v>
      </c>
      <c r="BJ3" s="8">
        <v>690.23476131036352</v>
      </c>
      <c r="BK3" s="8">
        <v>10.78491814547443</v>
      </c>
      <c r="BL3" s="8">
        <v>267.21130339813686</v>
      </c>
      <c r="BM3" s="8">
        <v>8.7260285319025233</v>
      </c>
      <c r="BN3" s="8">
        <v>38.232364512485411</v>
      </c>
      <c r="BO3" s="8">
        <v>-0.94221656858919411</v>
      </c>
      <c r="BP3" s="8">
        <v>-9.119918754576803</v>
      </c>
      <c r="BQ3" s="8">
        <v>21.857617507276313</v>
      </c>
      <c r="BR3" s="69"/>
      <c r="BS3" s="14">
        <v>5.47</v>
      </c>
      <c r="BT3" s="14">
        <v>20.544985460079157</v>
      </c>
      <c r="BU3" s="14">
        <v>22.52680785340209</v>
      </c>
      <c r="BV3" s="14">
        <v>418.67048183261869</v>
      </c>
      <c r="BW3" s="14">
        <v>6.541726278634667</v>
      </c>
      <c r="BX3" s="14">
        <v>6.4708496337163499</v>
      </c>
      <c r="BY3" s="14">
        <v>677.28843350361205</v>
      </c>
      <c r="BZ3" s="14">
        <v>10.582631773493938</v>
      </c>
      <c r="CA3" s="14">
        <v>246.84528005316611</v>
      </c>
      <c r="CB3" s="14">
        <v>7.75202350034695</v>
      </c>
      <c r="CC3" s="14">
        <v>30.547648401542293</v>
      </c>
      <c r="CD3" s="14">
        <v>-1.0109532208180227</v>
      </c>
      <c r="CE3" s="14">
        <v>-9.9539507757562919</v>
      </c>
      <c r="CF3" s="14">
        <v>21.251160375031851</v>
      </c>
      <c r="CG3" s="69"/>
      <c r="CH3" s="14">
        <v>5.34</v>
      </c>
      <c r="CI3" s="14">
        <v>19.865512766935954</v>
      </c>
      <c r="CJ3" s="14">
        <v>23.448504599793182</v>
      </c>
      <c r="CK3" s="14">
        <v>404.85519707633006</v>
      </c>
      <c r="CL3" s="14">
        <v>6.3258624543176571</v>
      </c>
      <c r="CM3" s="14">
        <v>6.876500755207636</v>
      </c>
      <c r="CN3" s="14">
        <v>695.99676711127995</v>
      </c>
      <c r="CO3" s="14">
        <v>10.874949486113749</v>
      </c>
      <c r="CP3" s="14">
        <v>324.65077232979138</v>
      </c>
      <c r="CQ3" s="14">
        <v>12.196251011722882</v>
      </c>
      <c r="CR3" s="14">
        <v>48.133618144809731</v>
      </c>
      <c r="CS3" s="14">
        <v>-0.91992463601883911</v>
      </c>
      <c r="CT3" s="14">
        <v>-8.5380695314186354</v>
      </c>
      <c r="CU3" s="14">
        <v>21.785336180038041</v>
      </c>
      <c r="CV3" s="69"/>
      <c r="CW3" s="14">
        <f t="shared" si="0"/>
        <v>-10.953346855983774</v>
      </c>
      <c r="CX3" s="8">
        <f t="shared" ref="CX3:CX66" si="1">100*(((MAX(CL3,BH3,AD3))-MIN(CL3,BH3,AD3))/(MAX(CL3,BH3,AD3)))</f>
        <v>9.7398173646203201</v>
      </c>
      <c r="CY3" s="8">
        <f t="shared" ref="CY3:CY66" si="2">100*((MAX(CM3,BI3,AE3))-MIN(CM3,BI3,AE3))/(MAX(CM3,BI3,AE3))</f>
        <v>6.7059547921233325</v>
      </c>
      <c r="CZ3" s="8">
        <f t="shared" ref="CZ3:CZ66" si="3">100*((MAX(CO3,BK3,AG3))-MIN(CO3,BK3,AG3))/(MAX(CO3,BK3,AG3))</f>
        <v>15.131958818604378</v>
      </c>
      <c r="DA3" s="14">
        <f t="shared" ref="DA3:DA66" si="4">((SUM(CH3,BS3,BD3,AO3,Z3,K3)/(MAX(CH3,BS3,BD3,AO3,Z3,K3)*6)-1))*100</f>
        <v>-5.2102376599634344</v>
      </c>
      <c r="DB3" s="14">
        <f t="shared" ref="DB3:DB66" si="5">AVERAGE(K3,Z3,AO3,BD3,BS3,CH3)</f>
        <v>5.1849999999999996</v>
      </c>
    </row>
    <row r="4" spans="1:106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72"/>
      <c r="K4" s="8">
        <v>4.7</v>
      </c>
      <c r="L4" s="8">
        <v>25.887502381438214</v>
      </c>
      <c r="M4" s="8">
        <v>27.958906733135073</v>
      </c>
      <c r="N4" s="8">
        <v>330.18910738894937</v>
      </c>
      <c r="O4" s="8">
        <v>5.0798324213684518</v>
      </c>
      <c r="P4" s="8">
        <v>7.9909527285455626</v>
      </c>
      <c r="Q4" s="8">
        <v>659.6313871564372</v>
      </c>
      <c r="R4" s="8">
        <v>10.14817518702211</v>
      </c>
      <c r="S4" s="8">
        <v>228.73657785058401</v>
      </c>
      <c r="T4" s="8">
        <v>5.1681022063243178</v>
      </c>
      <c r="U4" s="8">
        <v>14.042055426422662</v>
      </c>
      <c r="V4" s="8">
        <v>-0.63569796918233479</v>
      </c>
      <c r="W4" s="8">
        <v>-6.4257973157359087</v>
      </c>
      <c r="X4" s="8">
        <v>26.17089714013181</v>
      </c>
      <c r="Y4" s="69"/>
      <c r="Z4" s="8">
        <v>4.68</v>
      </c>
      <c r="AA4" s="8">
        <v>22.49134893787075</v>
      </c>
      <c r="AB4" s="8">
        <v>27.795700013995379</v>
      </c>
      <c r="AC4" s="8">
        <v>315.10091614175099</v>
      </c>
      <c r="AD4" s="8">
        <v>4.8477064021807843</v>
      </c>
      <c r="AE4" s="8">
        <v>7.367998061691905</v>
      </c>
      <c r="AF4" s="8">
        <v>580.41573484244122</v>
      </c>
      <c r="AG4" s="8">
        <v>8.9294728437298652</v>
      </c>
      <c r="AH4" s="8">
        <v>234.29140570909229</v>
      </c>
      <c r="AI4" s="8">
        <v>7.3497572456909692</v>
      </c>
      <c r="AJ4" s="8">
        <v>37.584384296456022</v>
      </c>
      <c r="AK4" s="8">
        <v>-0.65794078141595091</v>
      </c>
      <c r="AL4" s="8">
        <v>-6.4221825082637931</v>
      </c>
      <c r="AM4" s="8">
        <v>23.27567988342723</v>
      </c>
      <c r="AN4" s="69"/>
      <c r="AO4" s="8">
        <v>4.82</v>
      </c>
      <c r="AP4" s="8">
        <v>22.345051979707073</v>
      </c>
      <c r="AQ4" s="8">
        <v>25.447887317228268</v>
      </c>
      <c r="AR4" s="8">
        <v>467.49690053651688</v>
      </c>
      <c r="AS4" s="8">
        <v>7.1922600082541059</v>
      </c>
      <c r="AT4" s="8">
        <v>7.44129815697148</v>
      </c>
      <c r="AU4" s="8">
        <v>869.6959560880656</v>
      </c>
      <c r="AV4" s="8">
        <v>13.37993778597024</v>
      </c>
      <c r="AW4" s="8">
        <v>400.87162364390844</v>
      </c>
      <c r="AX4" s="8">
        <v>11.782901668647796</v>
      </c>
      <c r="AY4" s="8">
        <v>41.841610751481959</v>
      </c>
      <c r="AZ4" s="8">
        <v>-0.96653296999206284</v>
      </c>
      <c r="BA4" s="8">
        <v>-9.1713315409433118</v>
      </c>
      <c r="BB4" s="8">
        <v>23.556773733225697</v>
      </c>
      <c r="BC4" s="69"/>
      <c r="BD4" s="8">
        <v>4.84</v>
      </c>
      <c r="BE4" s="8">
        <v>21.458311868820143</v>
      </c>
      <c r="BF4" s="8">
        <v>24.815539854191332</v>
      </c>
      <c r="BG4" s="8">
        <v>437.39481927486861</v>
      </c>
      <c r="BH4" s="8">
        <v>6.7291510657672093</v>
      </c>
      <c r="BI4" s="8">
        <v>7.0479945199616978</v>
      </c>
      <c r="BJ4" s="8">
        <v>770.68907232722779</v>
      </c>
      <c r="BK4" s="8">
        <v>11.856754958880428</v>
      </c>
      <c r="BL4" s="8">
        <v>326.04185756354826</v>
      </c>
      <c r="BM4" s="8">
        <v>10.270915282858962</v>
      </c>
      <c r="BN4" s="8">
        <v>41.271083739156069</v>
      </c>
      <c r="BO4" s="8">
        <v>-0.95476110923590485</v>
      </c>
      <c r="BP4" s="8">
        <v>-9.1359866899533166</v>
      </c>
      <c r="BQ4" s="8">
        <v>22.630004223080501</v>
      </c>
      <c r="BR4" s="69"/>
      <c r="BS4" s="14">
        <v>5.09</v>
      </c>
      <c r="BT4" s="14">
        <v>20.432651835159195</v>
      </c>
      <c r="BU4" s="14">
        <v>24.286399027147528</v>
      </c>
      <c r="BV4" s="14">
        <v>419.11496331276783</v>
      </c>
      <c r="BW4" s="14">
        <v>6.4479225125041202</v>
      </c>
      <c r="BX4" s="14">
        <v>7.2148168690287315</v>
      </c>
      <c r="BY4" s="14">
        <v>755.95942684282886</v>
      </c>
      <c r="BZ4" s="14">
        <v>11.630145028351214</v>
      </c>
      <c r="CA4" s="14">
        <v>377.28714237618487</v>
      </c>
      <c r="CB4" s="14">
        <v>13.393154628318211</v>
      </c>
      <c r="CC4" s="14">
        <v>49.00238943598481</v>
      </c>
      <c r="CD4" s="14">
        <v>-0.89370563793286517</v>
      </c>
      <c r="CE4" s="14">
        <v>-8.2305403520946374</v>
      </c>
      <c r="CF4" s="14">
        <v>22.590097334023383</v>
      </c>
      <c r="CG4" s="69"/>
      <c r="CH4" s="14">
        <v>5.07</v>
      </c>
      <c r="CI4" s="14">
        <v>20.341593222986752</v>
      </c>
      <c r="CJ4" s="14">
        <v>23.556651760893288</v>
      </c>
      <c r="CK4" s="14">
        <v>407.13071013230575</v>
      </c>
      <c r="CL4" s="14">
        <v>6.2635493866508574</v>
      </c>
      <c r="CM4" s="14">
        <v>6.6334869601278053</v>
      </c>
      <c r="CN4" s="14">
        <v>675.17406418255587</v>
      </c>
      <c r="CO4" s="14">
        <v>10.387293295116244</v>
      </c>
      <c r="CP4" s="14">
        <v>270.80984730048277</v>
      </c>
      <c r="CQ4" s="14">
        <v>9.2014263030146441</v>
      </c>
      <c r="CR4" s="14">
        <v>40.211417217140912</v>
      </c>
      <c r="CS4" s="14">
        <v>-0.94423180814245222</v>
      </c>
      <c r="CT4" s="14">
        <v>-9.0893990595266718</v>
      </c>
      <c r="CU4" s="14">
        <v>21.499238471405892</v>
      </c>
      <c r="CV4" s="69"/>
      <c r="CW4" s="14">
        <f t="shared" si="0"/>
        <v>-8.7606837606837651</v>
      </c>
      <c r="CX4" s="8">
        <f t="shared" si="1"/>
        <v>27.959614001798549</v>
      </c>
      <c r="CY4" s="8">
        <f t="shared" si="2"/>
        <v>9.9689372257439857</v>
      </c>
      <c r="CZ4" s="8">
        <f t="shared" si="3"/>
        <v>24.688729127847058</v>
      </c>
      <c r="DA4" s="14">
        <f t="shared" si="4"/>
        <v>-4.3876882776686337</v>
      </c>
      <c r="DB4" s="14">
        <f t="shared" si="5"/>
        <v>4.8666666666666663</v>
      </c>
    </row>
    <row r="5" spans="1:106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72"/>
      <c r="K5" s="8">
        <v>5.08</v>
      </c>
      <c r="L5" s="8">
        <v>20.998182974060953</v>
      </c>
      <c r="M5" s="8">
        <v>25.564524627286389</v>
      </c>
      <c r="N5" s="8">
        <v>473.41748079660624</v>
      </c>
      <c r="O5" s="8">
        <v>6.9314418857482618</v>
      </c>
      <c r="P5" s="8">
        <v>7.0865500511035098</v>
      </c>
      <c r="Q5" s="8">
        <v>838.72416818312115</v>
      </c>
      <c r="R5" s="8">
        <v>12.280002462417587</v>
      </c>
      <c r="S5" s="8">
        <v>345.32925582169958</v>
      </c>
      <c r="T5" s="8">
        <v>11.840361184769892</v>
      </c>
      <c r="U5" s="8">
        <v>53.214522153549979</v>
      </c>
      <c r="V5" s="8">
        <v>-0.97811231639701768</v>
      </c>
      <c r="W5" s="8">
        <v>-8.9743246481321624</v>
      </c>
      <c r="X5" s="8">
        <v>22.649661660132459</v>
      </c>
      <c r="Y5" s="69"/>
      <c r="Z5" s="8">
        <v>5.09</v>
      </c>
      <c r="AA5" s="8">
        <v>20.603420901317151</v>
      </c>
      <c r="AB5" s="8">
        <v>25.937484989101314</v>
      </c>
      <c r="AC5" s="8">
        <v>178.84203122276776</v>
      </c>
      <c r="AD5" s="8">
        <v>2.6184777631444769</v>
      </c>
      <c r="AE5" s="8">
        <v>6.7881445700228866</v>
      </c>
      <c r="AF5" s="8">
        <v>303.50139078417362</v>
      </c>
      <c r="AG5" s="8">
        <v>4.4436514024037139</v>
      </c>
      <c r="AH5" s="8">
        <v>126.77042262667041</v>
      </c>
      <c r="AI5" s="8">
        <v>4.1511970258585089</v>
      </c>
      <c r="AJ5" s="8">
        <v>25.710185002070148</v>
      </c>
      <c r="AK5" s="8">
        <v>-0.38574278083409308</v>
      </c>
      <c r="AL5" s="8">
        <v>-3.8614247310345942</v>
      </c>
      <c r="AM5" s="8">
        <v>21.100997410068707</v>
      </c>
      <c r="AN5" s="69"/>
      <c r="AO5" s="8">
        <v>5.49</v>
      </c>
      <c r="AP5" s="8">
        <v>19.717067087460951</v>
      </c>
      <c r="AQ5" s="8">
        <v>22.495355275891345</v>
      </c>
      <c r="AR5" s="8">
        <v>430.5744484982078</v>
      </c>
      <c r="AS5" s="8">
        <v>6.3041646925067027</v>
      </c>
      <c r="AT5" s="8">
        <v>6.4999760847239418</v>
      </c>
      <c r="AU5" s="8">
        <v>699.68090448288785</v>
      </c>
      <c r="AV5" s="8">
        <v>10.244229933863659</v>
      </c>
      <c r="AW5" s="8">
        <v>298.17833854315506</v>
      </c>
      <c r="AX5" s="8">
        <v>9.8372909395527639</v>
      </c>
      <c r="AY5" s="8">
        <v>39.648003858643065</v>
      </c>
      <c r="AZ5" s="8">
        <v>-0.96987505959023013</v>
      </c>
      <c r="BA5" s="8">
        <v>-9.3123848963237972</v>
      </c>
      <c r="BB5" s="8">
        <v>21.050993132970603</v>
      </c>
      <c r="BC5" s="69"/>
      <c r="BD5" s="8">
        <v>5.45</v>
      </c>
      <c r="BE5" s="8">
        <v>19.372537012535524</v>
      </c>
      <c r="BF5" s="8">
        <v>23.49625019724412</v>
      </c>
      <c r="BG5" s="8">
        <v>387.08935255489803</v>
      </c>
      <c r="BH5" s="8">
        <v>5.6674868602474096</v>
      </c>
      <c r="BI5" s="8">
        <v>6.3366053893415728</v>
      </c>
      <c r="BJ5" s="8">
        <v>613.20811938902671</v>
      </c>
      <c r="BK5" s="8">
        <v>8.9781569456665693</v>
      </c>
      <c r="BL5" s="8">
        <v>219.97291455585616</v>
      </c>
      <c r="BM5" s="8">
        <v>8.3810778046970213</v>
      </c>
      <c r="BN5" s="8">
        <v>46.683418934166994</v>
      </c>
      <c r="BO5" s="8">
        <v>-0.89440426095971692</v>
      </c>
      <c r="BP5" s="8">
        <v>-8.5011117812831412</v>
      </c>
      <c r="BQ5" s="8">
        <v>20.639986303044825</v>
      </c>
      <c r="BR5" s="69"/>
      <c r="BS5" s="14">
        <v>5.68</v>
      </c>
      <c r="BT5" s="14">
        <v>18.981494193695017</v>
      </c>
      <c r="BU5" s="14">
        <v>21.722468914536787</v>
      </c>
      <c r="BV5" s="14">
        <v>407.47629586210957</v>
      </c>
      <c r="BW5" s="14">
        <v>5.9659779774833028</v>
      </c>
      <c r="BX5" s="14">
        <v>6.1698158471218454</v>
      </c>
      <c r="BY5" s="14">
        <v>628.51342688413831</v>
      </c>
      <c r="BZ5" s="14">
        <v>9.2022463672641042</v>
      </c>
      <c r="CA5" s="14">
        <v>243.3940207269045</v>
      </c>
      <c r="CB5" s="14">
        <v>8.6075826459722187</v>
      </c>
      <c r="CC5" s="14">
        <v>39.519560779411712</v>
      </c>
      <c r="CD5" s="14">
        <v>-0.96696208206382206</v>
      </c>
      <c r="CE5" s="14">
        <v>-9.32626788085269</v>
      </c>
      <c r="CF5" s="14">
        <v>20.174399389802208</v>
      </c>
      <c r="CG5" s="69"/>
      <c r="CH5" s="14">
        <v>5.71</v>
      </c>
      <c r="CI5" s="14">
        <v>19.566009757147018</v>
      </c>
      <c r="CJ5" s="14">
        <v>21.292127149422871</v>
      </c>
      <c r="CK5" s="14">
        <v>360.39655813834776</v>
      </c>
      <c r="CL5" s="14">
        <v>5.2766699581017242</v>
      </c>
      <c r="CM5" s="14">
        <v>6.0154305724134858</v>
      </c>
      <c r="CN5" s="14">
        <v>541.98511850450279</v>
      </c>
      <c r="CO5" s="14">
        <v>7.9353604466252241</v>
      </c>
      <c r="CP5" s="14">
        <v>167.8901521392394</v>
      </c>
      <c r="CQ5" s="14">
        <v>5.1492149943135175</v>
      </c>
      <c r="CR5" s="14">
        <v>22.765700776686437</v>
      </c>
      <c r="CS5" s="14">
        <v>-0.87718907143576963</v>
      </c>
      <c r="CT5" s="14">
        <v>-8.7876588074380031</v>
      </c>
      <c r="CU5" s="14">
        <v>20.055247194492743</v>
      </c>
      <c r="CV5" s="69"/>
      <c r="CW5" s="14">
        <f t="shared" si="0"/>
        <v>-12.401574803149604</v>
      </c>
      <c r="CX5" s="8">
        <f t="shared" si="1"/>
        <v>53.798256128110907</v>
      </c>
      <c r="CY5" s="8">
        <f t="shared" si="2"/>
        <v>11.383287283270038</v>
      </c>
      <c r="CZ5" s="8">
        <f t="shared" si="3"/>
        <v>50.505973227071919</v>
      </c>
      <c r="DA5" s="14">
        <f t="shared" si="4"/>
        <v>-5.1371862230005778</v>
      </c>
      <c r="DB5" s="14">
        <f t="shared" si="5"/>
        <v>5.416666666666667</v>
      </c>
    </row>
    <row r="6" spans="1:106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72"/>
      <c r="K6" s="8">
        <v>4.79</v>
      </c>
      <c r="L6" s="8">
        <v>22.10816979257217</v>
      </c>
      <c r="M6" s="8">
        <v>26.492594923890746</v>
      </c>
      <c r="N6" s="8">
        <v>601.55022739936749</v>
      </c>
      <c r="O6" s="8">
        <v>7.2826904043506966</v>
      </c>
      <c r="P6" s="8">
        <v>7.6545840413485253</v>
      </c>
      <c r="Q6" s="8">
        <v>1151.1541926801938</v>
      </c>
      <c r="R6" s="8">
        <v>13.936491436806222</v>
      </c>
      <c r="S6" s="8">
        <v>564.00998628986406</v>
      </c>
      <c r="T6" s="8">
        <v>13.987640543696305</v>
      </c>
      <c r="U6" s="8">
        <v>49.926330899541554</v>
      </c>
      <c r="V6" s="8">
        <v>-0.95141556549788553</v>
      </c>
      <c r="W6" s="8">
        <v>-8.7453512018952608</v>
      </c>
      <c r="X6" s="8">
        <v>24.009880909296768</v>
      </c>
      <c r="Y6" s="69"/>
      <c r="Z6" s="8">
        <v>4.8499999999999996</v>
      </c>
      <c r="AA6" s="8">
        <v>22.245924554214287</v>
      </c>
      <c r="AB6" s="8">
        <v>28.152325310978028</v>
      </c>
      <c r="AC6" s="8">
        <v>129.58575856134533</v>
      </c>
      <c r="AD6" s="8">
        <v>1.5688348494109605</v>
      </c>
      <c r="AE6" s="8">
        <v>7.6300254810879453</v>
      </c>
      <c r="AF6" s="8">
        <v>247.1856599522938</v>
      </c>
      <c r="AG6" s="8">
        <v>2.9925624691560997</v>
      </c>
      <c r="AH6" s="8">
        <v>131.55579822577715</v>
      </c>
      <c r="AI6" s="8">
        <v>3.0322140312428307</v>
      </c>
      <c r="AJ6" s="8">
        <v>15.78092669967663</v>
      </c>
      <c r="AK6" s="8">
        <v>-0.2056133171900317</v>
      </c>
      <c r="AL6" s="8">
        <v>-2.0806111569707966</v>
      </c>
      <c r="AM6" s="8">
        <v>22.347033936610892</v>
      </c>
      <c r="AN6" s="69"/>
      <c r="AO6" s="8">
        <v>5.19</v>
      </c>
      <c r="AP6" s="8">
        <v>20.75352680958817</v>
      </c>
      <c r="AQ6" s="8">
        <v>23.665894606011797</v>
      </c>
      <c r="AR6" s="8">
        <v>536.51171580801554</v>
      </c>
      <c r="AS6" s="8">
        <v>6.4952992228573319</v>
      </c>
      <c r="AT6" s="8">
        <v>7.0313508208580755</v>
      </c>
      <c r="AU6" s="8">
        <v>943.10052333666613</v>
      </c>
      <c r="AV6" s="8">
        <v>11.417681880589178</v>
      </c>
      <c r="AW6" s="8">
        <v>449.08257769231415</v>
      </c>
      <c r="AX6" s="8">
        <v>11.547465401038648</v>
      </c>
      <c r="AY6" s="8">
        <v>41.993867551676821</v>
      </c>
      <c r="AZ6" s="8">
        <v>-0.92376264367145788</v>
      </c>
      <c r="BA6" s="8">
        <v>-8.7500693237947917</v>
      </c>
      <c r="BB6" s="8">
        <v>22.258776247897199</v>
      </c>
      <c r="BC6" s="69"/>
      <c r="BD6" s="8">
        <v>5.26</v>
      </c>
      <c r="BE6" s="8">
        <v>20.623232786134224</v>
      </c>
      <c r="BF6" s="8">
        <v>24.026178693688852</v>
      </c>
      <c r="BG6" s="8">
        <v>451.12837707118177</v>
      </c>
      <c r="BH6" s="8">
        <v>5.4616026279804091</v>
      </c>
      <c r="BI6" s="8">
        <v>6.6077815314756245</v>
      </c>
      <c r="BJ6" s="8">
        <v>745.23943958388168</v>
      </c>
      <c r="BK6" s="8">
        <v>9.0222692443569219</v>
      </c>
      <c r="BL6" s="8">
        <v>275.29832351707751</v>
      </c>
      <c r="BM6" s="8">
        <v>7.2569886979935463</v>
      </c>
      <c r="BN6" s="8">
        <v>35.356778423388405</v>
      </c>
      <c r="BO6" s="8">
        <v>-0.82654104134110873</v>
      </c>
      <c r="BP6" s="8">
        <v>-8.0936914339458408</v>
      </c>
      <c r="BQ6" s="8">
        <v>21.486649394034544</v>
      </c>
      <c r="BR6" s="69"/>
      <c r="BS6" s="14">
        <v>5.44</v>
      </c>
      <c r="BT6" s="14">
        <v>19.735105643863026</v>
      </c>
      <c r="BU6" s="14">
        <v>21.555210124377236</v>
      </c>
      <c r="BV6" s="14">
        <v>528.5514991747624</v>
      </c>
      <c r="BW6" s="14">
        <v>6.3989285614378018</v>
      </c>
      <c r="BX6" s="14">
        <v>6.3954553138513459</v>
      </c>
      <c r="BY6" s="14">
        <v>845.08187351033234</v>
      </c>
      <c r="BZ6" s="14">
        <v>10.231015417800634</v>
      </c>
      <c r="CA6" s="14">
        <v>359.16408591030188</v>
      </c>
      <c r="CB6" s="14">
        <v>9.1433732209189529</v>
      </c>
      <c r="CC6" s="14">
        <v>32.771506886818649</v>
      </c>
      <c r="CD6" s="14">
        <v>-1.0005430805808202</v>
      </c>
      <c r="CE6" s="14">
        <v>-9.7524825343566448</v>
      </c>
      <c r="CF6" s="14">
        <v>20.749929534336012</v>
      </c>
      <c r="CG6" s="69"/>
      <c r="CH6" s="14">
        <v>5.42</v>
      </c>
      <c r="CI6" s="14">
        <v>19.660970808982036</v>
      </c>
      <c r="CJ6" s="14">
        <v>22.522850519506566</v>
      </c>
      <c r="CK6" s="14">
        <v>475.11475995414861</v>
      </c>
      <c r="CL6" s="14">
        <v>5.7519946725683857</v>
      </c>
      <c r="CM6" s="14">
        <v>6.2905762327565942</v>
      </c>
      <c r="CN6" s="14">
        <v>747.18640419985547</v>
      </c>
      <c r="CO6" s="14">
        <v>9.045840244550309</v>
      </c>
      <c r="CP6" s="14">
        <v>273.07701502816604</v>
      </c>
      <c r="CQ6" s="14">
        <v>7.561536812814893</v>
      </c>
      <c r="CR6" s="14">
        <v>36.158368886483657</v>
      </c>
      <c r="CS6" s="14">
        <v>-0.9143827941574445</v>
      </c>
      <c r="CT6" s="14">
        <v>-8.9230558388391614</v>
      </c>
      <c r="CU6" s="14">
        <v>20.606821265944724</v>
      </c>
      <c r="CV6" s="69"/>
      <c r="CW6" s="14">
        <f t="shared" si="0"/>
        <v>-13.569937369519842</v>
      </c>
      <c r="CX6" s="8">
        <f t="shared" si="1"/>
        <v>72.725377217527168</v>
      </c>
      <c r="CY6" s="8">
        <f t="shared" si="2"/>
        <v>17.5549773936058</v>
      </c>
      <c r="CZ6" s="8">
        <f t="shared" si="3"/>
        <v>66.917805441468232</v>
      </c>
      <c r="DA6" s="14">
        <f t="shared" si="4"/>
        <v>-5.1776960784313815</v>
      </c>
      <c r="DB6" s="14">
        <f t="shared" si="5"/>
        <v>5.1583333333333341</v>
      </c>
    </row>
    <row r="7" spans="1:106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72"/>
      <c r="K7" s="8">
        <v>4.57</v>
      </c>
      <c r="L7" s="8">
        <v>21.972920487216463</v>
      </c>
      <c r="M7" s="8">
        <v>27.82623631106431</v>
      </c>
      <c r="N7" s="8">
        <v>463.65908625991392</v>
      </c>
      <c r="O7" s="8">
        <v>7.7276514376652319</v>
      </c>
      <c r="P7" s="8">
        <v>7.747729601178551</v>
      </c>
      <c r="Q7" s="8">
        <v>898.07630686783352</v>
      </c>
      <c r="R7" s="8">
        <v>14.967938447797225</v>
      </c>
      <c r="S7" s="8">
        <v>414.21839031685647</v>
      </c>
      <c r="T7" s="8">
        <v>15.508928074281997</v>
      </c>
      <c r="U7" s="8">
        <v>59.965205889282927</v>
      </c>
      <c r="V7" s="8">
        <v>-0.99740851003495734</v>
      </c>
      <c r="W7" s="8">
        <v>-8.7556664061687393</v>
      </c>
      <c r="X7" s="8">
        <v>24.348430928019535</v>
      </c>
      <c r="Y7" s="69"/>
      <c r="Z7" s="8">
        <v>4.63</v>
      </c>
      <c r="AA7" s="8">
        <v>18.151083327856252</v>
      </c>
      <c r="AB7" s="8">
        <v>20.073809357997053</v>
      </c>
      <c r="AC7" s="8">
        <v>206.62757687399525</v>
      </c>
      <c r="AD7" s="8">
        <v>3.443792947899921</v>
      </c>
      <c r="AE7" s="8">
        <v>7.5787244169579804</v>
      </c>
      <c r="AF7" s="8">
        <v>391.4933655179525</v>
      </c>
      <c r="AG7" s="8">
        <v>6.5248894252992082</v>
      </c>
      <c r="AH7" s="8">
        <v>317.05224501804798</v>
      </c>
      <c r="AI7" s="8">
        <v>11.601078381853897</v>
      </c>
      <c r="AJ7" s="8">
        <v>24.964174371442688</v>
      </c>
      <c r="AK7" s="8">
        <v>-0.45440271455103554</v>
      </c>
      <c r="AL7" s="8">
        <v>-4.4551202023762402</v>
      </c>
      <c r="AM7" s="8">
        <v>19.929850490619174</v>
      </c>
      <c r="AN7" s="69"/>
      <c r="AO7" s="8">
        <v>4.9800000000000004</v>
      </c>
      <c r="AP7" s="8">
        <v>20.568482670048258</v>
      </c>
      <c r="AQ7" s="8">
        <v>24.596249701228874</v>
      </c>
      <c r="AR7" s="8">
        <v>391.71003505418764</v>
      </c>
      <c r="AS7" s="8">
        <v>6.5285005842364603</v>
      </c>
      <c r="AT7" s="8">
        <v>7.3069594804045295</v>
      </c>
      <c r="AU7" s="8">
        <v>715.55233855219672</v>
      </c>
      <c r="AV7" s="8">
        <v>11.925872309203278</v>
      </c>
      <c r="AW7" s="8">
        <v>361.91498089402802</v>
      </c>
      <c r="AX7" s="8">
        <v>13.836023293117293</v>
      </c>
      <c r="AY7" s="8">
        <v>49.809524297437939</v>
      </c>
      <c r="AZ7" s="8">
        <v>-0.89346336211994815</v>
      </c>
      <c r="BA7" s="8">
        <v>-8.193218211859449</v>
      </c>
      <c r="BB7" s="8">
        <v>22.800629389510849</v>
      </c>
      <c r="BC7" s="69"/>
      <c r="BD7" s="8">
        <v>4.99</v>
      </c>
      <c r="BE7" s="8">
        <v>20.345724480910434</v>
      </c>
      <c r="BF7" s="8">
        <v>23.490060198953167</v>
      </c>
      <c r="BG7" s="8">
        <v>391.32759565269811</v>
      </c>
      <c r="BH7" s="8">
        <v>6.5221265942116355</v>
      </c>
      <c r="BI7" s="8">
        <v>6.7544188162508005</v>
      </c>
      <c r="BJ7" s="8">
        <v>660.79761884869231</v>
      </c>
      <c r="BK7" s="8">
        <v>11.013293647478205</v>
      </c>
      <c r="BL7" s="8">
        <v>288.7866971080266</v>
      </c>
      <c r="BM7" s="8">
        <v>10.525783715724675</v>
      </c>
      <c r="BN7" s="8">
        <v>41.583950248212005</v>
      </c>
      <c r="BO7" s="8">
        <v>-0.96560885127817642</v>
      </c>
      <c r="BP7" s="8">
        <v>-9.2140356522926172</v>
      </c>
      <c r="BQ7" s="8">
        <v>21.734679812285339</v>
      </c>
      <c r="BR7" s="69"/>
      <c r="BS7" s="14">
        <v>5.27</v>
      </c>
      <c r="BT7" s="14">
        <v>19.911952078586381</v>
      </c>
      <c r="BU7" s="14">
        <v>22.891805700492885</v>
      </c>
      <c r="BV7" s="14">
        <v>381.63179640179635</v>
      </c>
      <c r="BW7" s="14">
        <v>6.3605299400299389</v>
      </c>
      <c r="BX7" s="14">
        <v>6.5895927832068546</v>
      </c>
      <c r="BY7" s="14">
        <v>628.69953285288625</v>
      </c>
      <c r="BZ7" s="14">
        <v>10.478325547548105</v>
      </c>
      <c r="CA7" s="14">
        <v>267.16343094559511</v>
      </c>
      <c r="CB7" s="14">
        <v>10.097942027788672</v>
      </c>
      <c r="CC7" s="14">
        <v>41.738196258517313</v>
      </c>
      <c r="CD7" s="14">
        <v>-0.96523869521032246</v>
      </c>
      <c r="CE7" s="14">
        <v>-9.2126975976408882</v>
      </c>
      <c r="CF7" s="14">
        <v>21.266708327290953</v>
      </c>
      <c r="CG7" s="69"/>
      <c r="CH7" s="14">
        <v>5.2</v>
      </c>
      <c r="CI7" s="14">
        <v>19.461668448137182</v>
      </c>
      <c r="CJ7" s="14">
        <v>22.561317361752376</v>
      </c>
      <c r="CK7" s="14">
        <v>350.83168065228261</v>
      </c>
      <c r="CL7" s="14">
        <v>5.8471946775380435</v>
      </c>
      <c r="CM7" s="14">
        <v>6.8509997529652393</v>
      </c>
      <c r="CN7" s="14">
        <v>600.886939370292</v>
      </c>
      <c r="CO7" s="14">
        <v>10.014782322838199</v>
      </c>
      <c r="CP7" s="14">
        <v>312.51427536143314</v>
      </c>
      <c r="CQ7" s="14">
        <v>12.157051020346024</v>
      </c>
      <c r="CR7" s="14">
        <v>42.597447211264104</v>
      </c>
      <c r="CS7" s="14">
        <v>-0.85348049750071464</v>
      </c>
      <c r="CT7" s="14">
        <v>-8.0467680097077068</v>
      </c>
      <c r="CU7" s="14">
        <v>21.40969170991227</v>
      </c>
      <c r="CV7" s="69"/>
      <c r="CW7" s="14">
        <f t="shared" si="0"/>
        <v>-15.317286652078757</v>
      </c>
      <c r="CX7" s="8">
        <f t="shared" si="1"/>
        <v>47.198311805902769</v>
      </c>
      <c r="CY7" s="8">
        <f t="shared" si="2"/>
        <v>10.876574412215499</v>
      </c>
      <c r="CZ7" s="8">
        <f t="shared" si="3"/>
        <v>40.754422481114354</v>
      </c>
      <c r="DA7" s="14">
        <f t="shared" si="4"/>
        <v>-6.2618595825426944</v>
      </c>
      <c r="DB7" s="14">
        <f t="shared" si="5"/>
        <v>4.9400000000000004</v>
      </c>
    </row>
    <row r="8" spans="1:106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72"/>
      <c r="K8" s="8">
        <v>4.8600000000000003</v>
      </c>
      <c r="L8" s="8">
        <v>21.929179347172937</v>
      </c>
      <c r="M8" s="8">
        <v>25.918852966532086</v>
      </c>
      <c r="N8" s="8">
        <v>423.54401610482523</v>
      </c>
      <c r="O8" s="8">
        <v>7.0590669350804207</v>
      </c>
      <c r="P8" s="8">
        <v>7.3635029676818258</v>
      </c>
      <c r="Q8" s="8">
        <v>779.69190488293987</v>
      </c>
      <c r="R8" s="8">
        <v>12.994865081382331</v>
      </c>
      <c r="S8" s="8">
        <v>346.0409259237577</v>
      </c>
      <c r="T8" s="8">
        <v>11.925858497484656</v>
      </c>
      <c r="U8" s="8">
        <v>47.574607498995455</v>
      </c>
      <c r="V8" s="8">
        <v>-0.95865608611314945</v>
      </c>
      <c r="W8" s="8">
        <v>-8.9583156973351059</v>
      </c>
      <c r="X8" s="8">
        <v>23.351614404873477</v>
      </c>
      <c r="Y8" s="69"/>
      <c r="Z8" s="8">
        <v>5.01</v>
      </c>
      <c r="AA8" s="8">
        <v>21.778851575339779</v>
      </c>
      <c r="AB8" s="8">
        <v>25.868060267184045</v>
      </c>
      <c r="AC8" s="8">
        <v>303.34827018867594</v>
      </c>
      <c r="AD8" s="8">
        <v>5.0558045031445991</v>
      </c>
      <c r="AE8" s="8">
        <v>7.039470811631988</v>
      </c>
      <c r="AF8" s="8">
        <v>533.85282343805954</v>
      </c>
      <c r="AG8" s="8">
        <v>8.8975470573009918</v>
      </c>
      <c r="AH8" s="8">
        <v>205.58782344578674</v>
      </c>
      <c r="AI8" s="8">
        <v>7.1017885806074084</v>
      </c>
      <c r="AJ8" s="8">
        <v>35.994228735469356</v>
      </c>
      <c r="AK8" s="8">
        <v>-0.71820803557994928</v>
      </c>
      <c r="AL8" s="8">
        <v>-7.0309265989179979</v>
      </c>
      <c r="AM8" s="8">
        <v>22.418342946283989</v>
      </c>
      <c r="AN8" s="69"/>
      <c r="AO8" s="8">
        <v>5.19</v>
      </c>
      <c r="AP8" s="8">
        <v>19.839329066959504</v>
      </c>
      <c r="AQ8" s="8">
        <v>22.8660022823166</v>
      </c>
      <c r="AR8" s="8">
        <v>375.0226840427344</v>
      </c>
      <c r="AS8" s="8">
        <v>6.2503780673789064</v>
      </c>
      <c r="AT8" s="8">
        <v>6.7624482467536291</v>
      </c>
      <c r="AU8" s="8">
        <v>634.0178730494074</v>
      </c>
      <c r="AV8" s="8">
        <v>10.566964550823457</v>
      </c>
      <c r="AW8" s="8">
        <v>302.09688734560666</v>
      </c>
      <c r="AX8" s="8">
        <v>11.410642643282257</v>
      </c>
      <c r="AY8" s="8">
        <v>42.529352319327181</v>
      </c>
      <c r="AZ8" s="8">
        <v>-0.92427739766872952</v>
      </c>
      <c r="BA8" s="8">
        <v>-8.7514430743048806</v>
      </c>
      <c r="BB8" s="8">
        <v>21.499199886481495</v>
      </c>
      <c r="BC8" s="69"/>
      <c r="BD8" s="8">
        <v>5.33</v>
      </c>
      <c r="BE8" s="8">
        <v>19.894208157861058</v>
      </c>
      <c r="BF8" s="8">
        <v>22.802515465178317</v>
      </c>
      <c r="BG8" s="8">
        <v>376.70394960509088</v>
      </c>
      <c r="BH8" s="8">
        <v>6.2783991600848479</v>
      </c>
      <c r="BI8" s="8">
        <v>6.5103091067557948</v>
      </c>
      <c r="BJ8" s="8">
        <v>613.11478841622477</v>
      </c>
      <c r="BK8" s="8">
        <v>10.218579806937079</v>
      </c>
      <c r="BL8" s="8">
        <v>249.75586011048884</v>
      </c>
      <c r="BM8" s="8">
        <v>9.4044323634329263</v>
      </c>
      <c r="BN8" s="8">
        <v>40.397358284668769</v>
      </c>
      <c r="BO8" s="8">
        <v>-0.96437804367379487</v>
      </c>
      <c r="BP8" s="8">
        <v>-9.2614048999758847</v>
      </c>
      <c r="BQ8" s="8">
        <v>21.111495566990222</v>
      </c>
      <c r="BR8" s="69"/>
      <c r="BS8" s="14">
        <v>5.54</v>
      </c>
      <c r="BT8" s="14">
        <v>17.459620236882248</v>
      </c>
      <c r="BU8" s="14">
        <v>19.244456556623916</v>
      </c>
      <c r="BV8" s="14">
        <v>328.65901151833384</v>
      </c>
      <c r="BW8" s="14">
        <v>5.4776501919722307</v>
      </c>
      <c r="BX8" s="14">
        <v>5.7505138422073081</v>
      </c>
      <c r="BY8" s="14">
        <v>472.48954877558748</v>
      </c>
      <c r="BZ8" s="14">
        <v>7.8748258129264581</v>
      </c>
      <c r="CA8" s="14">
        <v>212.15831089469296</v>
      </c>
      <c r="CB8" s="14">
        <v>8.597706939285656</v>
      </c>
      <c r="CC8" s="14">
        <v>31.280121915824182</v>
      </c>
      <c r="CD8" s="14">
        <v>-0.9525496924757697</v>
      </c>
      <c r="CE8" s="14">
        <v>-9.3251876083099656</v>
      </c>
      <c r="CF8" s="14">
        <v>18.679210252585502</v>
      </c>
      <c r="CG8" s="69"/>
      <c r="CH8" s="14">
        <v>5.29</v>
      </c>
      <c r="CI8" s="14">
        <v>19.176738437508249</v>
      </c>
      <c r="CJ8" s="14">
        <v>22.502266477719061</v>
      </c>
      <c r="CK8" s="14">
        <v>367.86640962497381</v>
      </c>
      <c r="CL8" s="14">
        <v>6.1311068270828972</v>
      </c>
      <c r="CM8" s="14">
        <v>6.571245128175855</v>
      </c>
      <c r="CN8" s="14">
        <v>604.33508801691312</v>
      </c>
      <c r="CO8" s="14">
        <v>10.072251466948552</v>
      </c>
      <c r="CP8" s="14">
        <v>278.5552298390935</v>
      </c>
      <c r="CQ8" s="14">
        <v>11.397415489787367</v>
      </c>
      <c r="CR8" s="14">
        <v>45.302272987646298</v>
      </c>
      <c r="CS8" s="14">
        <v>-0.93302056269279066</v>
      </c>
      <c r="CT8" s="14">
        <v>-8.7691095825585617</v>
      </c>
      <c r="CU8" s="14">
        <v>21.024119603694079</v>
      </c>
      <c r="CV8" s="69"/>
      <c r="CW8" s="14">
        <f t="shared" si="0"/>
        <v>-13.991769547325097</v>
      </c>
      <c r="CX8" s="8">
        <f t="shared" si="1"/>
        <v>19.47303167203734</v>
      </c>
      <c r="CY8" s="8">
        <f t="shared" si="2"/>
        <v>7.5170665386069775</v>
      </c>
      <c r="CZ8" s="8">
        <f t="shared" si="3"/>
        <v>12.927752922566391</v>
      </c>
      <c r="DA8" s="14">
        <f t="shared" si="4"/>
        <v>-6.0770156438026524</v>
      </c>
      <c r="DB8" s="14">
        <f t="shared" si="5"/>
        <v>5.2033333333333331</v>
      </c>
    </row>
    <row r="9" spans="1:106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72"/>
      <c r="K9" s="8">
        <v>4.9400000000000004</v>
      </c>
      <c r="L9" s="8">
        <v>21.914684318360852</v>
      </c>
      <c r="M9" s="8">
        <v>27.440025649742708</v>
      </c>
      <c r="N9" s="8">
        <v>520.60752357721674</v>
      </c>
      <c r="O9" s="8">
        <v>7.5341175626225292</v>
      </c>
      <c r="P9" s="8">
        <v>7.5415085195084881</v>
      </c>
      <c r="Q9" s="8">
        <v>981.54151859444903</v>
      </c>
      <c r="R9" s="8">
        <v>14.204652946374082</v>
      </c>
      <c r="S9" s="8">
        <v>417.14230459466194</v>
      </c>
      <c r="T9" s="8">
        <v>13.792459562722636</v>
      </c>
      <c r="U9" s="8">
        <v>59.053881741882662</v>
      </c>
      <c r="V9" s="8">
        <v>-0.99901996306616359</v>
      </c>
      <c r="W9" s="8">
        <v>-8.881070903283101</v>
      </c>
      <c r="X9" s="8">
        <v>23.858917818341414</v>
      </c>
      <c r="Y9" s="69"/>
      <c r="Z9" s="8">
        <v>5.04</v>
      </c>
      <c r="AA9" s="8">
        <v>21.179582886310666</v>
      </c>
      <c r="AB9" s="8">
        <v>24.761820334296619</v>
      </c>
      <c r="AC9" s="8">
        <v>471.53001328846221</v>
      </c>
      <c r="AD9" s="8">
        <v>6.8238786293554599</v>
      </c>
      <c r="AE9" s="8">
        <v>7.0901980977351515</v>
      </c>
      <c r="AF9" s="8">
        <v>835.8103008107214</v>
      </c>
      <c r="AG9" s="8">
        <v>12.095662819257909</v>
      </c>
      <c r="AH9" s="8">
        <v>366.20765862947684</v>
      </c>
      <c r="AI9" s="8">
        <v>11.392933394764972</v>
      </c>
      <c r="AJ9" s="8">
        <v>45.966152402976093</v>
      </c>
      <c r="AK9" s="8">
        <v>-0.96243836001355698</v>
      </c>
      <c r="AL9" s="8">
        <v>-9.0449811135653881</v>
      </c>
      <c r="AM9" s="8">
        <v>22.631882523051903</v>
      </c>
      <c r="AN9" s="69"/>
      <c r="AO9" s="8">
        <v>5.21</v>
      </c>
      <c r="AP9" s="8">
        <v>20.400686248567137</v>
      </c>
      <c r="AQ9" s="8">
        <v>25.004823235176193</v>
      </c>
      <c r="AR9" s="8">
        <v>472.96678583253851</v>
      </c>
      <c r="AS9" s="8">
        <v>6.8446712855649574</v>
      </c>
      <c r="AT9" s="8">
        <v>6.9121940501518662</v>
      </c>
      <c r="AU9" s="8">
        <v>817.30955073778114</v>
      </c>
      <c r="AV9" s="8">
        <v>11.827924033831856</v>
      </c>
      <c r="AW9" s="8">
        <v>329.26659351075318</v>
      </c>
      <c r="AX9" s="8">
        <v>11.857261395428791</v>
      </c>
      <c r="AY9" s="8">
        <v>54.796523454467881</v>
      </c>
      <c r="AZ9" s="8">
        <v>-0.99023135576099397</v>
      </c>
      <c r="BA9" s="8">
        <v>-9.0270826981019869</v>
      </c>
      <c r="BB9" s="8">
        <v>22.198846930232847</v>
      </c>
      <c r="BC9" s="69"/>
      <c r="BD9" s="8">
        <v>5.42</v>
      </c>
      <c r="BE9" s="8">
        <v>19.24413252710405</v>
      </c>
      <c r="BF9" s="8">
        <v>23.133596609034459</v>
      </c>
      <c r="BG9" s="8">
        <v>414.3633676568366</v>
      </c>
      <c r="BH9" s="8">
        <v>5.9965755087820067</v>
      </c>
      <c r="BI9" s="8">
        <v>6.3365802383671337</v>
      </c>
      <c r="BJ9" s="8">
        <v>656.41168174939151</v>
      </c>
      <c r="BK9" s="8">
        <v>9.499445466706101</v>
      </c>
      <c r="BL9" s="8">
        <v>244.57278402523295</v>
      </c>
      <c r="BM9" s="8">
        <v>9.1794736481386021</v>
      </c>
      <c r="BN9" s="8">
        <v>47.45430699392351</v>
      </c>
      <c r="BO9" s="8">
        <v>-0.94634255121927691</v>
      </c>
      <c r="BP9" s="8">
        <v>-8.9421150226577453</v>
      </c>
      <c r="BQ9" s="8">
        <v>20.656215864964171</v>
      </c>
      <c r="BR9" s="69"/>
      <c r="BS9" s="14">
        <v>5.61</v>
      </c>
      <c r="BT9" s="14">
        <v>18.710433587612176</v>
      </c>
      <c r="BU9" s="14">
        <v>21.043071211397795</v>
      </c>
      <c r="BV9" s="14">
        <v>378.43606270746074</v>
      </c>
      <c r="BW9" s="14">
        <v>5.4766434545218639</v>
      </c>
      <c r="BX9" s="14">
        <v>6.4184866982053785</v>
      </c>
      <c r="BY9" s="14">
        <v>607.24670865226335</v>
      </c>
      <c r="BZ9" s="14">
        <v>8.7879407909155347</v>
      </c>
      <c r="CA9" s="14">
        <v>304.43766228042972</v>
      </c>
      <c r="CB9" s="14">
        <v>10.364891256094554</v>
      </c>
      <c r="CC9" s="14">
        <v>36.943858115090769</v>
      </c>
      <c r="CD9" s="14">
        <v>-0.85326085602906077</v>
      </c>
      <c r="CE9" s="14">
        <v>-8.2026662015753988</v>
      </c>
      <c r="CF9" s="14">
        <v>20.278223160474415</v>
      </c>
      <c r="CG9" s="69"/>
      <c r="CH9" s="14">
        <v>5.5</v>
      </c>
      <c r="CI9" s="14">
        <v>18.272245694792211</v>
      </c>
      <c r="CJ9" s="14">
        <v>21.166623892467662</v>
      </c>
      <c r="CK9" s="14">
        <v>402.16606156699953</v>
      </c>
      <c r="CL9" s="14">
        <v>5.8200587781041904</v>
      </c>
      <c r="CM9" s="14">
        <v>6.0086726703031355</v>
      </c>
      <c r="CN9" s="14">
        <v>604.1210557652696</v>
      </c>
      <c r="CO9" s="14">
        <v>8.7427070298881286</v>
      </c>
      <c r="CP9" s="14">
        <v>240.2869110813381</v>
      </c>
      <c r="CQ9" s="14">
        <v>8.9448543629126558</v>
      </c>
      <c r="CR9" s="14">
        <v>40.945319098118915</v>
      </c>
      <c r="CS9" s="14">
        <v>-0.96860972421893821</v>
      </c>
      <c r="CT9" s="14">
        <v>-9.3010679704100756</v>
      </c>
      <c r="CU9" s="14">
        <v>19.713992747802138</v>
      </c>
      <c r="CV9" s="69"/>
      <c r="CW9" s="14">
        <f t="shared" si="0"/>
        <v>-13.562753036437245</v>
      </c>
      <c r="CX9" s="8">
        <f t="shared" si="1"/>
        <v>14.710400137144349</v>
      </c>
      <c r="CY9" s="8">
        <f t="shared" si="2"/>
        <v>15.253811142138494</v>
      </c>
      <c r="CZ9" s="8">
        <f t="shared" si="3"/>
        <v>27.720314624109953</v>
      </c>
      <c r="DA9" s="14">
        <f t="shared" si="4"/>
        <v>-5.7635175282234163</v>
      </c>
      <c r="DB9" s="14">
        <f t="shared" si="5"/>
        <v>5.2866666666666662</v>
      </c>
    </row>
    <row r="10" spans="1:106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72"/>
      <c r="K10" s="8">
        <v>5</v>
      </c>
      <c r="L10" s="8">
        <v>20.458195025898089</v>
      </c>
      <c r="M10" s="8">
        <v>25.184647495680476</v>
      </c>
      <c r="N10" s="8">
        <v>482.5875634708388</v>
      </c>
      <c r="O10" s="8">
        <v>6.8744667161088149</v>
      </c>
      <c r="P10" s="8">
        <v>6.9515981865634382</v>
      </c>
      <c r="Q10" s="8">
        <v>838.68870777048778</v>
      </c>
      <c r="R10" s="8">
        <v>11.947132589323187</v>
      </c>
      <c r="S10" s="8">
        <v>346.88287185860361</v>
      </c>
      <c r="T10" s="8">
        <v>12.082934871098217</v>
      </c>
      <c r="U10" s="8">
        <v>54.0737595959597</v>
      </c>
      <c r="V10" s="8">
        <v>-0.98890449816220527</v>
      </c>
      <c r="W10" s="8">
        <v>-9.0383209531035931</v>
      </c>
      <c r="X10" s="8">
        <v>22.361940939745875</v>
      </c>
      <c r="Y10" s="69"/>
      <c r="Z10" s="8">
        <v>4.8499999999999996</v>
      </c>
      <c r="AA10" s="8">
        <v>20.652947013188449</v>
      </c>
      <c r="AB10" s="8">
        <v>24.563170013114942</v>
      </c>
      <c r="AC10" s="8">
        <v>464.73237896762362</v>
      </c>
      <c r="AD10" s="8">
        <v>6.6201193585131568</v>
      </c>
      <c r="AE10" s="8">
        <v>6.8879841133057615</v>
      </c>
      <c r="AF10" s="8">
        <v>800.26731081694606</v>
      </c>
      <c r="AG10" s="8">
        <v>11.399819242406638</v>
      </c>
      <c r="AH10" s="8">
        <v>339.8350862751322</v>
      </c>
      <c r="AI10" s="8">
        <v>10.852222172373963</v>
      </c>
      <c r="AJ10" s="8">
        <v>45.916433932388031</v>
      </c>
      <c r="AK10" s="8">
        <v>-0.96111129898294012</v>
      </c>
      <c r="AL10" s="8">
        <v>-9.0678915221646932</v>
      </c>
      <c r="AM10" s="8">
        <v>22.148555696897912</v>
      </c>
      <c r="AN10" s="69"/>
      <c r="AO10" s="8">
        <v>5.21</v>
      </c>
      <c r="AP10" s="8">
        <v>20.451711369645274</v>
      </c>
      <c r="AQ10" s="8">
        <v>23.674089051501319</v>
      </c>
      <c r="AR10" s="8">
        <v>448.23427679265427</v>
      </c>
      <c r="AS10" s="8">
        <v>6.3851036580150176</v>
      </c>
      <c r="AT10" s="8">
        <v>6.6814545374390262</v>
      </c>
      <c r="AU10" s="8">
        <v>748.71423562799509</v>
      </c>
      <c r="AV10" s="8">
        <v>10.665444951965741</v>
      </c>
      <c r="AW10" s="8">
        <v>298.43693088670778</v>
      </c>
      <c r="AX10" s="8">
        <v>9.4504416704009468</v>
      </c>
      <c r="AY10" s="8">
        <v>41.8945225613557</v>
      </c>
      <c r="AZ10" s="8">
        <v>-0.95564575381551631</v>
      </c>
      <c r="BA10" s="8">
        <v>-9.1493664871351079</v>
      </c>
      <c r="BB10" s="8">
        <v>21.63720147114465</v>
      </c>
      <c r="BC10" s="69"/>
      <c r="BD10" s="8">
        <v>5.23</v>
      </c>
      <c r="BE10" s="8">
        <v>20.28114696300177</v>
      </c>
      <c r="BF10" s="8">
        <v>23.144434505862655</v>
      </c>
      <c r="BG10" s="8">
        <v>317.75802603414741</v>
      </c>
      <c r="BH10" s="8">
        <v>4.5264676073240366</v>
      </c>
      <c r="BI10" s="8">
        <v>6.3919655676265279</v>
      </c>
      <c r="BJ10" s="8">
        <v>507.77459031181104</v>
      </c>
      <c r="BK10" s="8">
        <v>7.2332562722480205</v>
      </c>
      <c r="BL10" s="8">
        <v>176.99432334347773</v>
      </c>
      <c r="BM10" s="8">
        <v>5.4122638434028474</v>
      </c>
      <c r="BN10" s="8">
        <v>27.479125824276572</v>
      </c>
      <c r="BO10" s="8">
        <v>-0.70814956048094124</v>
      </c>
      <c r="BP10" s="8">
        <v>-7.0529699413726163</v>
      </c>
      <c r="BQ10" s="8">
        <v>20.83803609299683</v>
      </c>
      <c r="BR10" s="69"/>
      <c r="BS10" s="14">
        <v>5.4</v>
      </c>
      <c r="BT10" s="14">
        <v>20.616500979563973</v>
      </c>
      <c r="BU10" s="14">
        <v>22.150122492611629</v>
      </c>
      <c r="BV10" s="14">
        <v>345.35251036541069</v>
      </c>
      <c r="BW10" s="14">
        <v>4.9195514297067051</v>
      </c>
      <c r="BX10" s="14">
        <v>7.3918823613778866</v>
      </c>
      <c r="BY10" s="14">
        <v>638.2012824569133</v>
      </c>
      <c r="BZ10" s="14">
        <v>9.0911863597850893</v>
      </c>
      <c r="CA10" s="14">
        <v>408.26420047984715</v>
      </c>
      <c r="CB10" s="14">
        <v>11.127023945763691</v>
      </c>
      <c r="CC10" s="14">
        <v>28.0445421403426</v>
      </c>
      <c r="CD10" s="14">
        <v>-0.6655343238971233</v>
      </c>
      <c r="CE10" s="14">
        <v>-6.4899731163762908</v>
      </c>
      <c r="CF10" s="14">
        <v>21.838025485016249</v>
      </c>
      <c r="CG10" s="69"/>
      <c r="CH10" s="14">
        <v>5.45</v>
      </c>
      <c r="CI10" s="14">
        <v>19.170026623223684</v>
      </c>
      <c r="CJ10" s="14">
        <v>21.344313064655861</v>
      </c>
      <c r="CK10" s="14">
        <v>428.77734057531865</v>
      </c>
      <c r="CL10" s="14">
        <v>6.1079393244347386</v>
      </c>
      <c r="CM10" s="14">
        <v>6.1364117863141772</v>
      </c>
      <c r="CN10" s="14">
        <v>657.7885816027084</v>
      </c>
      <c r="CO10" s="14">
        <v>9.3702077151382959</v>
      </c>
      <c r="CP10" s="14">
        <v>251.63982328769063</v>
      </c>
      <c r="CQ10" s="14">
        <v>8.0728624348792053</v>
      </c>
      <c r="CR10" s="14">
        <v>34.007483261734968</v>
      </c>
      <c r="CS10" s="14">
        <v>-0.99536007965714746</v>
      </c>
      <c r="CT10" s="14">
        <v>-9.7246928547435321</v>
      </c>
      <c r="CU10" s="14">
        <v>20.163646990195186</v>
      </c>
      <c r="CV10" s="69"/>
      <c r="CW10" s="14">
        <f t="shared" si="0"/>
        <v>-12.371134020618568</v>
      </c>
      <c r="CX10" s="8">
        <f t="shared" si="1"/>
        <v>31.625589174563512</v>
      </c>
      <c r="CY10" s="8">
        <f t="shared" si="2"/>
        <v>10.9113539553575</v>
      </c>
      <c r="CZ10" s="8">
        <f t="shared" si="3"/>
        <v>36.549377508191142</v>
      </c>
      <c r="DA10" s="14">
        <f t="shared" si="4"/>
        <v>-4.7706422018348738</v>
      </c>
      <c r="DB10" s="14">
        <f t="shared" si="5"/>
        <v>5.1899999999999995</v>
      </c>
    </row>
    <row r="11" spans="1:106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72"/>
      <c r="K11" s="8">
        <v>5.24</v>
      </c>
      <c r="L11" s="8">
        <v>20.071289505910848</v>
      </c>
      <c r="M11" s="8">
        <v>24.84124524895519</v>
      </c>
      <c r="N11" s="8">
        <v>492.84103900850727</v>
      </c>
      <c r="O11" s="8">
        <v>6.5799871696729939</v>
      </c>
      <c r="P11" s="8">
        <v>6.721324616858773</v>
      </c>
      <c r="Q11" s="8">
        <v>828.13615192153372</v>
      </c>
      <c r="R11" s="8">
        <v>11.056557435534495</v>
      </c>
      <c r="S11" s="8">
        <v>313.48533824407349</v>
      </c>
      <c r="T11" s="8">
        <v>10.800651212777023</v>
      </c>
      <c r="U11" s="8">
        <v>54.443740391965633</v>
      </c>
      <c r="V11" s="8">
        <v>-0.97897178677678076</v>
      </c>
      <c r="W11" s="8">
        <v>-8.9895957280386227</v>
      </c>
      <c r="X11" s="8">
        <v>21.766887336377181</v>
      </c>
      <c r="Y11" s="69"/>
      <c r="Z11" s="8">
        <v>5.15</v>
      </c>
      <c r="AA11" s="8">
        <v>20.659343975515881</v>
      </c>
      <c r="AB11" s="8">
        <v>25.607016580974104</v>
      </c>
      <c r="AC11" s="8">
        <v>273.18985133098954</v>
      </c>
      <c r="AD11" s="8">
        <v>3.6473945438049333</v>
      </c>
      <c r="AE11" s="8">
        <v>6.7180093147710238</v>
      </c>
      <c r="AF11" s="8">
        <v>458.82299148562475</v>
      </c>
      <c r="AG11" s="8">
        <v>6.1258076299816384</v>
      </c>
      <c r="AH11" s="8">
        <v>173.54960989077227</v>
      </c>
      <c r="AI11" s="8">
        <v>5.3337721620455847</v>
      </c>
      <c r="AJ11" s="8">
        <v>32.907804691556684</v>
      </c>
      <c r="AK11" s="8">
        <v>-0.54292787832034295</v>
      </c>
      <c r="AL11" s="8">
        <v>-5.368505107436218</v>
      </c>
      <c r="AM11" s="8">
        <v>21.318333622828504</v>
      </c>
      <c r="AN11" s="69"/>
      <c r="AO11" s="8">
        <v>5.58</v>
      </c>
      <c r="AP11" s="8">
        <v>18.088452946052453</v>
      </c>
      <c r="AQ11" s="8">
        <v>23.162016344516928</v>
      </c>
      <c r="AR11" s="8">
        <v>461.84973243116548</v>
      </c>
      <c r="AS11" s="8">
        <v>6.1662180564908606</v>
      </c>
      <c r="AT11" s="8">
        <v>6.0590838290336668</v>
      </c>
      <c r="AU11" s="8">
        <v>699.59656130430017</v>
      </c>
      <c r="AV11" s="8">
        <v>9.3404080280947941</v>
      </c>
      <c r="AW11" s="8">
        <v>229.2598230434443</v>
      </c>
      <c r="AX11" s="8">
        <v>9.9901938044450453</v>
      </c>
      <c r="AY11" s="8">
        <v>59.337176753057662</v>
      </c>
      <c r="AZ11" s="8">
        <v>-1.0176815885833816</v>
      </c>
      <c r="BA11" s="8">
        <v>-9.2012219456314828</v>
      </c>
      <c r="BB11" s="8">
        <v>20.072489875914801</v>
      </c>
      <c r="BC11" s="69"/>
      <c r="BD11" s="8">
        <v>5.96</v>
      </c>
      <c r="BE11" s="8">
        <v>17.262847618174849</v>
      </c>
      <c r="BF11" s="8">
        <v>20.672243369455519</v>
      </c>
      <c r="BG11" s="8">
        <v>426.29599452986366</v>
      </c>
      <c r="BH11" s="8">
        <v>5.6915353074748145</v>
      </c>
      <c r="BI11" s="8">
        <v>5.7306814336607808</v>
      </c>
      <c r="BJ11" s="8">
        <v>610.74163527406188</v>
      </c>
      <c r="BK11" s="8">
        <v>8.1540939288926815</v>
      </c>
      <c r="BL11" s="8">
        <v>218.23629545729071</v>
      </c>
      <c r="BM11" s="8">
        <v>9.0613386468695936</v>
      </c>
      <c r="BN11" s="8">
        <v>48.805249048955908</v>
      </c>
      <c r="BO11" s="8">
        <v>-0.99316902769083792</v>
      </c>
      <c r="BP11" s="8">
        <v>-9.3282338330319305</v>
      </c>
      <c r="BQ11" s="8">
        <v>19.001685761500696</v>
      </c>
      <c r="BR11" s="69"/>
      <c r="BS11" s="14">
        <v>5.95</v>
      </c>
      <c r="BT11" s="14">
        <v>17.000181937942784</v>
      </c>
      <c r="BU11" s="14">
        <v>21.136710419495369</v>
      </c>
      <c r="BV11" s="14">
        <v>441.51839487518509</v>
      </c>
      <c r="BW11" s="14">
        <v>5.8947716271720303</v>
      </c>
      <c r="BX11" s="14">
        <v>5.6908885251295107</v>
      </c>
      <c r="BY11" s="14">
        <v>628.15799175719781</v>
      </c>
      <c r="BZ11" s="14">
        <v>8.386622052833081</v>
      </c>
      <c r="CA11" s="14">
        <v>205.97279825031907</v>
      </c>
      <c r="CB11" s="14">
        <v>9.611302068141768</v>
      </c>
      <c r="CC11" s="14">
        <v>56.029881846177233</v>
      </c>
      <c r="CD11" s="14">
        <v>-1.0358262336614441</v>
      </c>
      <c r="CE11" s="14">
        <v>-9.4813613126446477</v>
      </c>
      <c r="CF11" s="14">
        <v>18.996382136601802</v>
      </c>
      <c r="CG11" s="69"/>
      <c r="CH11" s="14">
        <v>5.83</v>
      </c>
      <c r="CI11" s="14">
        <v>17.811284643514124</v>
      </c>
      <c r="CJ11" s="14">
        <v>22.025511505224571</v>
      </c>
      <c r="CK11" s="14">
        <v>440.81648759560687</v>
      </c>
      <c r="CL11" s="14">
        <v>5.8854003684326681</v>
      </c>
      <c r="CM11" s="14">
        <v>5.9065779303886492</v>
      </c>
      <c r="CN11" s="14">
        <v>650.92923424591334</v>
      </c>
      <c r="CO11" s="14">
        <v>8.6906439819214061</v>
      </c>
      <c r="CP11" s="14">
        <v>216.97350469688192</v>
      </c>
      <c r="CQ11" s="14">
        <v>9.2045784461430014</v>
      </c>
      <c r="CR11" s="14">
        <v>54.215176756496241</v>
      </c>
      <c r="CS11" s="14">
        <v>-0.99641458011634376</v>
      </c>
      <c r="CT11" s="14">
        <v>-9.2071421940586831</v>
      </c>
      <c r="CU11" s="14">
        <v>19.555260532796606</v>
      </c>
      <c r="CV11" s="69"/>
      <c r="CW11" s="14">
        <f t="shared" si="0"/>
        <v>-15.728155339805816</v>
      </c>
      <c r="CX11" s="8">
        <f t="shared" si="1"/>
        <v>38.026398962280531</v>
      </c>
      <c r="CY11" s="8">
        <f t="shared" si="2"/>
        <v>14.696732839285964</v>
      </c>
      <c r="CZ11" s="8">
        <f t="shared" si="3"/>
        <v>29.512615604496435</v>
      </c>
      <c r="DA11" s="14">
        <f t="shared" si="4"/>
        <v>-5.7326621923937342</v>
      </c>
      <c r="DB11" s="14">
        <f t="shared" si="5"/>
        <v>5.6183333333333332</v>
      </c>
    </row>
    <row r="12" spans="1:106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72"/>
      <c r="K12" s="8">
        <v>5.13</v>
      </c>
      <c r="L12" s="8">
        <v>20.481703123301266</v>
      </c>
      <c r="M12" s="8">
        <v>22.617051381680422</v>
      </c>
      <c r="N12" s="8">
        <v>381.51606132176704</v>
      </c>
      <c r="O12" s="8">
        <v>5.998680209461746</v>
      </c>
      <c r="P12" s="8">
        <v>7.0384411775484095</v>
      </c>
      <c r="Q12" s="8">
        <v>671.31958897580228</v>
      </c>
      <c r="R12" s="8">
        <v>10.555339449305068</v>
      </c>
      <c r="S12" s="8">
        <v>362.0342016790002</v>
      </c>
      <c r="T12" s="8">
        <v>11.46450765778533</v>
      </c>
      <c r="U12" s="8">
        <v>34.717282433892663</v>
      </c>
      <c r="V12" s="8">
        <v>-0.85227397063381771</v>
      </c>
      <c r="W12" s="8">
        <v>-8.2065633563687364</v>
      </c>
      <c r="X12" s="8">
        <v>21.854668813368381</v>
      </c>
      <c r="Y12" s="69"/>
      <c r="Z12" s="8">
        <v>5.18</v>
      </c>
      <c r="AA12" s="8">
        <v>19.976742636539942</v>
      </c>
      <c r="AB12" s="8">
        <v>23.726369438226783</v>
      </c>
      <c r="AC12" s="8">
        <v>411.18900341265515</v>
      </c>
      <c r="AD12" s="8">
        <v>6.4652359027147037</v>
      </c>
      <c r="AE12" s="8">
        <v>6.6799574006256233</v>
      </c>
      <c r="AF12" s="8">
        <v>686.68125660056012</v>
      </c>
      <c r="AG12" s="8">
        <v>10.796875103782391</v>
      </c>
      <c r="AH12" s="8">
        <v>285.80460051172156</v>
      </c>
      <c r="AI12" s="8">
        <v>10.710966008214834</v>
      </c>
      <c r="AJ12" s="8">
        <v>47.223342515037793</v>
      </c>
      <c r="AK12" s="8">
        <v>-0.96785585819891418</v>
      </c>
      <c r="AL12" s="8">
        <v>-9.090892574517051</v>
      </c>
      <c r="AM12" s="8">
        <v>21.540602817105366</v>
      </c>
      <c r="AN12" s="69"/>
      <c r="AO12" s="8">
        <v>5.73</v>
      </c>
      <c r="AP12" s="8">
        <v>18.239357354687094</v>
      </c>
      <c r="AQ12" s="8">
        <v>22.241125702391159</v>
      </c>
      <c r="AR12" s="8">
        <v>392.48098412481687</v>
      </c>
      <c r="AS12" s="8">
        <v>6.1710846560505797</v>
      </c>
      <c r="AT12" s="8">
        <v>6.2870077357864478</v>
      </c>
      <c r="AU12" s="8">
        <v>616.88274583545046</v>
      </c>
      <c r="AV12" s="8">
        <v>9.6994142426957612</v>
      </c>
      <c r="AW12" s="8">
        <v>244.58899803214197</v>
      </c>
      <c r="AX12" s="8">
        <v>11.529173239285617</v>
      </c>
      <c r="AY12" s="8">
        <v>54.26129306376486</v>
      </c>
      <c r="AZ12" s="8">
        <v>-0.98156148606657168</v>
      </c>
      <c r="BA12" s="8">
        <v>-8.9454443038169273</v>
      </c>
      <c r="BB12" s="8">
        <v>20.461477123296135</v>
      </c>
      <c r="BC12" s="69"/>
      <c r="BD12" s="8">
        <v>5.63</v>
      </c>
      <c r="BE12" s="8">
        <v>17.999040519141662</v>
      </c>
      <c r="BF12" s="8">
        <v>21.691866910619826</v>
      </c>
      <c r="BG12" s="8">
        <v>373.77125741702753</v>
      </c>
      <c r="BH12" s="8">
        <v>5.8769065631608104</v>
      </c>
      <c r="BI12" s="8">
        <v>5.9825883734615699</v>
      </c>
      <c r="BJ12" s="8">
        <v>559.02989473930506</v>
      </c>
      <c r="BK12" s="8">
        <v>8.7897782191714633</v>
      </c>
      <c r="BL12" s="8">
        <v>207.69327400331221</v>
      </c>
      <c r="BM12" s="8">
        <v>9.4199305100624251</v>
      </c>
      <c r="BN12" s="8">
        <v>48.778630430680671</v>
      </c>
      <c r="BO12" s="8">
        <v>-0.98233510251690404</v>
      </c>
      <c r="BP12" s="8">
        <v>-9.2270424365781629</v>
      </c>
      <c r="BQ12" s="8">
        <v>19.69665643912419</v>
      </c>
      <c r="BR12" s="69"/>
      <c r="BS12" s="14">
        <v>5.82</v>
      </c>
      <c r="BT12" s="14">
        <v>17.674875858225491</v>
      </c>
      <c r="BU12" s="14">
        <v>21.254223900977152</v>
      </c>
      <c r="BV12" s="14">
        <v>373.37864492073993</v>
      </c>
      <c r="BW12" s="14">
        <v>5.8707334107034583</v>
      </c>
      <c r="BX12" s="14">
        <v>6.0258614537119746</v>
      </c>
      <c r="BY12" s="14">
        <v>562.48199601677425</v>
      </c>
      <c r="BZ12" s="14">
        <v>8.8440565411442496</v>
      </c>
      <c r="CA12" s="14">
        <v>222.42617340511191</v>
      </c>
      <c r="CB12" s="14">
        <v>10.562164628299678</v>
      </c>
      <c r="CC12" s="14">
        <v>50.535174467297885</v>
      </c>
      <c r="CD12" s="14">
        <v>-0.97425628780214368</v>
      </c>
      <c r="CE12" s="14">
        <v>-9.0344398772602492</v>
      </c>
      <c r="CF12" s="14">
        <v>19.706878897516798</v>
      </c>
      <c r="CG12" s="69"/>
      <c r="CH12" s="14">
        <v>5.65</v>
      </c>
      <c r="CI12" s="14">
        <v>18.161172643551197</v>
      </c>
      <c r="CJ12" s="14">
        <v>21.764497294068256</v>
      </c>
      <c r="CK12" s="14">
        <v>374.08323407008294</v>
      </c>
      <c r="CL12" s="14">
        <v>5.881811856447845</v>
      </c>
      <c r="CM12" s="14">
        <v>6.0194125080239322</v>
      </c>
      <c r="CN12" s="14">
        <v>562.9403245508754</v>
      </c>
      <c r="CO12" s="14">
        <v>8.8512629646364047</v>
      </c>
      <c r="CP12" s="14">
        <v>209.68890079529854</v>
      </c>
      <c r="CQ12" s="14">
        <v>9.3083093359614644</v>
      </c>
      <c r="CR12" s="14">
        <v>47.976043056464128</v>
      </c>
      <c r="CS12" s="14">
        <v>-0.97714051805011459</v>
      </c>
      <c r="CT12" s="14">
        <v>-9.2032080580221898</v>
      </c>
      <c r="CU12" s="14">
        <v>19.794771337534534</v>
      </c>
      <c r="CV12" s="69"/>
      <c r="CW12" s="14">
        <f t="shared" si="0"/>
        <v>-13.450292397660826</v>
      </c>
      <c r="CX12" s="8">
        <f t="shared" si="1"/>
        <v>9.0998897550955302</v>
      </c>
      <c r="CY12" s="8">
        <f t="shared" si="2"/>
        <v>10.439722670967035</v>
      </c>
      <c r="CZ12" s="8">
        <f t="shared" si="3"/>
        <v>18.589609172266851</v>
      </c>
      <c r="DA12" s="14">
        <f t="shared" si="4"/>
        <v>-5.0973654066437613</v>
      </c>
      <c r="DB12" s="14">
        <f t="shared" si="5"/>
        <v>5.5233333333333334</v>
      </c>
    </row>
    <row r="13" spans="1:106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72"/>
      <c r="K13" s="8">
        <v>4.82</v>
      </c>
      <c r="L13" s="8">
        <v>22.628401091189346</v>
      </c>
      <c r="M13" s="8">
        <v>26.712794964317599</v>
      </c>
      <c r="N13" s="8">
        <v>348.24003548261015</v>
      </c>
      <c r="O13" s="8">
        <v>6.9927717968395617</v>
      </c>
      <c r="P13" s="8">
        <v>7.5079822947593549</v>
      </c>
      <c r="Q13" s="8">
        <v>653.64500518245165</v>
      </c>
      <c r="R13" s="8">
        <v>13.125401710490998</v>
      </c>
      <c r="S13" s="8">
        <v>281.65122162870443</v>
      </c>
      <c r="T13" s="8">
        <v>11.17822654615688</v>
      </c>
      <c r="U13" s="8">
        <v>46.012907561554087</v>
      </c>
      <c r="V13" s="8">
        <v>-0.9313783014273469</v>
      </c>
      <c r="W13" s="8">
        <v>-8.7787965400679511</v>
      </c>
      <c r="X13" s="8">
        <v>23.703631818110651</v>
      </c>
      <c r="Y13" s="69"/>
      <c r="Z13" s="8">
        <v>4.7699999999999996</v>
      </c>
      <c r="AA13" s="8">
        <v>21.146562123193451</v>
      </c>
      <c r="AB13" s="8">
        <v>26.706449914397762</v>
      </c>
      <c r="AC13" s="8">
        <v>340.13032980338056</v>
      </c>
      <c r="AD13" s="8">
        <v>6.8299263012727023</v>
      </c>
      <c r="AE13" s="8">
        <v>7.1619747529308242</v>
      </c>
      <c r="AF13" s="8">
        <v>609.00120868946158</v>
      </c>
      <c r="AG13" s="8">
        <v>12.228939933523325</v>
      </c>
      <c r="AH13" s="8">
        <v>250.43308301124804</v>
      </c>
      <c r="AI13" s="8">
        <v>11.815461016141017</v>
      </c>
      <c r="AJ13" s="8">
        <v>55.078818954158905</v>
      </c>
      <c r="AK13" s="8">
        <v>-0.95363730491758014</v>
      </c>
      <c r="AL13" s="8">
        <v>-8.717774850517884</v>
      </c>
      <c r="AM13" s="8">
        <v>22.859312412678602</v>
      </c>
      <c r="AN13" s="69"/>
      <c r="AO13" s="8">
        <v>4.99</v>
      </c>
      <c r="AP13" s="8">
        <v>20.670458626163335</v>
      </c>
      <c r="AQ13" s="8">
        <v>23.165230178315007</v>
      </c>
      <c r="AR13" s="8">
        <v>305.42153291305863</v>
      </c>
      <c r="AS13" s="8">
        <v>6.1329625082943506</v>
      </c>
      <c r="AT13" s="8">
        <v>7.185447670847771</v>
      </c>
      <c r="AU13" s="8">
        <v>548.64761057422322</v>
      </c>
      <c r="AV13" s="8">
        <v>11.017020292655085</v>
      </c>
      <c r="AW13" s="8">
        <v>301.11863778296623</v>
      </c>
      <c r="AX13" s="8">
        <v>12.241903051012427</v>
      </c>
      <c r="AY13" s="8">
        <v>37.411385314592785</v>
      </c>
      <c r="AZ13" s="8">
        <v>-0.85352545717875306</v>
      </c>
      <c r="BA13" s="8">
        <v>-8.1517865198423838</v>
      </c>
      <c r="BB13" s="8">
        <v>22.220861505886582</v>
      </c>
      <c r="BC13" s="69"/>
      <c r="BD13" s="8">
        <v>5.09</v>
      </c>
      <c r="BE13" s="8">
        <v>20.520616428698201</v>
      </c>
      <c r="BF13" s="8">
        <v>23.427063529828612</v>
      </c>
      <c r="BG13" s="8">
        <v>315.94434736810177</v>
      </c>
      <c r="BH13" s="8">
        <v>6.344264003375538</v>
      </c>
      <c r="BI13" s="8">
        <v>6.6710322392735799</v>
      </c>
      <c r="BJ13" s="8">
        <v>526.91873177721448</v>
      </c>
      <c r="BK13" s="8">
        <v>10.580697425245271</v>
      </c>
      <c r="BL13" s="8">
        <v>214.6547607593522</v>
      </c>
      <c r="BM13" s="8">
        <v>9.1818823536245144</v>
      </c>
      <c r="BN13" s="8">
        <v>38.198889574313682</v>
      </c>
      <c r="BO13" s="8">
        <v>-0.95101684054616042</v>
      </c>
      <c r="BP13" s="8">
        <v>-9.1939116245438584</v>
      </c>
      <c r="BQ13" s="8">
        <v>21.566127879192507</v>
      </c>
      <c r="BR13" s="69"/>
      <c r="BS13" s="14">
        <v>5.24</v>
      </c>
      <c r="BT13" s="14">
        <v>19.423704876316453</v>
      </c>
      <c r="BU13" s="14">
        <v>22.226261758576143</v>
      </c>
      <c r="BV13" s="14">
        <v>299.12332190490304</v>
      </c>
      <c r="BW13" s="14">
        <v>6.0064924077289774</v>
      </c>
      <c r="BX13" s="14">
        <v>6.6606515499418428</v>
      </c>
      <c r="BY13" s="14">
        <v>498.08905441741132</v>
      </c>
      <c r="BZ13" s="14">
        <v>10.001788241313481</v>
      </c>
      <c r="CA13" s="14">
        <v>245.94750035677544</v>
      </c>
      <c r="CB13" s="14">
        <v>11.290307301904823</v>
      </c>
      <c r="CC13" s="14">
        <v>40.574274733615468</v>
      </c>
      <c r="CD13" s="14">
        <v>-0.90178751473366325</v>
      </c>
      <c r="CE13" s="14">
        <v>-8.5811388504299124</v>
      </c>
      <c r="CF13" s="14">
        <v>21.082230647686497</v>
      </c>
      <c r="CG13" s="69"/>
      <c r="CH13" s="14">
        <v>5.38</v>
      </c>
      <c r="CI13" s="14">
        <v>19.664949435263086</v>
      </c>
      <c r="CJ13" s="14">
        <v>22.721913889126117</v>
      </c>
      <c r="CK13" s="14">
        <v>303.31228588545309</v>
      </c>
      <c r="CL13" s="14">
        <v>6.0906081503103033</v>
      </c>
      <c r="CM13" s="14">
        <v>6.4222618504744977</v>
      </c>
      <c r="CN13" s="14">
        <v>486.98773060558995</v>
      </c>
      <c r="CO13" s="14">
        <v>9.7788700924817267</v>
      </c>
      <c r="CP13" s="14">
        <v>193.31014012804505</v>
      </c>
      <c r="CQ13" s="14">
        <v>9.016156957701261</v>
      </c>
      <c r="CR13" s="14">
        <v>40.921500233267516</v>
      </c>
      <c r="CS13" s="14">
        <v>-0.94835873904149637</v>
      </c>
      <c r="CT13" s="14">
        <v>-9.1126436510224504</v>
      </c>
      <c r="CU13" s="14">
        <v>20.825309963533172</v>
      </c>
      <c r="CV13" s="69"/>
      <c r="CW13" s="14">
        <f t="shared" si="0"/>
        <v>-12.788259958071288</v>
      </c>
      <c r="CX13" s="8">
        <f t="shared" si="1"/>
        <v>10.824687095446885</v>
      </c>
      <c r="CY13" s="8">
        <f t="shared" si="2"/>
        <v>10.328337197134367</v>
      </c>
      <c r="CZ13" s="8">
        <f t="shared" si="3"/>
        <v>20.035014108828804</v>
      </c>
      <c r="DA13" s="14">
        <f t="shared" si="4"/>
        <v>-6.1648079306071857</v>
      </c>
      <c r="DB13" s="14">
        <f t="shared" si="5"/>
        <v>5.0483333333333338</v>
      </c>
    </row>
    <row r="14" spans="1:106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72"/>
      <c r="K14" s="8">
        <v>5.0999999999999996</v>
      </c>
      <c r="L14" s="8">
        <v>20.221058892504221</v>
      </c>
      <c r="M14" s="8">
        <v>23.781040208682541</v>
      </c>
      <c r="N14" s="8">
        <v>483.35040358890251</v>
      </c>
      <c r="O14" s="8">
        <v>6.5317622106608448</v>
      </c>
      <c r="P14" s="8">
        <v>6.8928246943114884</v>
      </c>
      <c r="Q14" s="8">
        <v>832.91239946575286</v>
      </c>
      <c r="R14" s="8">
        <v>11.255572965753418</v>
      </c>
      <c r="S14" s="8">
        <v>381.12623206279164</v>
      </c>
      <c r="T14" s="8">
        <v>11.837546099277166</v>
      </c>
      <c r="U14" s="8">
        <v>46.608611992044956</v>
      </c>
      <c r="V14" s="8">
        <v>-0.94761763142639921</v>
      </c>
      <c r="W14" s="8">
        <v>-8.863986141649681</v>
      </c>
      <c r="X14" s="8">
        <v>21.986344669403202</v>
      </c>
      <c r="Y14" s="69"/>
      <c r="Z14" s="8">
        <v>5.03</v>
      </c>
      <c r="AA14" s="8">
        <v>21.209299402445968</v>
      </c>
      <c r="AB14" s="8">
        <v>23.949789927407327</v>
      </c>
      <c r="AC14" s="8">
        <v>453.24603117939279</v>
      </c>
      <c r="AD14" s="8">
        <v>6.124946367289092</v>
      </c>
      <c r="AE14" s="8">
        <v>7.4749433816012552</v>
      </c>
      <c r="AF14" s="8">
        <v>846.9971052503596</v>
      </c>
      <c r="AG14" s="8">
        <v>11.445906827707562</v>
      </c>
      <c r="AH14" s="8">
        <v>475.14307771951542</v>
      </c>
      <c r="AI14" s="8">
        <v>12.847133369696104</v>
      </c>
      <c r="AJ14" s="8">
        <v>39.504474224481278</v>
      </c>
      <c r="AK14" s="8">
        <v>-0.81939702478081189</v>
      </c>
      <c r="AL14" s="8">
        <v>-7.7632857775852537</v>
      </c>
      <c r="AM14" s="8">
        <v>22.89356441862115</v>
      </c>
      <c r="AN14" s="69"/>
      <c r="AO14" s="8">
        <v>5.27</v>
      </c>
      <c r="AP14" s="8">
        <v>19.649346050198947</v>
      </c>
      <c r="AQ14" s="8">
        <v>22.899692915888338</v>
      </c>
      <c r="AR14" s="8">
        <v>463.54888159714517</v>
      </c>
      <c r="AS14" s="8">
        <v>6.2641740756370972</v>
      </c>
      <c r="AT14" s="8">
        <v>6.687847823045276</v>
      </c>
      <c r="AU14" s="8">
        <v>775.03609466613489</v>
      </c>
      <c r="AV14" s="8">
        <v>10.473460738731552</v>
      </c>
      <c r="AW14" s="8">
        <v>354.41900276059613</v>
      </c>
      <c r="AX14" s="8">
        <v>11.31688246256517</v>
      </c>
      <c r="AY14" s="8">
        <v>44.781800568752487</v>
      </c>
      <c r="AZ14" s="8">
        <v>-0.93665021115638025</v>
      </c>
      <c r="BA14" s="8">
        <v>-8.8183118671246632</v>
      </c>
      <c r="BB14" s="8">
        <v>21.369184161735514</v>
      </c>
      <c r="BC14" s="69"/>
      <c r="BD14" s="8">
        <v>5.23</v>
      </c>
      <c r="BE14" s="8">
        <v>20.603521163007379</v>
      </c>
      <c r="BF14" s="8">
        <v>23.814178055998159</v>
      </c>
      <c r="BG14" s="8">
        <v>470.10621486281724</v>
      </c>
      <c r="BH14" s="8">
        <v>6.3527866873353682</v>
      </c>
      <c r="BI14" s="8">
        <v>6.7087132113215366</v>
      </c>
      <c r="BJ14" s="8">
        <v>788.45194359363575</v>
      </c>
      <c r="BK14" s="8">
        <v>10.654755994508591</v>
      </c>
      <c r="BL14" s="8">
        <v>310.88461471099299</v>
      </c>
      <c r="BM14" s="8">
        <v>9.2345773787107781</v>
      </c>
      <c r="BN14" s="8">
        <v>41.395644703042322</v>
      </c>
      <c r="BO14" s="8">
        <v>-0.94694563431545842</v>
      </c>
      <c r="BP14" s="8">
        <v>-9.0851436226580802</v>
      </c>
      <c r="BQ14" s="8">
        <v>21.698690533749655</v>
      </c>
      <c r="BR14" s="69"/>
      <c r="BS14" s="14">
        <v>5.28</v>
      </c>
      <c r="BT14" s="14">
        <v>19.958648133647319</v>
      </c>
      <c r="BU14" s="14">
        <v>23.662019161629733</v>
      </c>
      <c r="BV14" s="14">
        <v>470.86204746009037</v>
      </c>
      <c r="BW14" s="14">
        <v>6.3630006413525724</v>
      </c>
      <c r="BX14" s="14">
        <v>6.6128063690276573</v>
      </c>
      <c r="BY14" s="14">
        <v>778.42988659437219</v>
      </c>
      <c r="BZ14" s="14">
        <v>10.51932279181584</v>
      </c>
      <c r="CA14" s="14">
        <v>310.94736403235913</v>
      </c>
      <c r="CB14" s="14">
        <v>10.077478852900615</v>
      </c>
      <c r="CC14" s="14">
        <v>46.685561306762935</v>
      </c>
      <c r="CD14" s="14">
        <v>-0.96222394642536369</v>
      </c>
      <c r="CE14" s="14">
        <v>-9.075830917780447</v>
      </c>
      <c r="CF14" s="14">
        <v>21.416846640381507</v>
      </c>
      <c r="CG14" s="69"/>
      <c r="CH14" s="14">
        <v>5.25</v>
      </c>
      <c r="CI14" s="14">
        <v>20.156277361279695</v>
      </c>
      <c r="CJ14" s="14">
        <v>22.762976336788167</v>
      </c>
      <c r="CK14" s="14">
        <v>421.29857192884748</v>
      </c>
      <c r="CL14" s="14">
        <v>5.6932239449844255</v>
      </c>
      <c r="CM14" s="14">
        <v>7.1158514616873614</v>
      </c>
      <c r="CN14" s="14">
        <v>749.47451471667182</v>
      </c>
      <c r="CO14" s="14">
        <v>10.128033982657728</v>
      </c>
      <c r="CP14" s="14">
        <v>416.50659101959286</v>
      </c>
      <c r="CQ14" s="14">
        <v>12.03950362355476</v>
      </c>
      <c r="CR14" s="14">
        <v>38.433800907531868</v>
      </c>
      <c r="CS14" s="14">
        <v>-0.8000762769764741</v>
      </c>
      <c r="CT14" s="14">
        <v>-7.6189214146081632</v>
      </c>
      <c r="CU14" s="14">
        <v>21.879284210406261</v>
      </c>
      <c r="CV14" s="69"/>
      <c r="CW14" s="14">
        <f t="shared" si="0"/>
        <v>-4.9701789264413518</v>
      </c>
      <c r="CX14" s="8">
        <f t="shared" si="1"/>
        <v>10.382258602603759</v>
      </c>
      <c r="CY14" s="8">
        <f t="shared" si="2"/>
        <v>10.250648482043479</v>
      </c>
      <c r="CZ14" s="8">
        <f t="shared" si="3"/>
        <v>11.513922530450857</v>
      </c>
      <c r="DA14" s="14">
        <f t="shared" si="4"/>
        <v>-1.6414141414141326</v>
      </c>
      <c r="DB14" s="14">
        <f t="shared" si="5"/>
        <v>5.1933333333333334</v>
      </c>
    </row>
    <row r="15" spans="1:106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72"/>
      <c r="K15" s="8">
        <v>5.01</v>
      </c>
      <c r="L15" s="8">
        <v>21.421668924107042</v>
      </c>
      <c r="M15" s="8">
        <v>25.819582555116504</v>
      </c>
      <c r="N15" s="8">
        <v>423.78748638677206</v>
      </c>
      <c r="O15" s="8">
        <v>6.8685167971924157</v>
      </c>
      <c r="P15" s="8">
        <v>7.1789221436397854</v>
      </c>
      <c r="Q15" s="8">
        <v>760.58434255486054</v>
      </c>
      <c r="R15" s="8">
        <v>12.327136832331613</v>
      </c>
      <c r="S15" s="8">
        <v>318.40560162289989</v>
      </c>
      <c r="T15" s="8">
        <v>11.431436598167672</v>
      </c>
      <c r="U15" s="8">
        <v>50.425667864239074</v>
      </c>
      <c r="V15" s="8">
        <v>-0.95676156667580259</v>
      </c>
      <c r="W15" s="8">
        <v>-8.8837825467773097</v>
      </c>
      <c r="X15" s="8">
        <v>22.875756457342721</v>
      </c>
      <c r="Y15" s="69"/>
      <c r="Z15" s="8">
        <v>5.0599999999999996</v>
      </c>
      <c r="AA15" s="8">
        <v>20.803455200795891</v>
      </c>
      <c r="AB15" s="8">
        <v>24.696596584085434</v>
      </c>
      <c r="AC15" s="8">
        <v>392.64602395450879</v>
      </c>
      <c r="AD15" s="8">
        <v>6.3637929328121361</v>
      </c>
      <c r="AE15" s="8">
        <v>6.8556226841726033</v>
      </c>
      <c r="AF15" s="8">
        <v>672.95824716817742</v>
      </c>
      <c r="AG15" s="8">
        <v>10.906940796891044</v>
      </c>
      <c r="AH15" s="8">
        <v>271.15197084207017</v>
      </c>
      <c r="AI15" s="8">
        <v>9.8324785654903977</v>
      </c>
      <c r="AJ15" s="8">
        <v>45.073382638127804</v>
      </c>
      <c r="AK15" s="8">
        <v>-0.92825892351165373</v>
      </c>
      <c r="AL15" s="8">
        <v>-8.8139103690666278</v>
      </c>
      <c r="AM15" s="8">
        <v>22.013782509987411</v>
      </c>
      <c r="AN15" s="69"/>
      <c r="AO15" s="8">
        <v>5.34</v>
      </c>
      <c r="AP15" s="8">
        <v>20.245462277820433</v>
      </c>
      <c r="AQ15" s="8">
        <v>23.54387833471225</v>
      </c>
      <c r="AR15" s="8">
        <v>390.77710817587757</v>
      </c>
      <c r="AS15" s="8">
        <v>6.3335025636284854</v>
      </c>
      <c r="AT15" s="8">
        <v>6.6459101075589384</v>
      </c>
      <c r="AU15" s="8">
        <v>649.2673832571794</v>
      </c>
      <c r="AV15" s="8">
        <v>10.522972175967251</v>
      </c>
      <c r="AW15" s="8">
        <v>260.38208799548306</v>
      </c>
      <c r="AX15" s="8">
        <v>9.6087361423443607</v>
      </c>
      <c r="AY15" s="8">
        <v>43.357232825958008</v>
      </c>
      <c r="AZ15" s="8">
        <v>-0.95299251135294083</v>
      </c>
      <c r="BA15" s="8">
        <v>-9.0834091458137056</v>
      </c>
      <c r="BB15" s="8">
        <v>21.469076457030368</v>
      </c>
      <c r="BC15" s="69"/>
      <c r="BD15" s="8">
        <v>5.3</v>
      </c>
      <c r="BE15" s="8">
        <v>19.761703263313883</v>
      </c>
      <c r="BF15" s="8">
        <v>23.389067042735864</v>
      </c>
      <c r="BG15" s="8">
        <v>377.71878436355991</v>
      </c>
      <c r="BH15" s="8">
        <v>6.1218603624563999</v>
      </c>
      <c r="BI15" s="8">
        <v>6.5018701610226586</v>
      </c>
      <c r="BJ15" s="8">
        <v>613.96962332779549</v>
      </c>
      <c r="BK15" s="8">
        <v>9.9508853051506563</v>
      </c>
      <c r="BL15" s="8">
        <v>240.63874106596583</v>
      </c>
      <c r="BM15" s="8">
        <v>9.3807525251598278</v>
      </c>
      <c r="BN15" s="8">
        <v>44.808632710337513</v>
      </c>
      <c r="BO15" s="8">
        <v>-0.94155377004537311</v>
      </c>
      <c r="BP15" s="8">
        <v>-8.9546152348252548</v>
      </c>
      <c r="BQ15" s="8">
        <v>21.08589175213822</v>
      </c>
      <c r="BR15" s="69"/>
      <c r="BS15" s="14">
        <v>5.57</v>
      </c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69"/>
      <c r="CH15" s="14">
        <v>5.47</v>
      </c>
      <c r="CI15" s="14">
        <v>19.118374096710181</v>
      </c>
      <c r="CJ15" s="14">
        <v>22.9861123793711</v>
      </c>
      <c r="CK15" s="14">
        <v>330.43092435554979</v>
      </c>
      <c r="CL15" s="14">
        <v>5.3554444790202558</v>
      </c>
      <c r="CM15" s="14">
        <v>6.2257305901074771</v>
      </c>
      <c r="CN15" s="14">
        <v>514.29347841945901</v>
      </c>
      <c r="CO15" s="14">
        <v>8.3353886291646511</v>
      </c>
      <c r="CP15" s="14">
        <v>186.21196708801992</v>
      </c>
      <c r="CQ15" s="14">
        <v>7.7728899635101838</v>
      </c>
      <c r="CR15" s="14">
        <v>43.283494052442251</v>
      </c>
      <c r="CS15" s="14">
        <v>-0.86021140836545618</v>
      </c>
      <c r="CT15" s="14">
        <v>-8.2658344147729022</v>
      </c>
      <c r="CU15" s="14">
        <v>20.284194768928618</v>
      </c>
      <c r="CV15" s="69"/>
      <c r="CW15" s="14">
        <f t="shared" si="0"/>
        <v>-11.177644710578853</v>
      </c>
      <c r="CX15" s="8">
        <f t="shared" si="1"/>
        <v>15.845085854267339</v>
      </c>
      <c r="CY15" s="8">
        <f t="shared" si="2"/>
        <v>9.1879632687391286</v>
      </c>
      <c r="CZ15" s="8">
        <f t="shared" si="3"/>
        <v>23.577208454816205</v>
      </c>
      <c r="DA15" s="14">
        <f t="shared" si="4"/>
        <v>-4.9970077797726002</v>
      </c>
      <c r="DB15" s="14">
        <f t="shared" si="5"/>
        <v>5.291666666666667</v>
      </c>
    </row>
    <row r="16" spans="1:106" ht="15.75" x14ac:dyDescent="0.25">
      <c r="A16" s="10">
        <v>15</v>
      </c>
      <c r="B16" s="3" t="s">
        <v>62</v>
      </c>
      <c r="C16" s="3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72"/>
      <c r="K16" s="8">
        <v>4.4800000000000004</v>
      </c>
      <c r="L16" s="8">
        <v>23.96438055310691</v>
      </c>
      <c r="M16" s="8">
        <v>28.126771323751221</v>
      </c>
      <c r="N16" s="8">
        <v>560.60186255636359</v>
      </c>
      <c r="O16" s="8">
        <v>7.3763402967942575</v>
      </c>
      <c r="P16" s="8">
        <v>8.6737385837935292</v>
      </c>
      <c r="Q16" s="8">
        <v>1215.6285013504119</v>
      </c>
      <c r="R16" s="8">
        <v>15.995111859873839</v>
      </c>
      <c r="S16" s="8">
        <v>714.86142558095275</v>
      </c>
      <c r="T16" s="8">
        <v>16.699164921589155</v>
      </c>
      <c r="U16" s="8">
        <v>48.172001645633188</v>
      </c>
      <c r="V16" s="8">
        <v>-0.85042225166626539</v>
      </c>
      <c r="W16" s="8">
        <v>-7.7488494513877537</v>
      </c>
      <c r="X16" s="8">
        <v>25.976454065969026</v>
      </c>
      <c r="Y16" s="69"/>
      <c r="Z16" s="8">
        <v>4.57</v>
      </c>
      <c r="AA16" s="8">
        <v>24.56875837524942</v>
      </c>
      <c r="AB16" s="8">
        <v>28.516939382466159</v>
      </c>
      <c r="AC16" s="8">
        <v>579.76209965831492</v>
      </c>
      <c r="AD16" s="8">
        <v>7.62844867971467</v>
      </c>
      <c r="AE16" s="8">
        <v>8.0999906525832159</v>
      </c>
      <c r="AF16" s="8">
        <v>1174.0168969885924</v>
      </c>
      <c r="AG16" s="8">
        <v>15.447590749849899</v>
      </c>
      <c r="AH16" s="8">
        <v>514.47583637107095</v>
      </c>
      <c r="AI16" s="8">
        <v>11.817713545800405</v>
      </c>
      <c r="AJ16" s="8">
        <v>44.542833192922245</v>
      </c>
      <c r="AK16" s="8">
        <v>-0.94178487444079162</v>
      </c>
      <c r="AL16" s="8">
        <v>-8.8926498981278428</v>
      </c>
      <c r="AM16" s="8">
        <v>25.403550264625544</v>
      </c>
      <c r="AN16" s="69"/>
      <c r="AO16" s="8">
        <v>4.66</v>
      </c>
      <c r="AP16" s="8">
        <v>22.758420413018875</v>
      </c>
      <c r="AQ16" s="8">
        <v>26.956281629505945</v>
      </c>
      <c r="AR16" s="8">
        <v>563.23744887725798</v>
      </c>
      <c r="AS16" s="8">
        <v>7.4110190641744467</v>
      </c>
      <c r="AT16" s="8">
        <v>7.733056277310995</v>
      </c>
      <c r="AU16" s="8">
        <v>1088.8867224142275</v>
      </c>
      <c r="AV16" s="8">
        <v>14.327456873871414</v>
      </c>
      <c r="AW16" s="8">
        <v>509.73711367194841</v>
      </c>
      <c r="AX16" s="8">
        <v>13.180006099022783</v>
      </c>
      <c r="AY16" s="8">
        <v>48.920810714768038</v>
      </c>
      <c r="AZ16" s="8">
        <v>-0.95835576496689734</v>
      </c>
      <c r="BA16" s="8">
        <v>-8.871012066779338</v>
      </c>
      <c r="BB16" s="8">
        <v>24.248693905385952</v>
      </c>
      <c r="BC16" s="69"/>
      <c r="BD16" s="8">
        <v>4.75</v>
      </c>
      <c r="BE16" s="8">
        <v>21.890198466083572</v>
      </c>
      <c r="BF16" s="8">
        <v>26.489326650974668</v>
      </c>
      <c r="BG16" s="8">
        <v>539.59457256537758</v>
      </c>
      <c r="BH16" s="8">
        <v>7.0999285863865467</v>
      </c>
      <c r="BI16" s="8">
        <v>7.8227658504268947</v>
      </c>
      <c r="BJ16" s="8">
        <v>1055.2804988350331</v>
      </c>
      <c r="BK16" s="8">
        <v>13.885269721513593</v>
      </c>
      <c r="BL16" s="8">
        <v>542.29616567692938</v>
      </c>
      <c r="BM16" s="8">
        <v>15.242499133122994</v>
      </c>
      <c r="BN16" s="8">
        <v>53.083751005302396</v>
      </c>
      <c r="BO16" s="8">
        <v>-0.9075982487701707</v>
      </c>
      <c r="BP16" s="8">
        <v>-8.1804361768544691</v>
      </c>
      <c r="BQ16" s="8">
        <v>24.183617778623876</v>
      </c>
      <c r="BR16" s="69"/>
      <c r="BS16" s="14">
        <v>4.84</v>
      </c>
      <c r="BT16" s="14">
        <v>21.656735909057659</v>
      </c>
      <c r="BU16" s="14">
        <v>24.663200316007611</v>
      </c>
      <c r="BV16" s="14">
        <v>412.84681178020855</v>
      </c>
      <c r="BW16" s="14">
        <v>5.4321948918448495</v>
      </c>
      <c r="BX16" s="14">
        <v>8.2385929911329683</v>
      </c>
      <c r="BY16" s="14">
        <v>850.31921248600452</v>
      </c>
      <c r="BZ16" s="14">
        <v>11.188410690605323</v>
      </c>
      <c r="CA16" s="14">
        <v>568.00059938308607</v>
      </c>
      <c r="CB16" s="14">
        <v>14.510854222723324</v>
      </c>
      <c r="CC16" s="14">
        <v>38.835290829561707</v>
      </c>
      <c r="CD16" s="14">
        <v>-0.65935954084531301</v>
      </c>
      <c r="CE16" s="14">
        <v>-6.2109607595177208</v>
      </c>
      <c r="CF16" s="14">
        <v>23.791145613357109</v>
      </c>
      <c r="CG16" s="69"/>
      <c r="CH16" s="14">
        <v>4.97</v>
      </c>
      <c r="CI16" s="14">
        <v>20.980435115871746</v>
      </c>
      <c r="CJ16" s="14">
        <v>24.206880051311209</v>
      </c>
      <c r="CK16" s="14">
        <v>454.7414737156941</v>
      </c>
      <c r="CL16" s="14">
        <v>5.9834404436275541</v>
      </c>
      <c r="CM16" s="14">
        <v>7.5965479901553081</v>
      </c>
      <c r="CN16" s="14">
        <v>863.61635704880473</v>
      </c>
      <c r="CO16" s="14">
        <v>11.363373119063221</v>
      </c>
      <c r="CP16" s="14">
        <v>499.66649704954705</v>
      </c>
      <c r="CQ16" s="14">
        <v>13.722566901595368</v>
      </c>
      <c r="CR16" s="14">
        <v>42.568299889503351</v>
      </c>
      <c r="CS16" s="14">
        <v>-0.78765255631659914</v>
      </c>
      <c r="CT16" s="14">
        <v>-7.3763602000749477</v>
      </c>
      <c r="CU16" s="14">
        <v>23.025677692195853</v>
      </c>
      <c r="CV16" s="69"/>
      <c r="CW16" s="14">
        <f t="shared" si="0"/>
        <v>-10.937499999999984</v>
      </c>
      <c r="CX16" s="8">
        <f t="shared" si="1"/>
        <v>21.564125356987322</v>
      </c>
      <c r="CY16" s="8">
        <f t="shared" si="2"/>
        <v>6.2153486839809124</v>
      </c>
      <c r="CZ16" s="8">
        <f t="shared" si="3"/>
        <v>26.439188459380723</v>
      </c>
      <c r="DA16" s="14">
        <f t="shared" si="4"/>
        <v>-5.1978537894030836</v>
      </c>
      <c r="DB16" s="14">
        <f t="shared" si="5"/>
        <v>4.7116666666666669</v>
      </c>
    </row>
    <row r="17" spans="1:106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72"/>
      <c r="K17" s="8">
        <v>5.0599999999999996</v>
      </c>
      <c r="L17" s="8">
        <v>20.091617774180524</v>
      </c>
      <c r="M17" s="8">
        <v>25.334602485388761</v>
      </c>
      <c r="N17" s="8">
        <v>345.22159403812952</v>
      </c>
      <c r="O17" s="8">
        <v>5.941851876732005</v>
      </c>
      <c r="P17" s="8">
        <v>6.6872679768538985</v>
      </c>
      <c r="Q17" s="8">
        <v>577.14732768241004</v>
      </c>
      <c r="R17" s="8">
        <v>9.933688944619794</v>
      </c>
      <c r="S17" s="8">
        <v>217.77780941668445</v>
      </c>
      <c r="T17" s="8">
        <v>9.5458040855955311</v>
      </c>
      <c r="U17" s="8">
        <v>51.576762285098752</v>
      </c>
      <c r="V17" s="8">
        <v>-0.88853204287581355</v>
      </c>
      <c r="W17" s="8">
        <v>-8.2998520296045442</v>
      </c>
      <c r="X17" s="8">
        <v>21.555344629764047</v>
      </c>
      <c r="Y17" s="69"/>
      <c r="Z17" s="8">
        <v>5.44</v>
      </c>
      <c r="AA17" s="8">
        <v>18.830316189490087</v>
      </c>
      <c r="AB17" s="8">
        <v>23.771686448284299</v>
      </c>
      <c r="AC17" s="8">
        <v>367.97537874909943</v>
      </c>
      <c r="AD17" s="8">
        <v>6.3334832831170296</v>
      </c>
      <c r="AE17" s="8">
        <v>6.3333511346484279</v>
      </c>
      <c r="AF17" s="8">
        <v>582.62932063082349</v>
      </c>
      <c r="AG17" s="8">
        <v>10.028043384351523</v>
      </c>
      <c r="AH17" s="8">
        <v>208.18985692201443</v>
      </c>
      <c r="AI17" s="8">
        <v>10.533402326820775</v>
      </c>
      <c r="AJ17" s="8">
        <v>57.486577453620427</v>
      </c>
      <c r="AK17" s="8">
        <v>-1.0000208654890261</v>
      </c>
      <c r="AL17" s="8">
        <v>-9.0869824146164841</v>
      </c>
      <c r="AM17" s="8">
        <v>20.69950794071088</v>
      </c>
      <c r="AN17" s="69"/>
      <c r="AO17" s="8">
        <v>5.56</v>
      </c>
      <c r="AP17" s="8">
        <v>18.451692996263162</v>
      </c>
      <c r="AQ17" s="8">
        <v>22.403961537679201</v>
      </c>
      <c r="AR17" s="8">
        <v>342.43079403715456</v>
      </c>
      <c r="AS17" s="8">
        <v>5.8938174533073076</v>
      </c>
      <c r="AT17" s="8">
        <v>6.1175382473905993</v>
      </c>
      <c r="AU17" s="8">
        <v>523.7083699016564</v>
      </c>
      <c r="AV17" s="8">
        <v>9.013913423436426</v>
      </c>
      <c r="AW17" s="8">
        <v>193.22822224545547</v>
      </c>
      <c r="AX17" s="8">
        <v>9.3179185854388198</v>
      </c>
      <c r="AY17" s="8">
        <v>49.465097069481089</v>
      </c>
      <c r="AZ17" s="8">
        <v>-0.96342960435454283</v>
      </c>
      <c r="BA17" s="8">
        <v>-9.0424416995188341</v>
      </c>
      <c r="BB17" s="8">
        <v>20.057179761516124</v>
      </c>
      <c r="BC17" s="69"/>
      <c r="BD17" s="8">
        <v>5.68</v>
      </c>
      <c r="BE17" s="8">
        <v>18.360156740981367</v>
      </c>
      <c r="BF17" s="8">
        <v>22.381191240456115</v>
      </c>
      <c r="BG17" s="8">
        <v>320.77316272896462</v>
      </c>
      <c r="BH17" s="8">
        <v>5.5210527147842443</v>
      </c>
      <c r="BI17" s="8">
        <v>6.027554235039851</v>
      </c>
      <c r="BJ17" s="8">
        <v>483.36940887352449</v>
      </c>
      <c r="BK17" s="8">
        <v>8.3196111682190104</v>
      </c>
      <c r="BL17" s="8">
        <v>169.59564948633698</v>
      </c>
      <c r="BM17" s="8">
        <v>8.3086263052446157</v>
      </c>
      <c r="BN17" s="8">
        <v>48.27207638836169</v>
      </c>
      <c r="BO17" s="8">
        <v>-0.91596898169556529</v>
      </c>
      <c r="BP17" s="8">
        <v>-8.6655734709423147</v>
      </c>
      <c r="BQ17" s="8">
        <v>19.775356584216691</v>
      </c>
      <c r="BR17" s="69"/>
      <c r="BS17" s="14">
        <v>5.82</v>
      </c>
      <c r="BT17" s="14">
        <v>18.917866901556586</v>
      </c>
      <c r="BU17" s="14">
        <v>22.050753242116837</v>
      </c>
      <c r="BV17" s="14">
        <v>241.28741907234092</v>
      </c>
      <c r="BW17" s="14">
        <v>4.1529676260299642</v>
      </c>
      <c r="BX17" s="14">
        <v>6.0230687255712851</v>
      </c>
      <c r="BY17" s="14">
        <v>363.32267692210723</v>
      </c>
      <c r="BZ17" s="14">
        <v>6.2534023566627752</v>
      </c>
      <c r="CA17" s="14">
        <v>125.97439843192858</v>
      </c>
      <c r="CB17" s="14">
        <v>5.3183974251123134</v>
      </c>
      <c r="CC17" s="14">
        <v>31.702705585781825</v>
      </c>
      <c r="CD17" s="14">
        <v>-0.6895102505469185</v>
      </c>
      <c r="CE17" s="14">
        <v>-6.8250694644021799</v>
      </c>
      <c r="CF17" s="14">
        <v>19.585880724657532</v>
      </c>
      <c r="CG17" s="69"/>
      <c r="CH17" s="14">
        <v>5.65</v>
      </c>
      <c r="CI17" s="14">
        <v>17.974662587716718</v>
      </c>
      <c r="CJ17" s="14">
        <v>23.402372226209682</v>
      </c>
      <c r="CK17" s="14">
        <v>319.54120905603105</v>
      </c>
      <c r="CL17" s="14">
        <v>5.4998486928748891</v>
      </c>
      <c r="CM17" s="14">
        <v>5.9802421095216429</v>
      </c>
      <c r="CN17" s="14">
        <v>477.73344853108387</v>
      </c>
      <c r="CO17" s="14">
        <v>8.2226066872819938</v>
      </c>
      <c r="CP17" s="14">
        <v>153.35347988449337</v>
      </c>
      <c r="CQ17" s="14">
        <v>8.6753326635481827</v>
      </c>
      <c r="CR17" s="14">
        <v>57.732946183722397</v>
      </c>
      <c r="CS17" s="14">
        <v>-0.91966990502242729</v>
      </c>
      <c r="CT17" s="14">
        <v>-8.4292527530252528</v>
      </c>
      <c r="CU17" s="14">
        <v>19.709858563033862</v>
      </c>
      <c r="CV17" s="69"/>
      <c r="CW17" s="14">
        <f t="shared" si="0"/>
        <v>-15.019762845849815</v>
      </c>
      <c r="CX17" s="8">
        <f t="shared" si="1"/>
        <v>13.162339789612052</v>
      </c>
      <c r="CY17" s="8">
        <f t="shared" si="2"/>
        <v>5.5753899889586096</v>
      </c>
      <c r="CZ17" s="8">
        <f t="shared" si="3"/>
        <v>18.003878003627928</v>
      </c>
      <c r="DA17" s="14">
        <f t="shared" si="4"/>
        <v>-4.8969072164948502</v>
      </c>
      <c r="DB17" s="14">
        <f t="shared" si="5"/>
        <v>5.5350000000000001</v>
      </c>
    </row>
    <row r="18" spans="1:106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72"/>
      <c r="K18" s="8">
        <v>5.04</v>
      </c>
      <c r="L18" s="8">
        <v>21.548429934971704</v>
      </c>
      <c r="M18" s="8">
        <v>24.959317614033282</v>
      </c>
      <c r="N18" s="8">
        <v>534.40943677159464</v>
      </c>
      <c r="O18" s="8">
        <v>6.8514030355332647</v>
      </c>
      <c r="P18" s="8">
        <v>7.3434459860935197</v>
      </c>
      <c r="Q18" s="8">
        <v>981.10170834771634</v>
      </c>
      <c r="R18" s="8">
        <v>12.578227030098928</v>
      </c>
      <c r="S18" s="8">
        <v>466.22935266371582</v>
      </c>
      <c r="T18" s="8">
        <v>12.420273471906327</v>
      </c>
      <c r="U18" s="8">
        <v>45.680697290575438</v>
      </c>
      <c r="V18" s="8">
        <v>-0.93299563290966514</v>
      </c>
      <c r="W18" s="8">
        <v>-8.7242191293355251</v>
      </c>
      <c r="X18" s="8">
        <v>23.133188372653194</v>
      </c>
      <c r="Y18" s="69"/>
      <c r="Z18" s="8">
        <v>4.93</v>
      </c>
      <c r="AA18" s="8">
        <v>21.253222611096604</v>
      </c>
      <c r="AB18" s="8">
        <v>23.882065183199686</v>
      </c>
      <c r="AC18" s="8">
        <v>525.22405809599536</v>
      </c>
      <c r="AD18" s="8">
        <v>6.733641770461479</v>
      </c>
      <c r="AE18" s="8">
        <v>6.8412858990812992</v>
      </c>
      <c r="AF18" s="8">
        <v>898.30198562759756</v>
      </c>
      <c r="AG18" s="8">
        <v>11.516692123430738</v>
      </c>
      <c r="AH18" s="8">
        <v>358.65458670889251</v>
      </c>
      <c r="AI18" s="8">
        <v>9.1973414202055697</v>
      </c>
      <c r="AJ18" s="8">
        <v>36.166108861302021</v>
      </c>
      <c r="AK18" s="8">
        <v>-0.98426551233090898</v>
      </c>
      <c r="AL18" s="8">
        <v>-9.5537985260882383</v>
      </c>
      <c r="AM18" s="8">
        <v>22.184595079261967</v>
      </c>
      <c r="AN18" s="69"/>
      <c r="AO18" s="8">
        <v>5.2</v>
      </c>
      <c r="AP18" s="8">
        <v>19.400724843889652</v>
      </c>
      <c r="AQ18" s="8">
        <v>22.47854410653899</v>
      </c>
      <c r="AR18" s="8">
        <v>484.20193283503738</v>
      </c>
      <c r="AS18" s="8">
        <v>6.2077170876286845</v>
      </c>
      <c r="AT18" s="8">
        <v>6.4020701755999019</v>
      </c>
      <c r="AU18" s="8">
        <v>774.9736882927549</v>
      </c>
      <c r="AV18" s="8">
        <v>9.9355601063173697</v>
      </c>
      <c r="AW18" s="8">
        <v>320.33603092029938</v>
      </c>
      <c r="AX18" s="8">
        <v>9.7083848147032672</v>
      </c>
      <c r="AY18" s="8">
        <v>41.570306097561584</v>
      </c>
      <c r="AZ18" s="8">
        <v>-0.96964214970464502</v>
      </c>
      <c r="BA18" s="8">
        <v>-9.2768024689691408</v>
      </c>
      <c r="BB18" s="8">
        <v>20.818827656589427</v>
      </c>
      <c r="BC18" s="69"/>
      <c r="BD18" s="8">
        <v>5.52</v>
      </c>
      <c r="BE18" s="8">
        <v>19.098083384130959</v>
      </c>
      <c r="BF18" s="8">
        <v>22.509106039878599</v>
      </c>
      <c r="BG18" s="8">
        <v>471.83321446169214</v>
      </c>
      <c r="BH18" s="8">
        <v>6.0491437751498989</v>
      </c>
      <c r="BI18" s="8">
        <v>6.2713163899668514</v>
      </c>
      <c r="BJ18" s="8">
        <v>739.75384279608852</v>
      </c>
      <c r="BK18" s="8">
        <v>9.4840236255908792</v>
      </c>
      <c r="BL18" s="8">
        <v>279.98203305919225</v>
      </c>
      <c r="BM18" s="8">
        <v>9.1589038366150515</v>
      </c>
      <c r="BN18" s="8">
        <v>45.165626299737546</v>
      </c>
      <c r="BO18" s="8">
        <v>-0.96457320903592181</v>
      </c>
      <c r="BP18" s="8">
        <v>-9.1629018651568419</v>
      </c>
      <c r="BQ18" s="8">
        <v>20.506070815834768</v>
      </c>
      <c r="BR18" s="69"/>
      <c r="BS18" s="14">
        <v>5.76</v>
      </c>
      <c r="BT18" s="14">
        <v>16.679349215376472</v>
      </c>
      <c r="BU18" s="14">
        <v>18.200659658292363</v>
      </c>
      <c r="BV18" s="14">
        <v>403.27900249306538</v>
      </c>
      <c r="BW18" s="14">
        <v>5.170243621705966</v>
      </c>
      <c r="BX18" s="14">
        <v>5.4600450334381563</v>
      </c>
      <c r="BY18" s="14">
        <v>550.48037866303889</v>
      </c>
      <c r="BZ18" s="14">
        <v>7.0574407520902422</v>
      </c>
      <c r="CA18" s="14">
        <v>242.84371340329261</v>
      </c>
      <c r="CB18" s="14">
        <v>7.868101433711864</v>
      </c>
      <c r="CC18" s="14">
        <v>28.711364072428697</v>
      </c>
      <c r="CD18" s="14">
        <v>-0.94692325613481165</v>
      </c>
      <c r="CE18" s="14">
        <v>-9.3251874769080434</v>
      </c>
      <c r="CF18" s="14">
        <v>17.812747104664236</v>
      </c>
      <c r="CG18" s="69"/>
      <c r="CH18" s="14">
        <v>5.74</v>
      </c>
      <c r="CI18" s="14">
        <v>17.784384187996949</v>
      </c>
      <c r="CJ18" s="14">
        <v>20.778230210761578</v>
      </c>
      <c r="CK18" s="14">
        <v>438.9989521470136</v>
      </c>
      <c r="CL18" s="14">
        <v>5.6281916941924823</v>
      </c>
      <c r="CM18" s="14">
        <v>6.0379317875455172</v>
      </c>
      <c r="CN18" s="14">
        <v>662.66143196690666</v>
      </c>
      <c r="CO18" s="14">
        <v>8.4956593841911108</v>
      </c>
      <c r="CP18" s="14">
        <v>283.21932834520032</v>
      </c>
      <c r="CQ18" s="14">
        <v>10.066286128617422</v>
      </c>
      <c r="CR18" s="14">
        <v>44.139248532699959</v>
      </c>
      <c r="CS18" s="14">
        <v>-0.93213899928478683</v>
      </c>
      <c r="CT18" s="14">
        <v>-8.822075491469592</v>
      </c>
      <c r="CU18" s="14">
        <v>19.620691791229994</v>
      </c>
      <c r="CV18" s="69"/>
      <c r="CW18" s="14">
        <f t="shared" si="0"/>
        <v>-16.835699797160245</v>
      </c>
      <c r="CX18" s="8">
        <f t="shared" si="1"/>
        <v>16.41682337659071</v>
      </c>
      <c r="CY18" s="8">
        <f t="shared" si="2"/>
        <v>11.742735552736697</v>
      </c>
      <c r="CZ18" s="8">
        <f t="shared" si="3"/>
        <v>26.231774774054514</v>
      </c>
      <c r="DA18" s="14">
        <f t="shared" si="4"/>
        <v>-6.8576388888889062</v>
      </c>
      <c r="DB18" s="14">
        <f t="shared" si="5"/>
        <v>5.3649999999999993</v>
      </c>
    </row>
    <row r="19" spans="1:106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72"/>
      <c r="K19" s="8">
        <v>4.17</v>
      </c>
      <c r="L19" s="8">
        <v>24.748254313220766</v>
      </c>
      <c r="M19" s="8">
        <v>30.151769889403806</v>
      </c>
      <c r="N19" s="8">
        <v>815.1026175460903</v>
      </c>
      <c r="O19" s="8">
        <v>8.2333597731928307</v>
      </c>
      <c r="P19" s="8">
        <v>8.5366395769544443</v>
      </c>
      <c r="Q19" s="8">
        <v>1739.5593160557792</v>
      </c>
      <c r="R19" s="8">
        <v>17.571306222785648</v>
      </c>
      <c r="S19" s="8">
        <v>854.18501665661665</v>
      </c>
      <c r="T19" s="8">
        <v>15.43698056375108</v>
      </c>
      <c r="U19" s="8">
        <v>53.540400283984503</v>
      </c>
      <c r="V19" s="8">
        <v>-0.96447316288480212</v>
      </c>
      <c r="W19" s="8">
        <v>-8.717205669926436</v>
      </c>
      <c r="X19" s="8">
        <v>26.430815089273203</v>
      </c>
      <c r="Y19" s="69"/>
      <c r="Z19" s="8">
        <v>4.33</v>
      </c>
      <c r="AA19" s="8">
        <v>23.729956714536577</v>
      </c>
      <c r="AB19" s="8">
        <v>30.709169040005964</v>
      </c>
      <c r="AC19" s="8">
        <v>765.8889385867086</v>
      </c>
      <c r="AD19" s="8">
        <v>7.7362519049162488</v>
      </c>
      <c r="AE19" s="8">
        <v>8.0843546334686174</v>
      </c>
      <c r="AF19" s="8">
        <v>1547.9294473464547</v>
      </c>
      <c r="AG19" s="8">
        <v>15.635650983297522</v>
      </c>
      <c r="AH19" s="8">
        <v>656.21496570522652</v>
      </c>
      <c r="AI19" s="8">
        <v>13.565625442661988</v>
      </c>
      <c r="AJ19" s="8">
        <v>59.051920299380434</v>
      </c>
      <c r="AK19" s="8">
        <v>-0.9569411852479538</v>
      </c>
      <c r="AL19" s="8">
        <v>-8.5582531871570726</v>
      </c>
      <c r="AM19" s="8">
        <v>25.389574756043647</v>
      </c>
      <c r="AN19" s="69"/>
      <c r="AO19" s="8">
        <v>4.63</v>
      </c>
      <c r="AP19" s="8">
        <v>22.895006114043092</v>
      </c>
      <c r="AQ19" s="8">
        <v>28.228783616899278</v>
      </c>
      <c r="AR19" s="8">
        <v>690.3094554827519</v>
      </c>
      <c r="AS19" s="8">
        <v>6.9728227826540596</v>
      </c>
      <c r="AT19" s="8">
        <v>7.6208898153261071</v>
      </c>
      <c r="AU19" s="8">
        <v>1315.1930746779537</v>
      </c>
      <c r="AV19" s="8">
        <v>13.284778532100542</v>
      </c>
      <c r="AW19" s="8">
        <v>536.569909575775</v>
      </c>
      <c r="AX19" s="8">
        <v>11.204882102578305</v>
      </c>
      <c r="AY19" s="8">
        <v>51.059006475388713</v>
      </c>
      <c r="AZ19" s="8">
        <v>-0.91496176320923295</v>
      </c>
      <c r="BA19" s="8">
        <v>-8.5068803233263814</v>
      </c>
      <c r="BB19" s="8">
        <v>24.11003122400248</v>
      </c>
      <c r="BC19" s="69"/>
      <c r="BD19" s="8">
        <v>4.79</v>
      </c>
      <c r="BE19" s="8">
        <v>22.542720001263064</v>
      </c>
      <c r="BF19" s="8">
        <v>26.486330059987022</v>
      </c>
      <c r="BG19" s="8">
        <v>640.33412587065595</v>
      </c>
      <c r="BH19" s="8">
        <v>6.4680214734409693</v>
      </c>
      <c r="BI19" s="8">
        <v>7.317393841537287</v>
      </c>
      <c r="BJ19" s="8">
        <v>1171.394247293025</v>
      </c>
      <c r="BK19" s="8">
        <v>11.83226512417197</v>
      </c>
      <c r="BL19" s="8">
        <v>460.64198946690607</v>
      </c>
      <c r="BM19" s="8">
        <v>9.2341185401982226</v>
      </c>
      <c r="BN19" s="8">
        <v>41.393094551307399</v>
      </c>
      <c r="BO19" s="8">
        <v>-0.88392419671675415</v>
      </c>
      <c r="BP19" s="8">
        <v>-8.4964246096518021</v>
      </c>
      <c r="BQ19" s="8">
        <v>23.385866121811599</v>
      </c>
      <c r="BR19" s="69"/>
      <c r="BS19" s="14">
        <v>4.95</v>
      </c>
      <c r="BT19" s="14">
        <v>22.086428518723597</v>
      </c>
      <c r="BU19" s="14">
        <v>26.411645884490525</v>
      </c>
      <c r="BV19" s="14">
        <v>717.49906860028693</v>
      </c>
      <c r="BW19" s="14">
        <v>7.2474653393968378</v>
      </c>
      <c r="BX19" s="14">
        <v>7.4750923302462535</v>
      </c>
      <c r="BY19" s="14">
        <v>1340.8429461632088</v>
      </c>
      <c r="BZ19" s="14">
        <v>13.543868143062715</v>
      </c>
      <c r="CA19" s="14">
        <v>585.48500408434529</v>
      </c>
      <c r="CB19" s="14">
        <v>12.585209749346348</v>
      </c>
      <c r="CC19" s="14">
        <v>51.558114080107828</v>
      </c>
      <c r="CD19" s="14">
        <v>-0.96954860478065596</v>
      </c>
      <c r="CE19" s="14">
        <v>-8.9111973272470824</v>
      </c>
      <c r="CF19" s="14">
        <v>23.641624425063025</v>
      </c>
      <c r="CG19" s="69"/>
      <c r="CH19" s="14">
        <v>4.99</v>
      </c>
      <c r="CI19" s="14">
        <v>20.265878921050053</v>
      </c>
      <c r="CJ19" s="14">
        <v>24.499845807661295</v>
      </c>
      <c r="CK19" s="14">
        <v>662.29201965555922</v>
      </c>
      <c r="CL19" s="14">
        <v>6.689818380359184</v>
      </c>
      <c r="CM19" s="14">
        <v>6.8357608216278027</v>
      </c>
      <c r="CN19" s="14">
        <v>1131.8174601095557</v>
      </c>
      <c r="CO19" s="14">
        <v>11.432499597066219</v>
      </c>
      <c r="CP19" s="14">
        <v>474.10488454321921</v>
      </c>
      <c r="CQ19" s="14">
        <v>11.47394054119988</v>
      </c>
      <c r="CR19" s="14">
        <v>50.144792643253076</v>
      </c>
      <c r="CS19" s="14">
        <v>-0.97865015393650601</v>
      </c>
      <c r="CT19" s="14">
        <v>-9.0876558079034417</v>
      </c>
      <c r="CU19" s="14">
        <v>22.059707477064418</v>
      </c>
      <c r="CV19" s="69"/>
      <c r="CW19" s="14">
        <f t="shared" si="0"/>
        <v>-19.664268585131904</v>
      </c>
      <c r="CX19" s="8">
        <f t="shared" si="1"/>
        <v>16.393344568696655</v>
      </c>
      <c r="CY19" s="8">
        <f t="shared" si="2"/>
        <v>15.444570017645324</v>
      </c>
      <c r="CZ19" s="8">
        <f t="shared" si="3"/>
        <v>26.881844514956473</v>
      </c>
      <c r="DA19" s="14">
        <f t="shared" si="4"/>
        <v>-6.9472277889111584</v>
      </c>
      <c r="DB19" s="14">
        <f t="shared" si="5"/>
        <v>4.6433333333333335</v>
      </c>
    </row>
    <row r="20" spans="1:106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72"/>
      <c r="K20" s="8">
        <v>4.2699999999999996</v>
      </c>
      <c r="L20" s="8">
        <v>24.569479681156473</v>
      </c>
      <c r="M20" s="8">
        <v>27.335548957818226</v>
      </c>
      <c r="N20" s="8">
        <v>711.39703183506936</v>
      </c>
      <c r="O20" s="8">
        <v>7.4883898087902034</v>
      </c>
      <c r="P20" s="8">
        <v>8.5648185944949251</v>
      </c>
      <c r="Q20" s="8">
        <v>1523.2466315823751</v>
      </c>
      <c r="R20" s="8">
        <v>16.03417506928816</v>
      </c>
      <c r="S20" s="8">
        <v>880.70363353966457</v>
      </c>
      <c r="T20" s="8">
        <v>15.045129119783196</v>
      </c>
      <c r="U20" s="8">
        <v>39.333036837325949</v>
      </c>
      <c r="V20" s="8">
        <v>-0.87431972156461057</v>
      </c>
      <c r="W20" s="8">
        <v>-8.2315089679341646</v>
      </c>
      <c r="X20" s="8">
        <v>25.930297575445966</v>
      </c>
      <c r="Y20" s="69"/>
      <c r="Z20" s="8">
        <v>4.24</v>
      </c>
      <c r="AA20" s="8">
        <v>25.27433837081362</v>
      </c>
      <c r="AB20" s="8">
        <v>30.824964761085507</v>
      </c>
      <c r="AC20" s="8">
        <v>796.52105629228697</v>
      </c>
      <c r="AD20" s="8">
        <v>8.3844321714977568</v>
      </c>
      <c r="AE20" s="8">
        <v>8.6950838234344729</v>
      </c>
      <c r="AF20" s="8">
        <v>1731.4543378980009</v>
      </c>
      <c r="AG20" s="8">
        <v>18.225835135768431</v>
      </c>
      <c r="AH20" s="8">
        <v>837.742896488969</v>
      </c>
      <c r="AI20" s="8">
        <v>15.504643077989043</v>
      </c>
      <c r="AJ20" s="8">
        <v>54.74376900776835</v>
      </c>
      <c r="AK20" s="8">
        <v>-0.96427272488167759</v>
      </c>
      <c r="AL20" s="8">
        <v>-8.6712793950629976</v>
      </c>
      <c r="AM20" s="8">
        <v>26.812038043681596</v>
      </c>
      <c r="AN20" s="69"/>
      <c r="AO20" s="8">
        <v>4.33</v>
      </c>
      <c r="AP20" s="8">
        <v>24.295589582173907</v>
      </c>
      <c r="AQ20" s="8">
        <v>29.310709058775377</v>
      </c>
      <c r="AR20" s="8">
        <v>765.40229058687885</v>
      </c>
      <c r="AS20" s="8">
        <v>8.0568662167039875</v>
      </c>
      <c r="AT20" s="8">
        <v>8.453980719004587</v>
      </c>
      <c r="AU20" s="8">
        <v>1617.674051725855</v>
      </c>
      <c r="AV20" s="8">
        <v>17.028147912903737</v>
      </c>
      <c r="AW20" s="8">
        <v>814.59511803045893</v>
      </c>
      <c r="AX20" s="8">
        <v>15.66003535206317</v>
      </c>
      <c r="AY20" s="8">
        <v>53.154373787112675</v>
      </c>
      <c r="AZ20" s="8">
        <v>-0.95302632978475044</v>
      </c>
      <c r="BA20" s="8">
        <v>-8.6007885120785961</v>
      </c>
      <c r="BB20" s="8">
        <v>26.091314444439348</v>
      </c>
      <c r="BC20" s="69"/>
      <c r="BD20" s="8">
        <v>4.45</v>
      </c>
      <c r="BE20" s="8">
        <v>23.677517108842508</v>
      </c>
      <c r="BF20" s="8">
        <v>28.338848964678824</v>
      </c>
      <c r="BG20" s="8">
        <v>738.39717641321386</v>
      </c>
      <c r="BH20" s="8">
        <v>7.7726018569811988</v>
      </c>
      <c r="BI20" s="8">
        <v>8.2576658052206717</v>
      </c>
      <c r="BJ20" s="8">
        <v>1524.3592785847229</v>
      </c>
      <c r="BK20" s="8">
        <v>16.045887142997085</v>
      </c>
      <c r="BL20" s="8">
        <v>772.61922247361986</v>
      </c>
      <c r="BM20" s="8">
        <v>15.290100063039354</v>
      </c>
      <c r="BN20" s="8">
        <v>51.898456150808869</v>
      </c>
      <c r="BO20" s="8">
        <v>-0.94125895141786897</v>
      </c>
      <c r="BP20" s="8">
        <v>-8.5389135844407829</v>
      </c>
      <c r="BQ20" s="8">
        <v>25.515339094647459</v>
      </c>
      <c r="BR20" s="69"/>
      <c r="BS20" s="14">
        <v>4.78</v>
      </c>
      <c r="BT20" s="14">
        <v>22.293584768873455</v>
      </c>
      <c r="BU20" s="14">
        <v>25.544468249224813</v>
      </c>
      <c r="BV20" s="14">
        <v>680.95400824941498</v>
      </c>
      <c r="BW20" s="14">
        <v>7.1679369289412103</v>
      </c>
      <c r="BX20" s="14">
        <v>7.4893710374657685</v>
      </c>
      <c r="BY20" s="14">
        <v>1274.9793068073486</v>
      </c>
      <c r="BZ20" s="14">
        <v>13.420834808498407</v>
      </c>
      <c r="CA20" s="14">
        <v>599.70759573447117</v>
      </c>
      <c r="CB20" s="14">
        <v>12.22295216463351</v>
      </c>
      <c r="CC20" s="14">
        <v>43.201790661644708</v>
      </c>
      <c r="CD20" s="14">
        <v>-0.95708129468862257</v>
      </c>
      <c r="CE20" s="14">
        <v>-9.0307372068168306</v>
      </c>
      <c r="CF20" s="14">
        <v>23.660758442972245</v>
      </c>
      <c r="CG20" s="69"/>
      <c r="CH20" s="14">
        <v>4.68</v>
      </c>
      <c r="CI20" s="14">
        <v>22.648000438993503</v>
      </c>
      <c r="CJ20" s="14">
        <v>26.885107313218196</v>
      </c>
      <c r="CK20" s="14">
        <v>700.84356970124577</v>
      </c>
      <c r="CL20" s="14">
        <v>7.3773007336973242</v>
      </c>
      <c r="CM20" s="14">
        <v>7.6503249488706055</v>
      </c>
      <c r="CN20" s="14">
        <v>1340.4202616352438</v>
      </c>
      <c r="CO20" s="14">
        <v>14.109686964581513</v>
      </c>
      <c r="CP20" s="14">
        <v>608.08298019205449</v>
      </c>
      <c r="CQ20" s="14">
        <v>12.767938830726951</v>
      </c>
      <c r="CR20" s="14">
        <v>49.015807932096159</v>
      </c>
      <c r="CS20" s="14">
        <v>-0.96431207602317759</v>
      </c>
      <c r="CT20" s="14">
        <v>-8.9406857764270828</v>
      </c>
      <c r="CU20" s="14">
        <v>24.142880414509381</v>
      </c>
      <c r="CV20" s="69"/>
      <c r="CW20" s="14">
        <f t="shared" si="0"/>
        <v>-12.735849056603774</v>
      </c>
      <c r="CX20" s="8">
        <f t="shared" si="1"/>
        <v>12.011921823687711</v>
      </c>
      <c r="CY20" s="8">
        <f t="shared" si="2"/>
        <v>12.015512395039774</v>
      </c>
      <c r="CZ20" s="8">
        <f t="shared" si="3"/>
        <v>22.584140263119824</v>
      </c>
      <c r="DA20" s="14">
        <f t="shared" si="4"/>
        <v>-6.7294281729428089</v>
      </c>
      <c r="DB20" s="14">
        <f t="shared" si="5"/>
        <v>4.458333333333333</v>
      </c>
    </row>
    <row r="21" spans="1:106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72"/>
      <c r="K21" s="8">
        <v>4.47</v>
      </c>
      <c r="L21" s="8">
        <v>23.908346878277012</v>
      </c>
      <c r="M21" s="8">
        <v>28.44944390910679</v>
      </c>
      <c r="N21" s="8">
        <v>801.78994844186309</v>
      </c>
      <c r="O21" s="8">
        <v>7.7843684314743991</v>
      </c>
      <c r="P21" s="8">
        <v>8.3514244377320761</v>
      </c>
      <c r="Q21" s="8">
        <v>1674.0220423363292</v>
      </c>
      <c r="R21" s="8">
        <v>16.252641187731349</v>
      </c>
      <c r="S21" s="8">
        <v>859.5664395449046</v>
      </c>
      <c r="T21" s="8">
        <v>15.4228755192247</v>
      </c>
      <c r="U21" s="8">
        <v>51.441146018960026</v>
      </c>
      <c r="V21" s="8">
        <v>-0.93210068408262248</v>
      </c>
      <c r="W21" s="8">
        <v>-8.4597660468249725</v>
      </c>
      <c r="X21" s="8">
        <v>25.70516046612633</v>
      </c>
      <c r="Y21" s="69"/>
      <c r="Z21" s="8">
        <v>4.55</v>
      </c>
      <c r="AA21" s="8">
        <v>23.661996901752879</v>
      </c>
      <c r="AB21" s="8">
        <v>28.544748877574165</v>
      </c>
      <c r="AC21" s="8">
        <v>772.64935459254229</v>
      </c>
      <c r="AD21" s="8">
        <v>7.5014500445877896</v>
      </c>
      <c r="AE21" s="8">
        <v>7.9153640163743821</v>
      </c>
      <c r="AF21" s="8">
        <v>1528.9502246541749</v>
      </c>
      <c r="AG21" s="8">
        <v>14.844176938390047</v>
      </c>
      <c r="AH21" s="8">
        <v>662.53505828633399</v>
      </c>
      <c r="AI21" s="8">
        <v>12.366361440287204</v>
      </c>
      <c r="AJ21" s="8">
        <v>50.3636364992635</v>
      </c>
      <c r="AK21" s="8">
        <v>-0.9477075253986631</v>
      </c>
      <c r="AL21" s="8">
        <v>-8.7806304700646578</v>
      </c>
      <c r="AM21" s="8">
        <v>24.931436722021115</v>
      </c>
      <c r="AN21" s="69"/>
      <c r="AO21" s="8">
        <v>4.66</v>
      </c>
      <c r="AP21" s="8">
        <v>23.232819755782938</v>
      </c>
      <c r="AQ21" s="8">
        <v>26.209383075303471</v>
      </c>
      <c r="AR21" s="8">
        <v>745.94948387385091</v>
      </c>
      <c r="AS21" s="8">
        <v>7.2422279987752516</v>
      </c>
      <c r="AT21" s="8">
        <v>7.9633946870419461</v>
      </c>
      <c r="AU21" s="8">
        <v>1485.0725391706765</v>
      </c>
      <c r="AV21" s="8">
        <v>14.418179991948316</v>
      </c>
      <c r="AW21" s="8">
        <v>779.56309504812521</v>
      </c>
      <c r="AX21" s="8">
        <v>13.548303245204067</v>
      </c>
      <c r="AY21" s="8">
        <v>41.561435733770317</v>
      </c>
      <c r="AZ21" s="8">
        <v>-0.90943979086705562</v>
      </c>
      <c r="BA21" s="8">
        <v>-8.5626516029954445</v>
      </c>
      <c r="BB21" s="8">
        <v>24.631055829577381</v>
      </c>
      <c r="BC21" s="69"/>
      <c r="BD21" s="8">
        <v>4.8099999999999996</v>
      </c>
      <c r="BE21" s="8">
        <v>21.745098610352546</v>
      </c>
      <c r="BF21" s="8">
        <v>25.261094644053674</v>
      </c>
      <c r="BG21" s="8">
        <v>719.17999113916244</v>
      </c>
      <c r="BH21" s="8">
        <v>6.9823300110598296</v>
      </c>
      <c r="BI21" s="8">
        <v>7.2182760315648888</v>
      </c>
      <c r="BJ21" s="8">
        <v>1297.8099231052163</v>
      </c>
      <c r="BK21" s="8">
        <v>12.600096340827342</v>
      </c>
      <c r="BL21" s="8">
        <v>566.38271513525842</v>
      </c>
      <c r="BM21" s="8">
        <v>11.215933415771335</v>
      </c>
      <c r="BN21" s="8">
        <v>43.842703767127276</v>
      </c>
      <c r="BO21" s="8">
        <v>-0.96731269080410776</v>
      </c>
      <c r="BP21" s="8">
        <v>-9.1585339266596932</v>
      </c>
      <c r="BQ21" s="8">
        <v>23.03786433649811</v>
      </c>
      <c r="BR21" s="69"/>
      <c r="BS21" s="14">
        <v>5.1100000000000003</v>
      </c>
      <c r="BT21" s="14">
        <v>20.667322268572399</v>
      </c>
      <c r="BU21" s="14">
        <v>24.19733398532739</v>
      </c>
      <c r="BV21" s="14">
        <v>684.21456962590105</v>
      </c>
      <c r="BW21" s="14">
        <v>6.6428598992805927</v>
      </c>
      <c r="BX21" s="14">
        <v>7.0358733546613683</v>
      </c>
      <c r="BY21" s="14">
        <v>1203.5117648254932</v>
      </c>
      <c r="BZ21" s="14">
        <v>11.684580241024205</v>
      </c>
      <c r="CA21" s="14">
        <v>551.77556664926146</v>
      </c>
      <c r="CB21" s="14">
        <v>11.967260505503184</v>
      </c>
      <c r="CC21" s="14">
        <v>46.578251521866619</v>
      </c>
      <c r="CD21" s="14">
        <v>-0.94414148243296658</v>
      </c>
      <c r="CE21" s="14">
        <v>-8.824159484901589</v>
      </c>
      <c r="CF21" s="14">
        <v>22.391778299793728</v>
      </c>
      <c r="CG21" s="69"/>
      <c r="CH21" s="14">
        <v>5.0999999999999996</v>
      </c>
      <c r="CI21" s="14">
        <v>19.573427910294981</v>
      </c>
      <c r="CJ21" s="14">
        <v>22.763355143154552</v>
      </c>
      <c r="CK21" s="14">
        <v>569.78856973649681</v>
      </c>
      <c r="CL21" s="14">
        <v>5.5319278615193861</v>
      </c>
      <c r="CM21" s="14">
        <v>7.1082323717327753</v>
      </c>
      <c r="CN21" s="14">
        <v>1012.5473891110712</v>
      </c>
      <c r="CO21" s="14">
        <v>9.8305571758356418</v>
      </c>
      <c r="CP21" s="14">
        <v>570.26168675502367</v>
      </c>
      <c r="CQ21" s="14">
        <v>12.825161866281913</v>
      </c>
      <c r="CR21" s="14">
        <v>42.008533453203079</v>
      </c>
      <c r="CS21" s="14">
        <v>-0.77824240573762604</v>
      </c>
      <c r="CT21" s="14">
        <v>-7.323765687843399</v>
      </c>
      <c r="CU21" s="14">
        <v>21.766169692061531</v>
      </c>
      <c r="CV21" s="69"/>
      <c r="CW21" s="14">
        <f t="shared" si="0"/>
        <v>-14.317673378076076</v>
      </c>
      <c r="CX21" s="8">
        <f t="shared" si="1"/>
        <v>26.255219609032672</v>
      </c>
      <c r="CY21" s="8">
        <f t="shared" si="2"/>
        <v>10.197024962742168</v>
      </c>
      <c r="CZ21" s="8">
        <f t="shared" si="3"/>
        <v>33.774993274219</v>
      </c>
      <c r="DA21" s="14">
        <f t="shared" si="4"/>
        <v>-6.3926940639269514</v>
      </c>
      <c r="DB21" s="14">
        <f t="shared" si="5"/>
        <v>4.7833333333333323</v>
      </c>
    </row>
    <row r="22" spans="1:106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72"/>
      <c r="K22" s="8">
        <v>4.58</v>
      </c>
      <c r="L22" s="8">
        <v>22.335805799924874</v>
      </c>
      <c r="M22" s="8">
        <v>27.519487551498354</v>
      </c>
      <c r="N22" s="8">
        <v>809.23869987329579</v>
      </c>
      <c r="O22" s="8">
        <v>7.1614044236574852</v>
      </c>
      <c r="P22" s="8">
        <v>7.498099958651248</v>
      </c>
      <c r="Q22" s="8">
        <v>1516.9381655147372</v>
      </c>
      <c r="R22" s="8">
        <v>13.424231553227763</v>
      </c>
      <c r="S22" s="8">
        <v>637.16325961115911</v>
      </c>
      <c r="T22" s="8">
        <v>11.964704418097815</v>
      </c>
      <c r="U22" s="8">
        <v>51.85334957844141</v>
      </c>
      <c r="V22" s="8">
        <v>-0.95509588604439888</v>
      </c>
      <c r="W22" s="8">
        <v>-8.8246788795912945</v>
      </c>
      <c r="X22" s="8">
        <v>23.858405270302946</v>
      </c>
      <c r="Y22" s="69"/>
      <c r="Z22" s="8">
        <v>4.7300000000000004</v>
      </c>
      <c r="AA22" s="8">
        <v>21.880385866518285</v>
      </c>
      <c r="AB22" s="8">
        <v>26.70702637233742</v>
      </c>
      <c r="AC22" s="8">
        <v>823.2976433745722</v>
      </c>
      <c r="AD22" s="8">
        <v>7.2858198528723204</v>
      </c>
      <c r="AE22" s="8">
        <v>7.4398434082913241</v>
      </c>
      <c r="AF22" s="8">
        <v>1531.301386280523</v>
      </c>
      <c r="AG22" s="8">
        <v>13.551339701597549</v>
      </c>
      <c r="AH22" s="8">
        <v>667.11330156680594</v>
      </c>
      <c r="AI22" s="8">
        <v>12.86853683030936</v>
      </c>
      <c r="AJ22" s="8">
        <v>53.065513538555656</v>
      </c>
      <c r="AK22" s="8">
        <v>-0.97929747348615526</v>
      </c>
      <c r="AL22" s="8">
        <v>-8.9568008060147548</v>
      </c>
      <c r="AM22" s="8">
        <v>23.649782079638531</v>
      </c>
      <c r="AN22" s="69"/>
      <c r="AO22" s="8">
        <v>5.01</v>
      </c>
      <c r="AP22" s="8">
        <v>20.457597463976533</v>
      </c>
      <c r="AQ22" s="8">
        <v>23.818426947198731</v>
      </c>
      <c r="AR22" s="8">
        <v>735.07964171872368</v>
      </c>
      <c r="AS22" s="8">
        <v>6.5051295727320682</v>
      </c>
      <c r="AT22" s="8">
        <v>7.0031076976418944</v>
      </c>
      <c r="AU22" s="8">
        <v>1286.96047432506</v>
      </c>
      <c r="AV22" s="8">
        <v>11.389030746239468</v>
      </c>
      <c r="AW22" s="8">
        <v>613.67402378356849</v>
      </c>
      <c r="AX22" s="8">
        <v>12.046264289886084</v>
      </c>
      <c r="AY22" s="8">
        <v>44.637144235606733</v>
      </c>
      <c r="AZ22" s="8">
        <v>-0.92889183682302801</v>
      </c>
      <c r="BA22" s="8">
        <v>-8.7269048938243312</v>
      </c>
      <c r="BB22" s="8">
        <v>22.207719854392789</v>
      </c>
      <c r="BC22" s="69"/>
      <c r="BD22" s="8">
        <v>5.04</v>
      </c>
      <c r="BE22" s="8">
        <v>20.165694500544753</v>
      </c>
      <c r="BF22" s="8">
        <v>24.308955923519587</v>
      </c>
      <c r="BG22" s="8">
        <v>754.24632946484166</v>
      </c>
      <c r="BH22" s="8">
        <v>6.6747462784499261</v>
      </c>
      <c r="BI22" s="8">
        <v>6.8136511446021668</v>
      </c>
      <c r="BJ22" s="8">
        <v>1284.7928415175254</v>
      </c>
      <c r="BK22" s="8">
        <v>11.369848155022348</v>
      </c>
      <c r="BL22" s="8">
        <v>538.99786002209009</v>
      </c>
      <c r="BM22" s="8">
        <v>11.535053389301856</v>
      </c>
      <c r="BN22" s="8">
        <v>50.225999503022003</v>
      </c>
      <c r="BO22" s="8">
        <v>-0.97961373965230336</v>
      </c>
      <c r="BP22" s="8">
        <v>-9.0864966829841869</v>
      </c>
      <c r="BQ22" s="8">
        <v>21.954251200537691</v>
      </c>
      <c r="BR22" s="69"/>
      <c r="BS22" s="14">
        <v>5.25</v>
      </c>
      <c r="BT22" s="14">
        <v>20.254427274913731</v>
      </c>
      <c r="BU22" s="14">
        <v>23.048405732610782</v>
      </c>
      <c r="BV22" s="14">
        <v>662.2965502944952</v>
      </c>
      <c r="BW22" s="14">
        <v>5.8610314185353554</v>
      </c>
      <c r="BX22" s="14">
        <v>7.0982787833332699</v>
      </c>
      <c r="BY22" s="14">
        <v>1175.2913878075578</v>
      </c>
      <c r="BZ22" s="14">
        <v>10.400808741659803</v>
      </c>
      <c r="CA22" s="14">
        <v>625.55089528289409</v>
      </c>
      <c r="CB22" s="14">
        <v>12.0224759656318</v>
      </c>
      <c r="CC22" s="14">
        <v>40.311454267224825</v>
      </c>
      <c r="CD22" s="14">
        <v>-0.82569755252456911</v>
      </c>
      <c r="CE22" s="14">
        <v>-7.8279547652961012</v>
      </c>
      <c r="CF22" s="14">
        <v>22.041771753983877</v>
      </c>
      <c r="CG22" s="69"/>
      <c r="CH22" s="14">
        <v>5.18</v>
      </c>
      <c r="CI22" s="14">
        <v>20.259438002825259</v>
      </c>
      <c r="CJ22" s="14">
        <v>23.045783479944848</v>
      </c>
      <c r="CK22" s="14">
        <v>716.94733208641776</v>
      </c>
      <c r="CL22" s="14">
        <v>6.3446666556320155</v>
      </c>
      <c r="CM22" s="14">
        <v>6.8397255833681774</v>
      </c>
      <c r="CN22" s="14">
        <v>1225.9307522997581</v>
      </c>
      <c r="CO22" s="14">
        <v>10.848944710617328</v>
      </c>
      <c r="CP22" s="14">
        <v>578.37337324955865</v>
      </c>
      <c r="CQ22" s="14">
        <v>11.121892500099698</v>
      </c>
      <c r="CR22" s="14">
        <v>40.588186000343391</v>
      </c>
      <c r="CS22" s="14">
        <v>-0.927620059942175</v>
      </c>
      <c r="CT22" s="14">
        <v>-8.83316229396398</v>
      </c>
      <c r="CU22" s="14">
        <v>21.789833475690944</v>
      </c>
      <c r="CV22" s="69"/>
      <c r="CW22" s="14">
        <f t="shared" si="0"/>
        <v>-14.628820960698688</v>
      </c>
      <c r="CX22" s="8">
        <f t="shared" si="1"/>
        <v>12.917601810718255</v>
      </c>
      <c r="CY22" s="8">
        <f t="shared" si="2"/>
        <v>8.4167398334123273</v>
      </c>
      <c r="CZ22" s="8">
        <f t="shared" si="3"/>
        <v>19.941902796973196</v>
      </c>
      <c r="DA22" s="14">
        <f t="shared" si="4"/>
        <v>-5.428571428571427</v>
      </c>
      <c r="DB22" s="14">
        <f t="shared" si="5"/>
        <v>4.9649999999999999</v>
      </c>
    </row>
    <row r="23" spans="1:106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72"/>
      <c r="K23" s="8">
        <v>4.22</v>
      </c>
      <c r="L23" s="8">
        <v>25.273472470071969</v>
      </c>
      <c r="M23" s="8">
        <v>30.20562877727092</v>
      </c>
      <c r="N23" s="8">
        <v>771.11263975619443</v>
      </c>
      <c r="O23" s="8">
        <v>7.9496148428473656</v>
      </c>
      <c r="P23" s="8">
        <v>8.4654515432814055</v>
      </c>
      <c r="Q23" s="8">
        <v>1631.9541715669686</v>
      </c>
      <c r="R23" s="8">
        <v>16.824269809968747</v>
      </c>
      <c r="S23" s="8">
        <v>748.75734187293494</v>
      </c>
      <c r="T23" s="8">
        <v>13.240701702970155</v>
      </c>
      <c r="U23" s="8">
        <v>48.448108120089884</v>
      </c>
      <c r="V23" s="8">
        <v>-0.93906566025489446</v>
      </c>
      <c r="W23" s="8">
        <v>-8.7303029271000376</v>
      </c>
      <c r="X23" s="8">
        <v>26.331538234414058</v>
      </c>
      <c r="Y23" s="69"/>
      <c r="Z23" s="8">
        <v>4.55</v>
      </c>
      <c r="AA23" s="8">
        <v>23.866470904145583</v>
      </c>
      <c r="AB23" s="8">
        <v>28.919369173366761</v>
      </c>
      <c r="AC23" s="8">
        <v>750.71594318197265</v>
      </c>
      <c r="AD23" s="8">
        <v>7.7393396204327081</v>
      </c>
      <c r="AE23" s="8">
        <v>8.0642190708994761</v>
      </c>
      <c r="AF23" s="8">
        <v>1513.4844564590878</v>
      </c>
      <c r="AG23" s="8">
        <v>15.602932540815338</v>
      </c>
      <c r="AH23" s="8">
        <v>674.78954928187306</v>
      </c>
      <c r="AI23" s="8">
        <v>13.308394256973761</v>
      </c>
      <c r="AJ23" s="8">
        <v>52.619552730827614</v>
      </c>
      <c r="AK23" s="8">
        <v>-0.95971346417917558</v>
      </c>
      <c r="AL23" s="8">
        <v>-8.7838181120592544</v>
      </c>
      <c r="AM23" s="8">
        <v>25.246965123758446</v>
      </c>
      <c r="AN23" s="69"/>
      <c r="AO23" s="8">
        <v>4.4800000000000004</v>
      </c>
      <c r="AP23" s="8">
        <v>22.562067622919557</v>
      </c>
      <c r="AQ23" s="8">
        <v>27.629754803477454</v>
      </c>
      <c r="AR23" s="8">
        <v>484.1554642304186</v>
      </c>
      <c r="AS23" s="8">
        <v>4.9912934456744189</v>
      </c>
      <c r="AT23" s="8">
        <v>7.3473559744076189</v>
      </c>
      <c r="AU23" s="8">
        <v>889.31563566386512</v>
      </c>
      <c r="AV23" s="8">
        <v>9.1682024295243831</v>
      </c>
      <c r="AW23" s="8">
        <v>353.63616165981</v>
      </c>
      <c r="AX23" s="8">
        <v>7.3247071346382704</v>
      </c>
      <c r="AY23" s="8">
        <v>36.245875508019829</v>
      </c>
      <c r="AZ23" s="8">
        <v>-0.67933192063378189</v>
      </c>
      <c r="BA23" s="8">
        <v>-6.6490030259052393</v>
      </c>
      <c r="BB23" s="8">
        <v>23.360723615219161</v>
      </c>
      <c r="BC23" s="69"/>
      <c r="BD23" s="8">
        <v>4.7300000000000004</v>
      </c>
      <c r="BE23" s="8">
        <v>22.778102880465024</v>
      </c>
      <c r="BF23" s="8">
        <v>28.153921835324009</v>
      </c>
      <c r="BG23" s="8">
        <v>238.04574993783496</v>
      </c>
      <c r="BH23" s="8">
        <v>2.4540798962663399</v>
      </c>
      <c r="BI23" s="8">
        <v>7.5286372166721414</v>
      </c>
      <c r="BJ23" s="8">
        <v>448.04002306315357</v>
      </c>
      <c r="BK23" s="8">
        <v>4.618969309929418</v>
      </c>
      <c r="BL23" s="8">
        <v>202.736360489764</v>
      </c>
      <c r="BM23" s="8">
        <v>3.9704276568042935</v>
      </c>
      <c r="BN23" s="8">
        <v>20.843111526912249</v>
      </c>
      <c r="BO23" s="8">
        <v>-0.32596601823657922</v>
      </c>
      <c r="BP23" s="8">
        <v>-3.2812025128052364</v>
      </c>
      <c r="BQ23" s="8">
        <v>22.960614857564345</v>
      </c>
      <c r="BR23" s="69"/>
      <c r="BS23" s="14">
        <v>4.7300000000000004</v>
      </c>
      <c r="BT23" s="14">
        <v>21.128427772698608</v>
      </c>
      <c r="BU23" s="14">
        <v>26.938857667984443</v>
      </c>
      <c r="BV23" s="14">
        <v>382.94366981132549</v>
      </c>
      <c r="BW23" s="14">
        <v>3.9478728846528401</v>
      </c>
      <c r="BX23" s="14">
        <v>6.9297312552060815</v>
      </c>
      <c r="BY23" s="14">
        <v>663.42417941871497</v>
      </c>
      <c r="BZ23" s="14">
        <v>6.8394245300898451</v>
      </c>
      <c r="CA23" s="14">
        <v>258.11364919706074</v>
      </c>
      <c r="CB23" s="14">
        <v>6.0405371546805906</v>
      </c>
      <c r="CC23" s="14">
        <v>35.626415658853659</v>
      </c>
      <c r="CD23" s="14">
        <v>-0.5697007198781241</v>
      </c>
      <c r="CE23" s="14">
        <v>-5.6006551933471878</v>
      </c>
      <c r="CF23" s="14">
        <v>22.032419444286806</v>
      </c>
      <c r="CG23" s="69"/>
      <c r="CH23" s="14">
        <v>4.92</v>
      </c>
      <c r="CI23" s="14">
        <v>22.041869317413109</v>
      </c>
      <c r="CJ23" s="14">
        <v>26.227347502090694</v>
      </c>
      <c r="CK23" s="14">
        <v>528.20433155941726</v>
      </c>
      <c r="CL23" s="14">
        <v>5.4454054799939922</v>
      </c>
      <c r="CM23" s="14">
        <v>7.1142345049979365</v>
      </c>
      <c r="CN23" s="14">
        <v>939.44237031734417</v>
      </c>
      <c r="CO23" s="14">
        <v>9.6849728898695275</v>
      </c>
      <c r="CP23" s="14">
        <v>354.61569195297534</v>
      </c>
      <c r="CQ23" s="14">
        <v>7.5558249766891192</v>
      </c>
      <c r="CR23" s="14">
        <v>38.063442100707853</v>
      </c>
      <c r="CS23" s="14">
        <v>-0.7654239505555307</v>
      </c>
      <c r="CT23" s="14">
        <v>-7.4536130672491545</v>
      </c>
      <c r="CU23" s="14">
        <v>22.750794299390609</v>
      </c>
      <c r="CV23" s="69"/>
      <c r="CW23" s="14">
        <f t="shared" si="0"/>
        <v>-16.587677725118489</v>
      </c>
      <c r="CX23" s="8">
        <f t="shared" si="1"/>
        <v>68.290835954694387</v>
      </c>
      <c r="CY23" s="8">
        <f t="shared" si="2"/>
        <v>11.780242544868997</v>
      </c>
      <c r="CZ23" s="8">
        <f t="shared" si="3"/>
        <v>70.396787284398187</v>
      </c>
      <c r="DA23" s="14">
        <f t="shared" si="4"/>
        <v>-6.4024390243902491</v>
      </c>
      <c r="DB23" s="14">
        <f t="shared" si="5"/>
        <v>4.6050000000000004</v>
      </c>
    </row>
    <row r="24" spans="1:106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72"/>
      <c r="K24" s="8">
        <v>4.3</v>
      </c>
      <c r="L24" s="8">
        <v>24.123272898256083</v>
      </c>
      <c r="M24" s="8">
        <v>29.226799613499416</v>
      </c>
      <c r="N24" s="8">
        <v>546.72472339491503</v>
      </c>
      <c r="O24" s="8">
        <v>7.4893797725330824</v>
      </c>
      <c r="P24" s="8">
        <v>9.0227006692828429</v>
      </c>
      <c r="Q24" s="8">
        <v>1233.2333819221942</v>
      </c>
      <c r="R24" s="8">
        <v>16.893607971536905</v>
      </c>
      <c r="S24" s="8">
        <v>739.26700725141666</v>
      </c>
      <c r="T24" s="8">
        <v>18.51483825574859</v>
      </c>
      <c r="U24" s="8">
        <v>53.691695242364659</v>
      </c>
      <c r="V24" s="8">
        <v>-0.83005965143342852</v>
      </c>
      <c r="W24" s="8">
        <v>-7.3413953569371184</v>
      </c>
      <c r="X24" s="8">
        <v>26.689051916859146</v>
      </c>
      <c r="Y24" s="69"/>
      <c r="Z24" s="8">
        <v>4.2699999999999996</v>
      </c>
      <c r="AA24" s="8">
        <v>23.156868255235565</v>
      </c>
      <c r="AB24" s="8">
        <v>29.743169271985412</v>
      </c>
      <c r="AC24" s="8">
        <v>603.02550992829708</v>
      </c>
      <c r="AD24" s="8">
        <v>8.2606234236753018</v>
      </c>
      <c r="AE24" s="8">
        <v>8.3637752400458805</v>
      </c>
      <c r="AF24" s="8">
        <v>1260.8924572635831</v>
      </c>
      <c r="AG24" s="8">
        <v>17.27249941456963</v>
      </c>
      <c r="AH24" s="8">
        <v>628.61484626055892</v>
      </c>
      <c r="AI24" s="8">
        <v>17.8759369263196</v>
      </c>
      <c r="AJ24" s="8">
        <v>62.336569082537586</v>
      </c>
      <c r="AK24" s="8">
        <v>-0.98766683544092826</v>
      </c>
      <c r="AL24" s="8">
        <v>-8.4665912046991263</v>
      </c>
      <c r="AM24" s="8">
        <v>25.801834357708252</v>
      </c>
      <c r="AN24" s="69"/>
      <c r="AO24" s="8">
        <v>4.57</v>
      </c>
      <c r="AP24" s="8">
        <v>22.419084322019874</v>
      </c>
      <c r="AQ24" s="8">
        <v>27.305672193866076</v>
      </c>
      <c r="AR24" s="8">
        <v>538.54536440566312</v>
      </c>
      <c r="AS24" s="8">
        <v>7.3773337589816865</v>
      </c>
      <c r="AT24" s="8">
        <v>8.0229800798945341</v>
      </c>
      <c r="AU24" s="8">
        <v>1080.1846826865444</v>
      </c>
      <c r="AV24" s="8">
        <v>14.797050447760883</v>
      </c>
      <c r="AW24" s="8">
        <v>561.48191129291035</v>
      </c>
      <c r="AX24" s="8">
        <v>15.871535949676623</v>
      </c>
      <c r="AY24" s="8">
        <v>54.118694419746163</v>
      </c>
      <c r="AZ24" s="8">
        <v>-0.9195253740526137</v>
      </c>
      <c r="BA24" s="8">
        <v>-8.2391659474624248</v>
      </c>
      <c r="BB24" s="8">
        <v>24.69056753716076</v>
      </c>
      <c r="BC24" s="69"/>
      <c r="BD24" s="8">
        <v>4.6100000000000003</v>
      </c>
      <c r="BE24" s="8">
        <v>21.879589504750598</v>
      </c>
      <c r="BF24" s="8">
        <v>26.290359561051989</v>
      </c>
      <c r="BG24" s="8">
        <v>499.12691165556504</v>
      </c>
      <c r="BH24" s="8">
        <v>6.8373549541858223</v>
      </c>
      <c r="BI24" s="8">
        <v>7.9761551269060513</v>
      </c>
      <c r="BJ24" s="8">
        <v>995.27841884457973</v>
      </c>
      <c r="BK24" s="8">
        <v>13.633950943076435</v>
      </c>
      <c r="BL24" s="8">
        <v>553.37239026622706</v>
      </c>
      <c r="BM24" s="8">
        <v>15.771357678136047</v>
      </c>
      <c r="BN24" s="8">
        <v>50.648891205224835</v>
      </c>
      <c r="BO24" s="8">
        <v>-0.85722442021235246</v>
      </c>
      <c r="BP24" s="8">
        <v>-7.7726848182472565</v>
      </c>
      <c r="BQ24" s="8">
        <v>24.310386573617798</v>
      </c>
      <c r="BR24" s="69"/>
      <c r="BS24" s="14">
        <v>4.78</v>
      </c>
      <c r="BT24" s="14">
        <v>21.941280260014263</v>
      </c>
      <c r="BU24" s="14">
        <v>25.531986822920906</v>
      </c>
      <c r="BV24" s="14">
        <v>470.70417026699721</v>
      </c>
      <c r="BW24" s="14">
        <v>6.4480023324246192</v>
      </c>
      <c r="BX24" s="14">
        <v>7.9521381056197216</v>
      </c>
      <c r="BY24" s="14">
        <v>935.77614221357555</v>
      </c>
      <c r="BZ24" s="14">
        <v>12.818851263199665</v>
      </c>
      <c r="CA24" s="14">
        <v>540.57751865327407</v>
      </c>
      <c r="CB24" s="14">
        <v>14.758989862557119</v>
      </c>
      <c r="CC24" s="14">
        <v>45.312426937389908</v>
      </c>
      <c r="CD24" s="14">
        <v>-0.81085140207359596</v>
      </c>
      <c r="CE24" s="14">
        <v>-7.5053880479174779</v>
      </c>
      <c r="CF24" s="14">
        <v>24.043261228130817</v>
      </c>
      <c r="CG24" s="69"/>
      <c r="CH24" s="14">
        <v>5.03</v>
      </c>
      <c r="CI24" s="14">
        <v>22.063779539890852</v>
      </c>
      <c r="CJ24" s="14">
        <v>26.751234240776427</v>
      </c>
      <c r="CK24" s="14">
        <v>398.14732262736908</v>
      </c>
      <c r="CL24" s="14">
        <v>5.454072912703686</v>
      </c>
      <c r="CM24" s="14">
        <v>7.1956414864348046</v>
      </c>
      <c r="CN24" s="14">
        <v>716.2313481026099</v>
      </c>
      <c r="CO24" s="14">
        <v>9.811388330172738</v>
      </c>
      <c r="CP24" s="14">
        <v>275.64915617149273</v>
      </c>
      <c r="CQ24" s="14">
        <v>8.0087500493989126</v>
      </c>
      <c r="CR24" s="14">
        <v>41.956749447146926</v>
      </c>
      <c r="CS24" s="14">
        <v>-0.75796896259849522</v>
      </c>
      <c r="CT24" s="14">
        <v>-7.3095902246751043</v>
      </c>
      <c r="CU24" s="14">
        <v>22.795804135987371</v>
      </c>
      <c r="CV24" s="69"/>
      <c r="CW24" s="14">
        <f t="shared" si="0"/>
        <v>-17.798594847775192</v>
      </c>
      <c r="CX24" s="8">
        <f t="shared" si="1"/>
        <v>33.975044824436871</v>
      </c>
      <c r="CY24" s="8">
        <f t="shared" si="2"/>
        <v>13.966584707083401</v>
      </c>
      <c r="CZ24" s="8">
        <f t="shared" si="3"/>
        <v>43.196476116845751</v>
      </c>
      <c r="DA24" s="14">
        <f t="shared" si="4"/>
        <v>-8.6812458581842158</v>
      </c>
      <c r="DB24" s="14">
        <f t="shared" si="5"/>
        <v>4.5933333333333337</v>
      </c>
    </row>
    <row r="25" spans="1:106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72"/>
      <c r="K25" s="8">
        <v>4.5199999999999996</v>
      </c>
      <c r="L25" s="8">
        <v>24.300162709031017</v>
      </c>
      <c r="M25" s="8">
        <v>29.52905876796202</v>
      </c>
      <c r="N25" s="8">
        <v>660.18631077926932</v>
      </c>
      <c r="O25" s="8">
        <v>7.9540519370996305</v>
      </c>
      <c r="P25" s="8">
        <v>8.2714118878759564</v>
      </c>
      <c r="Q25" s="8">
        <v>1365.1682247981548</v>
      </c>
      <c r="R25" s="8">
        <v>16.447809937327168</v>
      </c>
      <c r="S25" s="8">
        <v>625.36074231468149</v>
      </c>
      <c r="T25" s="8">
        <v>14.091844835129914</v>
      </c>
      <c r="U25" s="8">
        <v>54.003495975223196</v>
      </c>
      <c r="V25" s="8">
        <v>-0.96163170749101445</v>
      </c>
      <c r="W25" s="8">
        <v>-8.7247422920138096</v>
      </c>
      <c r="X25" s="8">
        <v>25.72627557973151</v>
      </c>
      <c r="Y25" s="69"/>
      <c r="Z25" s="8">
        <v>4.7300000000000004</v>
      </c>
      <c r="AA25" s="8">
        <v>22.837070707596492</v>
      </c>
      <c r="AB25" s="8">
        <v>28.327477995148488</v>
      </c>
      <c r="AC25" s="8">
        <v>628.01255478003475</v>
      </c>
      <c r="AD25" s="8">
        <v>7.5664163226510208</v>
      </c>
      <c r="AE25" s="8">
        <v>7.7640525639583835</v>
      </c>
      <c r="AF25" s="8">
        <v>1218.9806215344959</v>
      </c>
      <c r="AG25" s="8">
        <v>14.686513512463806</v>
      </c>
      <c r="AH25" s="8">
        <v>520.94731147847085</v>
      </c>
      <c r="AI25" s="8">
        <v>13.248221982302306</v>
      </c>
      <c r="AJ25" s="8">
        <v>56.522661367939918</v>
      </c>
      <c r="AK25" s="8">
        <v>-0.97454470591494791</v>
      </c>
      <c r="AL25" s="8">
        <v>-8.7904948589738385</v>
      </c>
      <c r="AM25" s="8">
        <v>24.450651849117765</v>
      </c>
      <c r="AN25" s="69"/>
      <c r="AO25" s="8">
        <v>4.7699999999999996</v>
      </c>
      <c r="AP25" s="8">
        <v>22.801219491423986</v>
      </c>
      <c r="AQ25" s="8">
        <v>28.801715149138953</v>
      </c>
      <c r="AR25" s="8">
        <v>657.40097017786309</v>
      </c>
      <c r="AS25" s="8">
        <v>7.9204936166007602</v>
      </c>
      <c r="AT25" s="8">
        <v>7.8820048250668595</v>
      </c>
      <c r="AU25" s="8">
        <v>1295.4094047363878</v>
      </c>
      <c r="AV25" s="8">
        <v>15.607342225739613</v>
      </c>
      <c r="AW25" s="8">
        <v>554.70523288595575</v>
      </c>
      <c r="AX25" s="8">
        <v>14.651556893114563</v>
      </c>
      <c r="AY25" s="8">
        <v>61.513869756035689</v>
      </c>
      <c r="AZ25" s="8">
        <v>-1.0048831220467536</v>
      </c>
      <c r="BA25" s="8">
        <v>-8.796605928885592</v>
      </c>
      <c r="BB25" s="8">
        <v>24.711557750252357</v>
      </c>
      <c r="BC25" s="69"/>
      <c r="BD25" s="8">
        <v>4.88</v>
      </c>
      <c r="BE25" s="8">
        <v>22.374612368607977</v>
      </c>
      <c r="BF25" s="8">
        <v>27.160077592174048</v>
      </c>
      <c r="BG25" s="8">
        <v>556.04229641848235</v>
      </c>
      <c r="BH25" s="8">
        <v>6.6993047761262936</v>
      </c>
      <c r="BI25" s="8">
        <v>7.3998437696516257</v>
      </c>
      <c r="BJ25" s="8">
        <v>1028.6565307037722</v>
      </c>
      <c r="BK25" s="8">
        <v>12.393452177153883</v>
      </c>
      <c r="BL25" s="8">
        <v>412.19159895081577</v>
      </c>
      <c r="BM25" s="8">
        <v>10.468831835499676</v>
      </c>
      <c r="BN25" s="8">
        <v>48.989034861065178</v>
      </c>
      <c r="BO25" s="8">
        <v>-0.90533056976170267</v>
      </c>
      <c r="BP25" s="8">
        <v>-8.4901171927256058</v>
      </c>
      <c r="BQ25" s="8">
        <v>23.463869490153265</v>
      </c>
      <c r="BR25" s="69"/>
      <c r="BS25" s="14">
        <v>4.9000000000000004</v>
      </c>
      <c r="BT25" s="14">
        <v>21.317087262894233</v>
      </c>
      <c r="BU25" s="14">
        <v>25.72186867644287</v>
      </c>
      <c r="BV25" s="14">
        <v>580.97276028453734</v>
      </c>
      <c r="BW25" s="14">
        <v>6.9996718106570768</v>
      </c>
      <c r="BX25" s="14">
        <v>7.4739081539367964</v>
      </c>
      <c r="BY25" s="14">
        <v>1085.5342625764429</v>
      </c>
      <c r="BZ25" s="14">
        <v>13.078726055137865</v>
      </c>
      <c r="CA25" s="14">
        <v>522.88864228251305</v>
      </c>
      <c r="CB25" s="14">
        <v>14.042323960758376</v>
      </c>
      <c r="CC25" s="14">
        <v>52.51795144646276</v>
      </c>
      <c r="CD25" s="14">
        <v>-0.93654774269203145</v>
      </c>
      <c r="CE25" s="14">
        <v>-8.5095350975593576</v>
      </c>
      <c r="CF25" s="14">
        <v>23.423653112088015</v>
      </c>
      <c r="CG25" s="69"/>
      <c r="CH25" s="14">
        <v>4.97</v>
      </c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69"/>
      <c r="CW25" s="14">
        <f t="shared" si="0"/>
        <v>-9.9557522123893847</v>
      </c>
      <c r="CX25" s="8">
        <f t="shared" si="1"/>
        <v>11.460003118370841</v>
      </c>
      <c r="CY25" s="8">
        <f t="shared" si="2"/>
        <v>4.6909625006592117</v>
      </c>
      <c r="CZ25" s="8">
        <f t="shared" si="3"/>
        <v>15.613381170172907</v>
      </c>
      <c r="DA25" s="14">
        <f t="shared" si="4"/>
        <v>-3.5211267605633867</v>
      </c>
      <c r="DB25" s="14">
        <f t="shared" si="5"/>
        <v>4.794999999999999</v>
      </c>
    </row>
    <row r="26" spans="1:106" ht="15.75" x14ac:dyDescent="0.25">
      <c r="A26" s="10">
        <v>25</v>
      </c>
      <c r="B26" s="3" t="s">
        <v>82</v>
      </c>
      <c r="C26" s="3" t="s">
        <v>83</v>
      </c>
      <c r="D26" s="3">
        <v>90</v>
      </c>
      <c r="E26" s="3">
        <v>201</v>
      </c>
      <c r="F26" s="3">
        <v>19</v>
      </c>
      <c r="G26" s="11" t="s">
        <v>32</v>
      </c>
      <c r="H26" s="11" t="s">
        <v>63</v>
      </c>
      <c r="I26" s="11">
        <v>24</v>
      </c>
      <c r="J26" s="72"/>
      <c r="K26" s="8">
        <v>4.33</v>
      </c>
      <c r="L26" s="8">
        <v>23.681451255577397</v>
      </c>
      <c r="M26" s="8">
        <v>28.932067374026282</v>
      </c>
      <c r="N26" s="8">
        <v>704.28409031587751</v>
      </c>
      <c r="O26" s="8">
        <v>7.8253787812875277</v>
      </c>
      <c r="P26" s="8">
        <v>8.1086586979925208</v>
      </c>
      <c r="Q26" s="8">
        <v>1427.6998286993976</v>
      </c>
      <c r="R26" s="8">
        <v>15.863331429993307</v>
      </c>
      <c r="S26" s="8">
        <v>672.62466164733144</v>
      </c>
      <c r="T26" s="8">
        <v>14.260838217728246</v>
      </c>
      <c r="U26" s="8">
        <v>52.811591365597323</v>
      </c>
      <c r="V26" s="8">
        <v>-0.96506451593836051</v>
      </c>
      <c r="W26" s="8">
        <v>-8.7945075898327438</v>
      </c>
      <c r="X26" s="8">
        <v>25.366690207733228</v>
      </c>
      <c r="Y26" s="69"/>
      <c r="Z26" s="8">
        <v>4.54</v>
      </c>
      <c r="AA26" s="8">
        <v>26.183994376924456</v>
      </c>
      <c r="AB26" s="8">
        <v>27.532421437627026</v>
      </c>
      <c r="AC26" s="8">
        <v>960.09027455308637</v>
      </c>
      <c r="AD26" s="8">
        <v>10.667669717256516</v>
      </c>
      <c r="AE26" s="8">
        <v>7.9846456546605085</v>
      </c>
      <c r="AF26" s="8">
        <v>1916.4951596980288</v>
      </c>
      <c r="AG26" s="8">
        <v>21.294390663311432</v>
      </c>
      <c r="AH26" s="8">
        <v>601.35471605813757</v>
      </c>
      <c r="AI26" s="8">
        <v>9.5882717711936003</v>
      </c>
      <c r="AJ26" s="8">
        <v>23.644198347610988</v>
      </c>
      <c r="AK26" s="8">
        <v>-1.3360229343464933</v>
      </c>
      <c r="AL26" s="8">
        <v>-13.252930756145329</v>
      </c>
      <c r="AM26" s="8">
        <v>26.565424348679837</v>
      </c>
      <c r="AN26" s="69"/>
      <c r="AO26" s="8">
        <v>4.79</v>
      </c>
      <c r="AP26" s="8">
        <v>22.212690163942426</v>
      </c>
      <c r="AQ26" s="8">
        <v>26.888115325772347</v>
      </c>
      <c r="AR26" s="8">
        <v>662.5085976861136</v>
      </c>
      <c r="AS26" s="8">
        <v>7.3612066409568175</v>
      </c>
      <c r="AT26" s="8">
        <v>7.5800707501413536</v>
      </c>
      <c r="AU26" s="8">
        <v>1255.4655107594187</v>
      </c>
      <c r="AV26" s="8">
        <v>13.949616786215763</v>
      </c>
      <c r="AW26" s="8">
        <v>562.02364993643107</v>
      </c>
      <c r="AX26" s="8">
        <v>13.220553886295198</v>
      </c>
      <c r="AY26" s="8">
        <v>52.909011610823761</v>
      </c>
      <c r="AZ26" s="8">
        <v>-0.97112637646812772</v>
      </c>
      <c r="BA26" s="8">
        <v>-8.8663901661324331</v>
      </c>
      <c r="BB26" s="8">
        <v>23.926047166599655</v>
      </c>
      <c r="BC26" s="69"/>
      <c r="BD26" s="8">
        <v>4.87</v>
      </c>
      <c r="BE26" s="8">
        <v>21.166607824724217</v>
      </c>
      <c r="BF26" s="8">
        <v>28.084071397233775</v>
      </c>
      <c r="BG26" s="8">
        <v>614.01587105867543</v>
      </c>
      <c r="BH26" s="8">
        <v>6.8223985673186158</v>
      </c>
      <c r="BI26" s="8">
        <v>7.1535109494679112</v>
      </c>
      <c r="BJ26" s="8">
        <v>1098.0923141913279</v>
      </c>
      <c r="BK26" s="8">
        <v>12.201025713236977</v>
      </c>
      <c r="BL26" s="8">
        <v>399.71552489686638</v>
      </c>
      <c r="BM26" s="8">
        <v>11.437446549933011</v>
      </c>
      <c r="BN26" s="8">
        <v>62.01427668941335</v>
      </c>
      <c r="BO26" s="8">
        <v>-0.95371330462925707</v>
      </c>
      <c r="BP26" s="8">
        <v>-8.4936443302864717</v>
      </c>
      <c r="BQ26" s="8">
        <v>22.953221126716233</v>
      </c>
      <c r="BR26" s="69"/>
      <c r="BS26" s="14">
        <v>4.93</v>
      </c>
      <c r="BT26" s="14">
        <v>18.52690571734702</v>
      </c>
      <c r="BU26" s="14">
        <v>28.288098355551917</v>
      </c>
      <c r="BV26" s="14">
        <v>547.17727879832626</v>
      </c>
      <c r="BW26" s="14">
        <v>6.0797475422036253</v>
      </c>
      <c r="BX26" s="14">
        <v>6.3297768984748775</v>
      </c>
      <c r="BY26" s="14">
        <v>865.87752467699818</v>
      </c>
      <c r="BZ26" s="14">
        <v>9.62086138529998</v>
      </c>
      <c r="CA26" s="14">
        <v>251.57734283887714</v>
      </c>
      <c r="CB26" s="14">
        <v>10.186890128471976</v>
      </c>
      <c r="CC26" s="14">
        <v>72.660364265039391</v>
      </c>
      <c r="CD26" s="14">
        <v>-0.96049949938496348</v>
      </c>
      <c r="CE26" s="14">
        <v>-8.1127015912190821</v>
      </c>
      <c r="CF26" s="14">
        <v>21.075618235942073</v>
      </c>
      <c r="CG26" s="69"/>
      <c r="CH26" s="14">
        <v>4.99</v>
      </c>
      <c r="CI26" s="14">
        <v>19.776195094911738</v>
      </c>
      <c r="CJ26" s="14">
        <v>26.181521854562313</v>
      </c>
      <c r="CK26" s="14">
        <v>598.56023054253001</v>
      </c>
      <c r="CL26" s="14">
        <v>6.650669228250333</v>
      </c>
      <c r="CM26" s="14">
        <v>6.6929583560020944</v>
      </c>
      <c r="CN26" s="14">
        <v>1001.5346741450415</v>
      </c>
      <c r="CO26" s="14">
        <v>11.128163046056017</v>
      </c>
      <c r="CP26" s="14">
        <v>354.78899077392055</v>
      </c>
      <c r="CQ26" s="14">
        <v>11.222560364258001</v>
      </c>
      <c r="CR26" s="14">
        <v>61.743315909326228</v>
      </c>
      <c r="CS26" s="14">
        <v>-0.99368154924887053</v>
      </c>
      <c r="CT26" s="14">
        <v>-8.8637353856793926</v>
      </c>
      <c r="CU26" s="14">
        <v>21.813475889490867</v>
      </c>
      <c r="CV26" s="69"/>
      <c r="CW26" s="14">
        <f t="shared" si="0"/>
        <v>-15.242494226327949</v>
      </c>
      <c r="CX26" s="8">
        <f t="shared" si="1"/>
        <v>37.655838580267414</v>
      </c>
      <c r="CY26" s="8">
        <f t="shared" si="2"/>
        <v>16.177139907322964</v>
      </c>
      <c r="CZ26" s="8">
        <f t="shared" si="3"/>
        <v>47.741340797184819</v>
      </c>
      <c r="DA26" s="14">
        <f t="shared" si="4"/>
        <v>-4.9766199064796401</v>
      </c>
      <c r="DB26" s="14">
        <f t="shared" si="5"/>
        <v>4.7416666666666671</v>
      </c>
    </row>
    <row r="27" spans="1:106" ht="15.75" x14ac:dyDescent="0.25">
      <c r="A27" s="10">
        <v>26</v>
      </c>
      <c r="B27" s="3" t="s">
        <v>84</v>
      </c>
      <c r="C27" s="3" t="s">
        <v>85</v>
      </c>
      <c r="D27" s="3">
        <v>94</v>
      </c>
      <c r="E27" s="3">
        <v>203</v>
      </c>
      <c r="F27" s="3">
        <v>19</v>
      </c>
      <c r="G27" s="37" t="s">
        <v>45</v>
      </c>
      <c r="H27" s="37" t="s">
        <v>63</v>
      </c>
      <c r="I27" s="37">
        <v>24</v>
      </c>
      <c r="J27" s="72"/>
      <c r="K27" s="8">
        <v>4.2699999999999996</v>
      </c>
      <c r="L27" s="8">
        <v>25.088358966191908</v>
      </c>
      <c r="M27" s="8">
        <v>31.41313348131678</v>
      </c>
      <c r="N27" s="8">
        <v>811.95383734039308</v>
      </c>
      <c r="O27" s="8">
        <v>8.6378067802169483</v>
      </c>
      <c r="P27" s="8">
        <v>8.9867611125008136</v>
      </c>
      <c r="Q27" s="8">
        <v>1824.2087926391139</v>
      </c>
      <c r="R27" s="8">
        <v>19.406476517437383</v>
      </c>
      <c r="S27" s="8">
        <v>916.65796993010747</v>
      </c>
      <c r="T27" s="8">
        <v>18.178875501052172</v>
      </c>
      <c r="U27" s="8">
        <v>62.269201340344274</v>
      </c>
      <c r="V27" s="8">
        <v>-0.96117017823045658</v>
      </c>
      <c r="W27" s="8">
        <v>-8.2088086230171076</v>
      </c>
      <c r="X27" s="8">
        <v>27.287599183849554</v>
      </c>
      <c r="Y27" s="69"/>
      <c r="Z27" s="8">
        <v>4.43</v>
      </c>
      <c r="AA27" s="8">
        <v>24.966601193378299</v>
      </c>
      <c r="AB27" s="8">
        <v>31.340660760747124</v>
      </c>
      <c r="AC27" s="8">
        <v>806.56577433949656</v>
      </c>
      <c r="AD27" s="8">
        <v>8.5804869610584742</v>
      </c>
      <c r="AE27" s="8">
        <v>9.0299676802667026</v>
      </c>
      <c r="AF27" s="8">
        <v>1820.815718573735</v>
      </c>
      <c r="AG27" s="8">
        <v>19.370379984826968</v>
      </c>
      <c r="AH27" s="8">
        <v>930.46651566983917</v>
      </c>
      <c r="AI27" s="8">
        <v>18.626303318279692</v>
      </c>
      <c r="AJ27" s="8">
        <v>62.641409922533995</v>
      </c>
      <c r="AK27" s="8">
        <v>-0.95022344097748157</v>
      </c>
      <c r="AL27" s="8">
        <v>-8.0729257750638315</v>
      </c>
      <c r="AM27" s="8">
        <v>27.355565578080199</v>
      </c>
      <c r="AN27" s="69"/>
      <c r="AO27" s="8">
        <v>4.63</v>
      </c>
      <c r="AP27" s="8">
        <v>22.752699839054007</v>
      </c>
      <c r="AQ27" s="8">
        <v>28.293733012195617</v>
      </c>
      <c r="AR27" s="8">
        <v>732.37129328791434</v>
      </c>
      <c r="AS27" s="8">
        <v>7.7911839711480253</v>
      </c>
      <c r="AT27" s="8">
        <v>7.8965467605472899</v>
      </c>
      <c r="AU27" s="8">
        <v>1445.8010408826274</v>
      </c>
      <c r="AV27" s="8">
        <v>15.380862137049228</v>
      </c>
      <c r="AW27" s="8">
        <v>656.45871939158997</v>
      </c>
      <c r="AX27" s="8">
        <v>14.797983449414527</v>
      </c>
      <c r="AY27" s="8">
        <v>58.101097299572245</v>
      </c>
      <c r="AZ27" s="8">
        <v>-0.98665710561917042</v>
      </c>
      <c r="BA27" s="8">
        <v>-8.764024977151303</v>
      </c>
      <c r="BB27" s="8">
        <v>24.779004623968923</v>
      </c>
      <c r="BC27" s="69"/>
      <c r="BD27" s="8">
        <v>4.62</v>
      </c>
      <c r="BE27" s="8">
        <v>21.762119708789236</v>
      </c>
      <c r="BF27" s="8">
        <v>27.092089439831913</v>
      </c>
      <c r="BG27" s="8">
        <v>693.28338086593351</v>
      </c>
      <c r="BH27" s="8">
        <v>7.3753551155950374</v>
      </c>
      <c r="BI27" s="8">
        <v>7.4670585313950788</v>
      </c>
      <c r="BJ27" s="8">
        <v>1294.1968959423482</v>
      </c>
      <c r="BK27" s="8">
        <v>13.768052084493066</v>
      </c>
      <c r="BL27" s="8">
        <v>568.41091035478394</v>
      </c>
      <c r="BM27" s="8">
        <v>13.466688901744687</v>
      </c>
      <c r="BN27" s="8">
        <v>55.536999727837241</v>
      </c>
      <c r="BO27" s="8">
        <v>-0.9877189370600914</v>
      </c>
      <c r="BP27" s="8">
        <v>-8.9344650282317293</v>
      </c>
      <c r="BQ27" s="8">
        <v>23.718086049146574</v>
      </c>
      <c r="BR27" s="69"/>
      <c r="BS27" s="14">
        <v>4.9000000000000004</v>
      </c>
      <c r="BT27" s="14">
        <v>22.14812189724341</v>
      </c>
      <c r="BU27" s="14">
        <v>26.087658214197816</v>
      </c>
      <c r="BV27" s="14">
        <v>670.03417521250572</v>
      </c>
      <c r="BW27" s="14">
        <v>7.1280231405585717</v>
      </c>
      <c r="BX27" s="14">
        <v>7.6428516200183694</v>
      </c>
      <c r="BY27" s="14">
        <v>1280.2429453726429</v>
      </c>
      <c r="BZ27" s="14">
        <v>13.619605801836627</v>
      </c>
      <c r="CA27" s="14">
        <v>620.65543402516232</v>
      </c>
      <c r="CB27" s="14">
        <v>13.530690940832404</v>
      </c>
      <c r="CC27" s="14">
        <v>49.194723578201952</v>
      </c>
      <c r="CD27" s="14">
        <v>-0.9326392156938722</v>
      </c>
      <c r="CE27" s="14">
        <v>-8.5906578097618276</v>
      </c>
      <c r="CF27" s="14">
        <v>23.894034687444616</v>
      </c>
      <c r="CG27" s="69"/>
      <c r="CH27" s="14">
        <v>5</v>
      </c>
      <c r="CI27" s="14">
        <v>22.115784030107697</v>
      </c>
      <c r="CJ27" s="14">
        <v>27.083983394377114</v>
      </c>
      <c r="CK27" s="14">
        <v>618.63049433189553</v>
      </c>
      <c r="CL27" s="14">
        <v>6.5811754716159099</v>
      </c>
      <c r="CM27" s="14">
        <v>7.3076275383606983</v>
      </c>
      <c r="CN27" s="14">
        <v>1130.1803091123629</v>
      </c>
      <c r="CO27" s="14">
        <v>12.023194777791096</v>
      </c>
      <c r="CP27" s="14">
        <v>437.27469442407613</v>
      </c>
      <c r="CQ27" s="14">
        <v>10.200248903776204</v>
      </c>
      <c r="CR27" s="14">
        <v>50.601561193393586</v>
      </c>
      <c r="CS27" s="14">
        <v>-0.90058988872498691</v>
      </c>
      <c r="CT27" s="14">
        <v>-8.4119964482602878</v>
      </c>
      <c r="CU27" s="14">
        <v>23.248359767055344</v>
      </c>
      <c r="CV27" s="69"/>
      <c r="CW27" s="14">
        <f t="shared" si="0"/>
        <v>-17.096018735363007</v>
      </c>
      <c r="CX27" s="8">
        <f t="shared" si="1"/>
        <v>23.300676272992469</v>
      </c>
      <c r="CY27" s="8">
        <f t="shared" si="2"/>
        <v>19.073602507679567</v>
      </c>
      <c r="CZ27" s="8">
        <f t="shared" si="3"/>
        <v>37.930000406760236</v>
      </c>
      <c r="DA27" s="14">
        <f t="shared" si="4"/>
        <v>-7.1666666666666767</v>
      </c>
      <c r="DB27" s="14">
        <f t="shared" si="5"/>
        <v>4.6416666666666666</v>
      </c>
    </row>
    <row r="28" spans="1:106" ht="15.75" x14ac:dyDescent="0.25">
      <c r="A28" s="10">
        <v>27</v>
      </c>
      <c r="B28" s="3" t="s">
        <v>86</v>
      </c>
      <c r="C28" s="3" t="s">
        <v>87</v>
      </c>
      <c r="D28" s="3">
        <v>87</v>
      </c>
      <c r="E28" s="3">
        <v>203</v>
      </c>
      <c r="F28" s="3">
        <v>19</v>
      </c>
      <c r="G28" s="11" t="s">
        <v>32</v>
      </c>
      <c r="H28" s="11" t="s">
        <v>63</v>
      </c>
      <c r="I28" s="11">
        <v>24</v>
      </c>
      <c r="J28" s="72"/>
      <c r="K28" s="8">
        <v>4.53</v>
      </c>
      <c r="L28" s="8">
        <v>23.965024395007124</v>
      </c>
      <c r="M28" s="8">
        <v>29.06961694742667</v>
      </c>
      <c r="N28" s="8">
        <v>693.6415160462625</v>
      </c>
      <c r="O28" s="8">
        <v>7.9728909890375004</v>
      </c>
      <c r="P28" s="8">
        <v>8.3791970662360313</v>
      </c>
      <c r="Q28" s="8">
        <v>1453.0397390685889</v>
      </c>
      <c r="R28" s="8">
        <v>16.701606196190678</v>
      </c>
      <c r="S28" s="8">
        <v>720.18668077544316</v>
      </c>
      <c r="T28" s="8">
        <v>15.712880943955314</v>
      </c>
      <c r="U28" s="8">
        <v>55.275700357577065</v>
      </c>
      <c r="V28" s="8">
        <v>-0.95151014184452842</v>
      </c>
      <c r="W28" s="8">
        <v>-8.5041170526394758</v>
      </c>
      <c r="X28" s="8">
        <v>25.826741311294516</v>
      </c>
      <c r="Y28" s="69"/>
      <c r="Z28" s="8">
        <v>4.76</v>
      </c>
      <c r="AA28" s="8">
        <v>22.544058877399493</v>
      </c>
      <c r="AB28" s="8">
        <v>26.87849220261802</v>
      </c>
      <c r="AC28" s="8">
        <v>640.22151811776644</v>
      </c>
      <c r="AD28" s="8">
        <v>7.3588680243421427</v>
      </c>
      <c r="AE28" s="8">
        <v>7.6424575450026504</v>
      </c>
      <c r="AF28" s="8">
        <v>1223.2164429030438</v>
      </c>
      <c r="AG28" s="8">
        <v>14.059959113828089</v>
      </c>
      <c r="AH28" s="8">
        <v>554.64047709526551</v>
      </c>
      <c r="AI28" s="8">
        <v>12.914627427947343</v>
      </c>
      <c r="AJ28" s="8">
        <v>50.286200643462017</v>
      </c>
      <c r="AK28" s="8">
        <v>-0.96289288897051906</v>
      </c>
      <c r="AL28" s="8">
        <v>-8.8829131300782898</v>
      </c>
      <c r="AM28" s="8">
        <v>24.050598168394067</v>
      </c>
      <c r="AN28" s="69"/>
      <c r="AO28" s="8">
        <v>4.8</v>
      </c>
      <c r="AP28" s="8">
        <v>20.83766708038533</v>
      </c>
      <c r="AQ28" s="8">
        <v>24.204740415311274</v>
      </c>
      <c r="AR28" s="8">
        <v>578.87583779008435</v>
      </c>
      <c r="AS28" s="8">
        <v>6.6537452619549926</v>
      </c>
      <c r="AT28" s="8">
        <v>7.1478465376269691</v>
      </c>
      <c r="AU28" s="8">
        <v>1034.4289132159413</v>
      </c>
      <c r="AV28" s="8">
        <v>11.889987508229209</v>
      </c>
      <c r="AW28" s="8">
        <v>510.5829210624517</v>
      </c>
      <c r="AX28" s="8">
        <v>12.451743168935444</v>
      </c>
      <c r="AY28" s="8">
        <v>43.724724661254839</v>
      </c>
      <c r="AZ28" s="8">
        <v>-0.93087410689765404</v>
      </c>
      <c r="BA28" s="8">
        <v>-8.7612339436219404</v>
      </c>
      <c r="BB28" s="8">
        <v>22.545978292885884</v>
      </c>
      <c r="BC28" s="69"/>
      <c r="BD28" s="8">
        <v>4.87</v>
      </c>
      <c r="BE28" s="8">
        <v>22.060732346663443</v>
      </c>
      <c r="BF28" s="8">
        <v>25.891202934233434</v>
      </c>
      <c r="BG28" s="8">
        <v>621.73171723651194</v>
      </c>
      <c r="BH28" s="8">
        <v>7.1463415774311718</v>
      </c>
      <c r="BI28" s="8">
        <v>7.4707743230123089</v>
      </c>
      <c r="BJ28" s="8">
        <v>1161.2043372332207</v>
      </c>
      <c r="BK28" s="8">
        <v>13.347176290037019</v>
      </c>
      <c r="BL28" s="8">
        <v>534.84134753091712</v>
      </c>
      <c r="BM28" s="8">
        <v>12.550566769187098</v>
      </c>
      <c r="BN28" s="8">
        <v>47.646606665424422</v>
      </c>
      <c r="BO28" s="8">
        <v>-0.9565730764237137</v>
      </c>
      <c r="BP28" s="8">
        <v>-8.903278787279012</v>
      </c>
      <c r="BQ28" s="8">
        <v>23.55970043391051</v>
      </c>
      <c r="BR28" s="69"/>
      <c r="BS28" s="14">
        <v>4.84</v>
      </c>
      <c r="BT28" s="14">
        <v>22.129729374202896</v>
      </c>
      <c r="BU28" s="14">
        <v>25.774587387163553</v>
      </c>
      <c r="BV28" s="14">
        <v>589.55497628150272</v>
      </c>
      <c r="BW28" s="14">
        <v>6.7764939802471575</v>
      </c>
      <c r="BX28" s="14">
        <v>7.8348796279077009</v>
      </c>
      <c r="BY28" s="14">
        <v>1154.7730682998883</v>
      </c>
      <c r="BZ28" s="14">
        <v>13.273253658619407</v>
      </c>
      <c r="CA28" s="14">
        <v>623.2819981635223</v>
      </c>
      <c r="CB28" s="14">
        <v>14.277573656232105</v>
      </c>
      <c r="CC28" s="14">
        <v>46.50674499099491</v>
      </c>
      <c r="CD28" s="14">
        <v>-0.86491360455742139</v>
      </c>
      <c r="CE28" s="14">
        <v>-7.9982576416750204</v>
      </c>
      <c r="CF28" s="14">
        <v>24.041709768449376</v>
      </c>
      <c r="CG28" s="69"/>
      <c r="CH28" s="14">
        <v>4.9400000000000004</v>
      </c>
      <c r="CI28" s="14">
        <v>22.049757180695494</v>
      </c>
      <c r="CJ28" s="14">
        <v>25.864538171000181</v>
      </c>
      <c r="CK28" s="14">
        <v>614.40670133437823</v>
      </c>
      <c r="CL28" s="14">
        <v>7.0621459923491754</v>
      </c>
      <c r="CM28" s="14">
        <v>7.3485411898261424</v>
      </c>
      <c r="CN28" s="14">
        <v>1128.7482380152217</v>
      </c>
      <c r="CO28" s="14">
        <v>12.974117678335881</v>
      </c>
      <c r="CP28" s="14">
        <v>488.55550251749253</v>
      </c>
      <c r="CQ28" s="14">
        <v>11.518078875805775</v>
      </c>
      <c r="CR28" s="14">
        <v>46.731136116175449</v>
      </c>
      <c r="CS28" s="14">
        <v>-0.96102693172986875</v>
      </c>
      <c r="CT28" s="14">
        <v>-9.0144918159531304</v>
      </c>
      <c r="CU28" s="14">
        <v>23.34024873485529</v>
      </c>
      <c r="CV28" s="69"/>
      <c r="CW28" s="14">
        <f t="shared" si="0"/>
        <v>-9.05077262693157</v>
      </c>
      <c r="CX28" s="8">
        <f t="shared" si="1"/>
        <v>4.0321694995949224</v>
      </c>
      <c r="CY28" s="8">
        <f t="shared" si="2"/>
        <v>3.8458356287330364</v>
      </c>
      <c r="CZ28" s="8">
        <f t="shared" si="3"/>
        <v>7.7229345171016437</v>
      </c>
      <c r="DA28" s="14">
        <f t="shared" si="4"/>
        <v>-3.0364372469635525</v>
      </c>
      <c r="DB28" s="14">
        <f t="shared" si="5"/>
        <v>4.79</v>
      </c>
    </row>
    <row r="29" spans="1:106" ht="15.75" x14ac:dyDescent="0.25">
      <c r="A29" s="10">
        <v>28</v>
      </c>
      <c r="B29" s="3" t="s">
        <v>88</v>
      </c>
      <c r="C29" s="3" t="s">
        <v>89</v>
      </c>
      <c r="D29" s="3">
        <v>74</v>
      </c>
      <c r="E29" s="3">
        <v>187</v>
      </c>
      <c r="F29" s="3">
        <v>18</v>
      </c>
      <c r="G29" s="11" t="s">
        <v>32</v>
      </c>
      <c r="H29" s="11" t="s">
        <v>63</v>
      </c>
      <c r="I29" s="11">
        <v>24</v>
      </c>
      <c r="J29" s="72"/>
      <c r="K29" s="8">
        <v>4.42</v>
      </c>
      <c r="L29" s="8">
        <v>23.869894482318532</v>
      </c>
      <c r="M29" s="8">
        <v>30.301079145355789</v>
      </c>
      <c r="N29" s="8">
        <v>620.52854320799145</v>
      </c>
      <c r="O29" s="8">
        <v>8.3855208541620474</v>
      </c>
      <c r="P29" s="8">
        <v>8.4452659029414878</v>
      </c>
      <c r="Q29" s="8">
        <v>1310.132136939101</v>
      </c>
      <c r="R29" s="8">
        <v>17.70448833701488</v>
      </c>
      <c r="S29" s="8">
        <v>623.59700780535991</v>
      </c>
      <c r="T29" s="8">
        <v>16.911119925840737</v>
      </c>
      <c r="U29" s="8">
        <v>62.205047311646865</v>
      </c>
      <c r="V29" s="8">
        <v>-0.99292561661573853</v>
      </c>
      <c r="W29" s="8">
        <v>-8.5621466453005919</v>
      </c>
      <c r="X29" s="8">
        <v>26.03868072574901</v>
      </c>
      <c r="Y29" s="69"/>
      <c r="Z29" s="8">
        <v>4.46</v>
      </c>
      <c r="AA29" s="8">
        <v>20.565996764052308</v>
      </c>
      <c r="AB29" s="8">
        <v>30.705701763469474</v>
      </c>
      <c r="AC29" s="8">
        <v>709.33859633557302</v>
      </c>
      <c r="AD29" s="8">
        <v>9.5856567072374723</v>
      </c>
      <c r="AE29" s="8">
        <v>7.4130470923051339</v>
      </c>
      <c r="AF29" s="8">
        <v>1314.5901047563061</v>
      </c>
      <c r="AG29" s="8">
        <v>17.764731145355487</v>
      </c>
      <c r="AH29" s="8">
        <v>438.55419396455289</v>
      </c>
      <c r="AI29" s="8">
        <v>18.409694456416801</v>
      </c>
      <c r="AJ29" s="8">
        <v>81.235661889715232</v>
      </c>
      <c r="AK29" s="8">
        <v>-1.2930791600106721</v>
      </c>
      <c r="AL29" s="8">
        <v>-9.5612215168455137</v>
      </c>
      <c r="AM29" s="8">
        <v>24.334703660450035</v>
      </c>
      <c r="AN29" s="69"/>
      <c r="AO29" s="8">
        <v>4.71</v>
      </c>
      <c r="AP29" s="8">
        <v>21.999187738223217</v>
      </c>
      <c r="AQ29" s="8">
        <v>28.287910956313159</v>
      </c>
      <c r="AR29" s="8">
        <v>587.3007857499374</v>
      </c>
      <c r="AS29" s="8">
        <v>7.9364971047288835</v>
      </c>
      <c r="AT29" s="8">
        <v>7.9173561549919409</v>
      </c>
      <c r="AU29" s="8">
        <v>1162.4673727222175</v>
      </c>
      <c r="AV29" s="8">
        <v>15.709018550300238</v>
      </c>
      <c r="AW29" s="8">
        <v>530.70440290998067</v>
      </c>
      <c r="AX29" s="8">
        <v>16.853509590751006</v>
      </c>
      <c r="AY29" s="8">
        <v>64.314417001482042</v>
      </c>
      <c r="AZ29" s="8">
        <v>-1.0024175936211828</v>
      </c>
      <c r="BA29" s="8">
        <v>-8.5257604964029827</v>
      </c>
      <c r="BB29" s="8">
        <v>24.755920231086481</v>
      </c>
      <c r="BC29" s="69"/>
      <c r="BD29" s="8">
        <v>4.74</v>
      </c>
      <c r="BE29" s="8">
        <v>21.295035955347618</v>
      </c>
      <c r="BF29" s="8">
        <v>24.944807857360257</v>
      </c>
      <c r="BG29" s="8">
        <v>499.12471572732835</v>
      </c>
      <c r="BH29" s="8">
        <v>6.7449285909098426</v>
      </c>
      <c r="BI29" s="8">
        <v>7.436008656679733</v>
      </c>
      <c r="BJ29" s="8">
        <v>927.87392672780607</v>
      </c>
      <c r="BK29" s="8">
        <v>12.538836847673055</v>
      </c>
      <c r="BL29" s="8">
        <v>478.82884930313588</v>
      </c>
      <c r="BM29" s="8">
        <v>13.511983016801219</v>
      </c>
      <c r="BN29" s="8">
        <v>45.929289499658147</v>
      </c>
      <c r="BO29" s="8">
        <v>-0.9070630364114628</v>
      </c>
      <c r="BP29" s="8">
        <v>-8.4432737475028876</v>
      </c>
      <c r="BQ29" s="8">
        <v>23.206859520257755</v>
      </c>
      <c r="BR29" s="69"/>
      <c r="BS29" s="14">
        <v>4.6100000000000003</v>
      </c>
      <c r="BT29" s="14">
        <v>21.236231890388211</v>
      </c>
      <c r="BU29" s="14">
        <v>25.443302099596362</v>
      </c>
      <c r="BV29" s="14">
        <v>482.30819433738583</v>
      </c>
      <c r="BW29" s="14">
        <v>6.5176783018565656</v>
      </c>
      <c r="BX29" s="14">
        <v>7.7888440374062053</v>
      </c>
      <c r="BY29" s="14">
        <v>939.15582591422526</v>
      </c>
      <c r="BZ29" s="14">
        <v>12.691294944786828</v>
      </c>
      <c r="CA29" s="14">
        <v>531.86202851220344</v>
      </c>
      <c r="CB29" s="14">
        <v>15.387331941380895</v>
      </c>
      <c r="CC29" s="14">
        <v>48.787396919087946</v>
      </c>
      <c r="CD29" s="14">
        <v>-0.83679661199469113</v>
      </c>
      <c r="CE29" s="14">
        <v>-7.6487395362343431</v>
      </c>
      <c r="CF29" s="14">
        <v>23.731166437502559</v>
      </c>
      <c r="CG29" s="69"/>
      <c r="CH29" s="14">
        <v>4.82</v>
      </c>
      <c r="CI29" s="14">
        <v>22.142645452514749</v>
      </c>
      <c r="CJ29" s="14">
        <v>27.116046780574997</v>
      </c>
      <c r="CK29" s="14">
        <v>469.99475777900108</v>
      </c>
      <c r="CL29" s="14">
        <v>6.351280510527042</v>
      </c>
      <c r="CM29" s="14">
        <v>7.3165866372838213</v>
      </c>
      <c r="CN29" s="14">
        <v>859.68934108982137</v>
      </c>
      <c r="CO29" s="14">
        <v>11.617423528240829</v>
      </c>
      <c r="CP29" s="14">
        <v>343.39031885580545</v>
      </c>
      <c r="CQ29" s="14">
        <v>9.9096996800690089</v>
      </c>
      <c r="CR29" s="14">
        <v>47.684467166159997</v>
      </c>
      <c r="CS29" s="14">
        <v>-0.86806605667214021</v>
      </c>
      <c r="CT29" s="14">
        <v>-8.1948887892487736</v>
      </c>
      <c r="CU29" s="14">
        <v>23.249829676011956</v>
      </c>
      <c r="CV29" s="69"/>
      <c r="CW29" s="14">
        <f t="shared" si="0"/>
        <v>-9.0497737556561173</v>
      </c>
      <c r="CX29" s="8">
        <f t="shared" si="1"/>
        <v>33.741832150825665</v>
      </c>
      <c r="CY29" s="8">
        <f t="shared" si="2"/>
        <v>1.605996239509961</v>
      </c>
      <c r="CZ29" s="8">
        <f t="shared" si="3"/>
        <v>34.604000290327193</v>
      </c>
      <c r="DA29" s="14">
        <f t="shared" si="4"/>
        <v>-4.0110650069156373</v>
      </c>
      <c r="DB29" s="14">
        <f t="shared" si="5"/>
        <v>4.626666666666666</v>
      </c>
    </row>
    <row r="30" spans="1:106" ht="15.75" x14ac:dyDescent="0.25">
      <c r="A30" s="10">
        <v>29</v>
      </c>
      <c r="B30" s="3" t="s">
        <v>90</v>
      </c>
      <c r="C30" s="3" t="s">
        <v>91</v>
      </c>
      <c r="D30" s="3">
        <v>95</v>
      </c>
      <c r="E30" s="3">
        <v>203</v>
      </c>
      <c r="F30" s="3">
        <v>16</v>
      </c>
      <c r="G30" s="11" t="s">
        <v>32</v>
      </c>
      <c r="H30" s="11" t="s">
        <v>63</v>
      </c>
      <c r="I30" s="11">
        <v>25</v>
      </c>
      <c r="J30" s="72"/>
      <c r="K30" s="8">
        <v>4.74</v>
      </c>
      <c r="L30" s="8">
        <v>22.174682366883957</v>
      </c>
      <c r="M30" s="8">
        <v>27.396125456866621</v>
      </c>
      <c r="N30" s="8">
        <v>713.47907652794061</v>
      </c>
      <c r="O30" s="8">
        <v>7.5103060687151642</v>
      </c>
      <c r="P30" s="8">
        <v>7.8621068917551709</v>
      </c>
      <c r="Q30" s="8">
        <v>1402.3621911733592</v>
      </c>
      <c r="R30" s="8">
        <v>14.761707275509044</v>
      </c>
      <c r="S30" s="8">
        <v>671.5933276338061</v>
      </c>
      <c r="T30" s="8">
        <v>15.48747091219122</v>
      </c>
      <c r="U30" s="8">
        <v>57.545743598954843</v>
      </c>
      <c r="V30" s="8">
        <v>-0.95525361994137559</v>
      </c>
      <c r="W30" s="8">
        <v>-8.4537810090569838</v>
      </c>
      <c r="X30" s="8">
        <v>24.53329060932268</v>
      </c>
      <c r="Y30" s="69"/>
      <c r="Z30" s="8">
        <v>4.79</v>
      </c>
      <c r="AA30" s="8">
        <v>21.381403125348282</v>
      </c>
      <c r="AB30" s="8">
        <v>27.031021333357351</v>
      </c>
      <c r="AC30" s="8">
        <v>633.83931704148904</v>
      </c>
      <c r="AD30" s="8">
        <v>6.6719928109630429</v>
      </c>
      <c r="AE30" s="8">
        <v>7.1594926819905291</v>
      </c>
      <c r="AF30" s="8">
        <v>1134.4919879791039</v>
      </c>
      <c r="AG30" s="8">
        <v>11.942020926095831</v>
      </c>
      <c r="AH30" s="8">
        <v>442.89231352759333</v>
      </c>
      <c r="AI30" s="8">
        <v>10.957797511729993</v>
      </c>
      <c r="AJ30" s="8">
        <v>54.196863458205804</v>
      </c>
      <c r="AK30" s="8">
        <v>-0.93190860125413999</v>
      </c>
      <c r="AL30" s="8">
        <v>-8.5813732554360644</v>
      </c>
      <c r="AM30" s="8">
        <v>22.929536805112221</v>
      </c>
      <c r="AN30" s="69"/>
      <c r="AO30" s="8">
        <v>5.17</v>
      </c>
      <c r="AP30" s="8">
        <v>19.989959494176457</v>
      </c>
      <c r="AQ30" s="8">
        <v>22.870879578529493</v>
      </c>
      <c r="AR30" s="8">
        <v>527.32669693419859</v>
      </c>
      <c r="AS30" s="8">
        <v>5.5508073361494592</v>
      </c>
      <c r="AT30" s="8">
        <v>7.1951724906290853</v>
      </c>
      <c r="AU30" s="8">
        <v>948.55163583881165</v>
      </c>
      <c r="AV30" s="8">
        <v>9.9847540614611745</v>
      </c>
      <c r="AW30" s="8">
        <v>541.40947177816054</v>
      </c>
      <c r="AX30" s="8">
        <v>12.53833015506641</v>
      </c>
      <c r="AY30" s="8">
        <v>39.905190155346638</v>
      </c>
      <c r="AZ30" s="8">
        <v>-0.7714627193967577</v>
      </c>
      <c r="BA30" s="8">
        <v>-7.3057870566415568</v>
      </c>
      <c r="BB30" s="8">
        <v>21.959048827887948</v>
      </c>
      <c r="BC30" s="69"/>
      <c r="BD30" s="8">
        <v>5.49</v>
      </c>
      <c r="BE30" s="8">
        <v>19.447385664354591</v>
      </c>
      <c r="BF30" s="8">
        <v>22.168244903079099</v>
      </c>
      <c r="BG30" s="8">
        <v>588.14291640854799</v>
      </c>
      <c r="BH30" s="8">
        <v>6.1909780674584001</v>
      </c>
      <c r="BI30" s="8">
        <v>6.3723479241652958</v>
      </c>
      <c r="BJ30" s="8">
        <v>936.9628231221335</v>
      </c>
      <c r="BK30" s="8">
        <v>9.8627665591803524</v>
      </c>
      <c r="BL30" s="8">
        <v>380.78806649669951</v>
      </c>
      <c r="BM30" s="8">
        <v>9.3393429792938694</v>
      </c>
      <c r="BN30" s="8">
        <v>40.206243469718686</v>
      </c>
      <c r="BO30" s="8">
        <v>-0.97153798586246387</v>
      </c>
      <c r="BP30" s="8">
        <v>-9.326815698196393</v>
      </c>
      <c r="BQ30" s="8">
        <v>20.717119639785867</v>
      </c>
      <c r="BR30" s="69"/>
      <c r="BS30" s="14">
        <v>5.51</v>
      </c>
      <c r="BT30" s="14">
        <v>18.516039101179484</v>
      </c>
      <c r="BU30" s="14">
        <v>20.473260269997549</v>
      </c>
      <c r="BV30" s="14">
        <v>403.47316898218833</v>
      </c>
      <c r="BW30" s="14">
        <v>4.2470859892861927</v>
      </c>
      <c r="BX30" s="14">
        <v>6.8632378505780798</v>
      </c>
      <c r="BY30" s="14">
        <v>692.28308126281013</v>
      </c>
      <c r="BZ30" s="14">
        <v>7.287190329082212</v>
      </c>
      <c r="CA30" s="14">
        <v>450.37409878540444</v>
      </c>
      <c r="CB30" s="14">
        <v>10.670184838037846</v>
      </c>
      <c r="CC30" s="14">
        <v>29.936829009693927</v>
      </c>
      <c r="CD30" s="14">
        <v>-0.6188166695881695</v>
      </c>
      <c r="CE30" s="14">
        <v>-6.0224338617633659</v>
      </c>
      <c r="CF30" s="14">
        <v>20.166630054933798</v>
      </c>
      <c r="CG30" s="69"/>
      <c r="CH30" s="14">
        <v>5.38</v>
      </c>
      <c r="CI30" s="14">
        <v>18.915197921046509</v>
      </c>
      <c r="CJ30" s="14">
        <v>22.187335795090409</v>
      </c>
      <c r="CK30" s="14">
        <v>580.9604839678957</v>
      </c>
      <c r="CL30" s="14">
        <v>6.1153735154515338</v>
      </c>
      <c r="CM30" s="14">
        <v>6.3174904061313688</v>
      </c>
      <c r="CN30" s="14">
        <v>917.55307095215448</v>
      </c>
      <c r="CO30" s="14">
        <v>9.6584533784437312</v>
      </c>
      <c r="CP30" s="14">
        <v>379.88064913719825</v>
      </c>
      <c r="CQ30" s="14">
        <v>10.115932872979721</v>
      </c>
      <c r="CR30" s="14">
        <v>44.759079586658785</v>
      </c>
      <c r="CS30" s="14">
        <v>-0.96800677520876455</v>
      </c>
      <c r="CT30" s="14">
        <v>-9.1647670943331772</v>
      </c>
      <c r="CU30" s="14">
        <v>20.542385654118107</v>
      </c>
      <c r="CV30" s="69"/>
      <c r="CW30" s="14">
        <f t="shared" si="0"/>
        <v>-16.244725738396614</v>
      </c>
      <c r="CX30" s="8">
        <f t="shared" si="1"/>
        <v>8.3426243295242095</v>
      </c>
      <c r="CY30" s="8">
        <f t="shared" si="2"/>
        <v>11.760641616090894</v>
      </c>
      <c r="CZ30" s="8">
        <f t="shared" si="3"/>
        <v>19.122119796842956</v>
      </c>
      <c r="DA30" s="14">
        <f t="shared" si="4"/>
        <v>-5.9891107078039791</v>
      </c>
      <c r="DB30" s="14">
        <f t="shared" si="5"/>
        <v>5.1800000000000006</v>
      </c>
    </row>
    <row r="31" spans="1:106" ht="15.75" x14ac:dyDescent="0.25">
      <c r="A31" s="10">
        <v>30</v>
      </c>
      <c r="B31" s="3" t="s">
        <v>92</v>
      </c>
      <c r="C31" s="3" t="s">
        <v>93</v>
      </c>
      <c r="D31" s="3">
        <v>96</v>
      </c>
      <c r="E31" s="3">
        <v>190</v>
      </c>
      <c r="F31" s="3">
        <v>17</v>
      </c>
      <c r="G31" s="11" t="s">
        <v>32</v>
      </c>
      <c r="H31" s="11" t="s">
        <v>63</v>
      </c>
      <c r="I31" s="11">
        <v>25</v>
      </c>
      <c r="J31" s="72"/>
      <c r="K31" s="8">
        <v>4.6500000000000004</v>
      </c>
      <c r="L31" s="8">
        <v>22.64158672816594</v>
      </c>
      <c r="M31" s="8">
        <v>26.840372184364181</v>
      </c>
      <c r="N31" s="8">
        <v>671.07806125447462</v>
      </c>
      <c r="O31" s="8">
        <v>6.9903964714007776</v>
      </c>
      <c r="P31" s="8">
        <v>8.1538010207651723</v>
      </c>
      <c r="Q31" s="8">
        <v>1367.959245217462</v>
      </c>
      <c r="R31" s="8">
        <v>14.249575471015229</v>
      </c>
      <c r="S31" s="8">
        <v>754.74347346441095</v>
      </c>
      <c r="T31" s="8">
        <v>15.52334879392601</v>
      </c>
      <c r="U31" s="8">
        <v>49.56467252215392</v>
      </c>
      <c r="V31" s="8">
        <v>-0.85731752020909424</v>
      </c>
      <c r="W31" s="8">
        <v>-7.8085052286092473</v>
      </c>
      <c r="X31" s="8">
        <v>24.821771719506579</v>
      </c>
      <c r="Y31" s="69"/>
      <c r="Z31" s="8">
        <v>4.7300000000000004</v>
      </c>
      <c r="AA31" s="8">
        <v>22.058163064084955</v>
      </c>
      <c r="AB31" s="8">
        <v>27.040790267388996</v>
      </c>
      <c r="AC31" s="8">
        <v>710.4654838660399</v>
      </c>
      <c r="AD31" s="8">
        <v>7.4006821236045823</v>
      </c>
      <c r="AE31" s="8">
        <v>7.5410919009685182</v>
      </c>
      <c r="AF31" s="8">
        <v>1339.4213765749682</v>
      </c>
      <c r="AG31" s="8">
        <v>13.952306005989252</v>
      </c>
      <c r="AH31" s="8">
        <v>589.51503412232807</v>
      </c>
      <c r="AI31" s="8">
        <v>13.339779302964667</v>
      </c>
      <c r="AJ31" s="8">
        <v>54.442571602880328</v>
      </c>
      <c r="AK31" s="8">
        <v>-0.98138070995449556</v>
      </c>
      <c r="AL31" s="8">
        <v>-8.9097739345927174</v>
      </c>
      <c r="AM31" s="8">
        <v>23.891736132807996</v>
      </c>
      <c r="AN31" s="69"/>
      <c r="AO31" s="8">
        <v>4.76</v>
      </c>
      <c r="AP31" s="8">
        <v>22.349353602050208</v>
      </c>
      <c r="AQ31" s="8">
        <v>26.459928620565297</v>
      </c>
      <c r="AR31" s="8">
        <v>676.01052251273745</v>
      </c>
      <c r="AS31" s="8">
        <v>7.0417762761743488</v>
      </c>
      <c r="AT31" s="8">
        <v>7.9076610877672664</v>
      </c>
      <c r="AU31" s="8">
        <v>1336.4155259487979</v>
      </c>
      <c r="AV31" s="8">
        <v>13.920995061966645</v>
      </c>
      <c r="AW31" s="8">
        <v>696.95296507247258</v>
      </c>
      <c r="AX31" s="8">
        <v>14.698322250336219</v>
      </c>
      <c r="AY31" s="8">
        <v>49.778745129046307</v>
      </c>
      <c r="AZ31" s="8">
        <v>-0.89050051564142063</v>
      </c>
      <c r="BA31" s="8">
        <v>-8.1374503575415105</v>
      </c>
      <c r="BB31" s="8">
        <v>24.410437949655293</v>
      </c>
      <c r="BC31" s="69"/>
      <c r="BD31" s="8">
        <v>4.8499999999999996</v>
      </c>
      <c r="BE31" s="8">
        <v>22.098871662480622</v>
      </c>
      <c r="BF31" s="8">
        <v>26.717516123736445</v>
      </c>
      <c r="BG31" s="8">
        <v>683.7775719477944</v>
      </c>
      <c r="BH31" s="8">
        <v>7.1226830411228583</v>
      </c>
      <c r="BI31" s="8">
        <v>7.3943508794579422</v>
      </c>
      <c r="BJ31" s="8">
        <v>1264.0228226214474</v>
      </c>
      <c r="BK31" s="8">
        <v>13.166904402306743</v>
      </c>
      <c r="BL31" s="8">
        <v>525.82038125303336</v>
      </c>
      <c r="BM31" s="8">
        <v>11.734824778819849</v>
      </c>
      <c r="BN31" s="8">
        <v>51.146541293199157</v>
      </c>
      <c r="BO31" s="8">
        <v>-0.96326008289790588</v>
      </c>
      <c r="BP31" s="8">
        <v>-8.9149554840516458</v>
      </c>
      <c r="BQ31" s="8">
        <v>23.54504577183803</v>
      </c>
      <c r="BR31" s="69"/>
      <c r="BS31" s="14">
        <v>4.87</v>
      </c>
      <c r="BT31" s="14">
        <v>22.159294689183856</v>
      </c>
      <c r="BU31" s="14">
        <v>25.649870608034689</v>
      </c>
      <c r="BV31" s="14">
        <v>685.22591619148852</v>
      </c>
      <c r="BW31" s="14">
        <v>7.1377699603280051</v>
      </c>
      <c r="BX31" s="14">
        <v>7.4553869728363971</v>
      </c>
      <c r="BY31" s="14">
        <v>1277.156092255977</v>
      </c>
      <c r="BZ31" s="14">
        <v>13.303709294333094</v>
      </c>
      <c r="CA31" s="14">
        <v>588.08725437563885</v>
      </c>
      <c r="CB31" s="14">
        <v>12.213733396430271</v>
      </c>
      <c r="CC31" s="14">
        <v>45.273049384407834</v>
      </c>
      <c r="CD31" s="14">
        <v>-0.9573976490200139</v>
      </c>
      <c r="CE31" s="14">
        <v>-8.9822353737432454</v>
      </c>
      <c r="CF31" s="14">
        <v>23.592112718158774</v>
      </c>
      <c r="CG31" s="69"/>
      <c r="CH31" s="14">
        <v>5.03</v>
      </c>
      <c r="CI31" s="14">
        <v>20.430709930278947</v>
      </c>
      <c r="CJ31" s="14">
        <v>24.348503706834617</v>
      </c>
      <c r="CK31" s="14">
        <v>640.72148312072636</v>
      </c>
      <c r="CL31" s="14">
        <v>6.6741821158408996</v>
      </c>
      <c r="CM31" s="14">
        <v>7.0217859203792807</v>
      </c>
      <c r="CN31" s="14">
        <v>1124.7522722654119</v>
      </c>
      <c r="CO31" s="14">
        <v>11.716169502764707</v>
      </c>
      <c r="CP31" s="14">
        <v>514.55018627468053</v>
      </c>
      <c r="CQ31" s="14">
        <v>12.458194497583262</v>
      </c>
      <c r="CR31" s="14">
        <v>49.188367731663071</v>
      </c>
      <c r="CS31" s="14">
        <v>-0.95049638247592616</v>
      </c>
      <c r="CT31" s="14">
        <v>-8.7985142225754487</v>
      </c>
      <c r="CU31" s="14">
        <v>22.367932438110032</v>
      </c>
      <c r="CV31" s="69"/>
      <c r="CW31" s="14">
        <f t="shared" si="0"/>
        <v>-8.1720430107526862</v>
      </c>
      <c r="CX31" s="8">
        <f t="shared" si="1"/>
        <v>9.8166627836439631</v>
      </c>
      <c r="CY31" s="8">
        <f t="shared" si="2"/>
        <v>6.8863499796699461</v>
      </c>
      <c r="CZ31" s="8">
        <f t="shared" si="3"/>
        <v>16.027003007708167</v>
      </c>
      <c r="DA31" s="14">
        <f t="shared" si="4"/>
        <v>-4.2743538767395561</v>
      </c>
      <c r="DB31" s="14">
        <f t="shared" si="5"/>
        <v>4.8150000000000004</v>
      </c>
    </row>
    <row r="32" spans="1:106" ht="15.75" x14ac:dyDescent="0.25">
      <c r="A32" s="10">
        <v>31</v>
      </c>
      <c r="B32" s="3" t="s">
        <v>94</v>
      </c>
      <c r="C32" s="3" t="s">
        <v>95</v>
      </c>
      <c r="D32" s="3">
        <v>78</v>
      </c>
      <c r="E32" s="3">
        <v>192</v>
      </c>
      <c r="F32" s="3">
        <v>16</v>
      </c>
      <c r="G32" s="11" t="s">
        <v>32</v>
      </c>
      <c r="H32" s="11" t="s">
        <v>63</v>
      </c>
      <c r="I32" s="11">
        <v>25</v>
      </c>
      <c r="J32" s="72"/>
      <c r="K32" s="8">
        <v>4.66</v>
      </c>
      <c r="L32" s="8">
        <v>22.634394981358717</v>
      </c>
      <c r="M32" s="8">
        <v>27.324599426557253</v>
      </c>
      <c r="N32" s="8">
        <v>568.65349515004368</v>
      </c>
      <c r="O32" s="8">
        <v>7.2904294250005597</v>
      </c>
      <c r="P32" s="8">
        <v>7.6220926371612663</v>
      </c>
      <c r="Q32" s="8">
        <v>1083.582404619792</v>
      </c>
      <c r="R32" s="8">
        <v>13.892082110510154</v>
      </c>
      <c r="S32" s="8">
        <v>476.11174101555673</v>
      </c>
      <c r="T32" s="8">
        <v>12.406284436220856</v>
      </c>
      <c r="U32" s="8">
        <v>50.515941802089358</v>
      </c>
      <c r="V32" s="8">
        <v>-0.95648659391205815</v>
      </c>
      <c r="W32" s="8">
        <v>-8.8504282974393096</v>
      </c>
      <c r="X32" s="8">
        <v>24.090295216364421</v>
      </c>
      <c r="Y32" s="69"/>
      <c r="Z32" s="8">
        <v>4.83</v>
      </c>
      <c r="AA32" s="8">
        <v>22.538313002566138</v>
      </c>
      <c r="AB32" s="8">
        <v>27.457025119077759</v>
      </c>
      <c r="AC32" s="8">
        <v>554.02575076423511</v>
      </c>
      <c r="AD32" s="8">
        <v>7.1028942405671165</v>
      </c>
      <c r="AE32" s="8">
        <v>7.5379379943232818</v>
      </c>
      <c r="AF32" s="8">
        <v>1044.0529391298021</v>
      </c>
      <c r="AG32" s="8">
        <v>13.385294091407719</v>
      </c>
      <c r="AH32" s="8">
        <v>433.80065753357371</v>
      </c>
      <c r="AI32" s="8">
        <v>11.668683912223864</v>
      </c>
      <c r="AJ32" s="8">
        <v>51.831376565299202</v>
      </c>
      <c r="AK32" s="8">
        <v>-0.94228610608315067</v>
      </c>
      <c r="AL32" s="8">
        <v>-8.7100689225521979</v>
      </c>
      <c r="AM32" s="8">
        <v>23.807514471279177</v>
      </c>
      <c r="AN32" s="69"/>
      <c r="AO32" s="8">
        <v>5.1100000000000003</v>
      </c>
      <c r="AP32" s="8">
        <v>20.472872170603008</v>
      </c>
      <c r="AQ32" s="8">
        <v>23.634458165688965</v>
      </c>
      <c r="AR32" s="8">
        <v>436.90427672314866</v>
      </c>
      <c r="AS32" s="8">
        <v>5.6013368810660085</v>
      </c>
      <c r="AT32" s="8">
        <v>7.5178762197002085</v>
      </c>
      <c r="AU32" s="8">
        <v>821.14806806556965</v>
      </c>
      <c r="AV32" s="8">
        <v>10.527539334173969</v>
      </c>
      <c r="AW32" s="8">
        <v>485.51518807565867</v>
      </c>
      <c r="AX32" s="8">
        <v>13.456687989370812</v>
      </c>
      <c r="AY32" s="8">
        <v>41.774664020981383</v>
      </c>
      <c r="AZ32" s="8">
        <v>-0.74506904840864441</v>
      </c>
      <c r="BA32" s="8">
        <v>-6.9944510769435011</v>
      </c>
      <c r="BB32" s="8">
        <v>22.620603972019936</v>
      </c>
      <c r="BC32" s="69"/>
      <c r="BD32" s="8">
        <v>5.18</v>
      </c>
      <c r="BE32" s="8">
        <v>20.701490727068858</v>
      </c>
      <c r="BF32" s="8">
        <v>25.58915063259979</v>
      </c>
      <c r="BG32" s="8">
        <v>421.24733333605337</v>
      </c>
      <c r="BH32" s="8">
        <v>5.4006068376417096</v>
      </c>
      <c r="BI32" s="8">
        <v>6.780769827921147</v>
      </c>
      <c r="BJ32" s="8">
        <v>714.09530199433823</v>
      </c>
      <c r="BK32" s="8">
        <v>9.1550679742863874</v>
      </c>
      <c r="BL32" s="8">
        <v>263.11573938571519</v>
      </c>
      <c r="BM32" s="8">
        <v>8.0715676532487102</v>
      </c>
      <c r="BN32" s="8">
        <v>45.70183557558353</v>
      </c>
      <c r="BO32" s="8">
        <v>-0.79645924794610368</v>
      </c>
      <c r="BP32" s="8">
        <v>-7.6080823062194938</v>
      </c>
      <c r="BQ32" s="8">
        <v>21.710244538841668</v>
      </c>
      <c r="BR32" s="69"/>
      <c r="BS32" s="14">
        <v>5.29</v>
      </c>
      <c r="BT32" s="14">
        <v>19.664113692035951</v>
      </c>
      <c r="BU32" s="14">
        <v>22.864478375394057</v>
      </c>
      <c r="BV32" s="14">
        <v>489.11894223689711</v>
      </c>
      <c r="BW32" s="14">
        <v>6.2707556697038092</v>
      </c>
      <c r="BX32" s="14">
        <v>6.6720417271154124</v>
      </c>
      <c r="BY32" s="14">
        <v>815.85549803178264</v>
      </c>
      <c r="BZ32" s="14">
        <v>10.459685872202341</v>
      </c>
      <c r="CA32" s="14">
        <v>371.08324333272674</v>
      </c>
      <c r="CB32" s="14">
        <v>11.181636278301147</v>
      </c>
      <c r="CC32" s="14">
        <v>44.323793173199171</v>
      </c>
      <c r="CD32" s="14">
        <v>-0.93985558336951613</v>
      </c>
      <c r="CE32" s="14">
        <v>-8.8651861152316123</v>
      </c>
      <c r="CF32" s="14">
        <v>21.353939567518292</v>
      </c>
      <c r="CG32" s="69"/>
      <c r="CH32" s="14">
        <v>5.3</v>
      </c>
      <c r="CI32" s="14">
        <v>20.495274808554804</v>
      </c>
      <c r="CJ32" s="14">
        <v>23.873973729551533</v>
      </c>
      <c r="CK32" s="14">
        <v>509.73162469475022</v>
      </c>
      <c r="CL32" s="14">
        <v>6.5350208294198744</v>
      </c>
      <c r="CM32" s="14">
        <v>6.7797606186174226</v>
      </c>
      <c r="CN32" s="14">
        <v>863.96459879233589</v>
      </c>
      <c r="CO32" s="14">
        <v>11.076469215286357</v>
      </c>
      <c r="CP32" s="14">
        <v>355.87244050789144</v>
      </c>
      <c r="CQ32" s="14">
        <v>10.297427639920583</v>
      </c>
      <c r="CR32" s="14">
        <v>44.914434687089795</v>
      </c>
      <c r="CS32" s="14">
        <v>-0.96390141142660934</v>
      </c>
      <c r="CT32" s="14">
        <v>-9.1218711994290622</v>
      </c>
      <c r="CU32" s="14">
        <v>21.816878891221936</v>
      </c>
      <c r="CV32" s="69"/>
      <c r="CW32" s="14">
        <f t="shared" si="0"/>
        <v>-13.733905579399133</v>
      </c>
      <c r="CX32" s="8">
        <f t="shared" si="1"/>
        <v>23.966109381201925</v>
      </c>
      <c r="CY32" s="8">
        <f t="shared" si="2"/>
        <v>10.058153519925902</v>
      </c>
      <c r="CZ32" s="8">
        <f t="shared" si="3"/>
        <v>31.603535105267476</v>
      </c>
      <c r="DA32" s="14">
        <f t="shared" si="4"/>
        <v>-4.4968553459119427</v>
      </c>
      <c r="DB32" s="14">
        <f t="shared" si="5"/>
        <v>5.0616666666666665</v>
      </c>
    </row>
    <row r="33" spans="1:106" ht="15.75" x14ac:dyDescent="0.25">
      <c r="A33" s="10">
        <v>32</v>
      </c>
      <c r="B33" s="3" t="s">
        <v>96</v>
      </c>
      <c r="C33" s="3" t="s">
        <v>97</v>
      </c>
      <c r="D33" s="3">
        <v>75</v>
      </c>
      <c r="E33" s="3">
        <v>190</v>
      </c>
      <c r="F33" s="3">
        <v>17</v>
      </c>
      <c r="G33" s="11" t="s">
        <v>32</v>
      </c>
      <c r="H33" s="11" t="s">
        <v>63</v>
      </c>
      <c r="I33" s="11">
        <v>25</v>
      </c>
      <c r="J33" s="72"/>
      <c r="K33" s="8">
        <v>4.55</v>
      </c>
      <c r="L33" s="8">
        <v>22.321639182303443</v>
      </c>
      <c r="M33" s="8">
        <v>29.816348582216065</v>
      </c>
      <c r="N33" s="8">
        <v>641.40680042750512</v>
      </c>
      <c r="O33" s="8">
        <v>8.5520906723667345</v>
      </c>
      <c r="P33" s="8">
        <v>8.2191444632610118</v>
      </c>
      <c r="Q33" s="8">
        <v>1317.9537881079223</v>
      </c>
      <c r="R33" s="8">
        <v>17.572717174772297</v>
      </c>
      <c r="S33" s="8">
        <v>590.34660324909657</v>
      </c>
      <c r="T33" s="8">
        <v>19.027123181962018</v>
      </c>
      <c r="U33" s="8">
        <v>70.171800179141158</v>
      </c>
      <c r="V33" s="8">
        <v>-1.0405086211337404</v>
      </c>
      <c r="W33" s="8">
        <v>-8.4235826099630291</v>
      </c>
      <c r="X33" s="8">
        <v>25.654226058827611</v>
      </c>
      <c r="Y33" s="69"/>
      <c r="Z33" s="8">
        <v>4.41</v>
      </c>
      <c r="AA33" s="8">
        <v>23.671885258987459</v>
      </c>
      <c r="AB33" s="8">
        <v>31.037824804537514</v>
      </c>
      <c r="AC33" s="8">
        <v>573.58700870593668</v>
      </c>
      <c r="AD33" s="8">
        <v>7.6478267827458222</v>
      </c>
      <c r="AE33" s="8">
        <v>8.0848580080545904</v>
      </c>
      <c r="AF33" s="8">
        <v>1159.3423801630677</v>
      </c>
      <c r="AG33" s="8">
        <v>15.457898402174235</v>
      </c>
      <c r="AH33" s="8">
        <v>485.24582260352588</v>
      </c>
      <c r="AI33" s="8">
        <v>13.495227495257364</v>
      </c>
      <c r="AJ33" s="8">
        <v>60.919907246996175</v>
      </c>
      <c r="AK33" s="8">
        <v>-0.9459444773336313</v>
      </c>
      <c r="AL33" s="8">
        <v>-8.3935711640310569</v>
      </c>
      <c r="AM33" s="8">
        <v>25.338574715228518</v>
      </c>
      <c r="AN33" s="69"/>
      <c r="AO33" s="8">
        <v>4.83</v>
      </c>
      <c r="AP33" s="8">
        <v>21.624138371573849</v>
      </c>
      <c r="AQ33" s="8">
        <v>26.261855282373716</v>
      </c>
      <c r="AR33" s="8">
        <v>509.8023187067663</v>
      </c>
      <c r="AS33" s="8">
        <v>6.7973642494235511</v>
      </c>
      <c r="AT33" s="8">
        <v>7.9162402791914577</v>
      </c>
      <c r="AU33" s="8">
        <v>1008.929412442926</v>
      </c>
      <c r="AV33" s="8">
        <v>13.45239216590568</v>
      </c>
      <c r="AW33" s="8">
        <v>539.66699348941779</v>
      </c>
      <c r="AX33" s="8">
        <v>15.789739731131421</v>
      </c>
      <c r="AY33" s="8">
        <v>53.368245975090531</v>
      </c>
      <c r="AZ33" s="8">
        <v>-0.85866067851566241</v>
      </c>
      <c r="BA33" s="8">
        <v>-7.6973050058567862</v>
      </c>
      <c r="BB33" s="8">
        <v>24.179701089648518</v>
      </c>
      <c r="BC33" s="69"/>
      <c r="BD33" s="8">
        <v>4.8099999999999996</v>
      </c>
      <c r="BE33" s="8">
        <v>22.026563741960583</v>
      </c>
      <c r="BF33" s="8">
        <v>27.760829372396636</v>
      </c>
      <c r="BG33" s="8">
        <v>577.69114747799472</v>
      </c>
      <c r="BH33" s="8">
        <v>7.70254863303993</v>
      </c>
      <c r="BI33" s="8">
        <v>7.6674791534914108</v>
      </c>
      <c r="BJ33" s="8">
        <v>1107.3587076110141</v>
      </c>
      <c r="BK33" s="8">
        <v>14.764782768146855</v>
      </c>
      <c r="BL33" s="8">
        <v>481.84162779775511</v>
      </c>
      <c r="BM33" s="8">
        <v>14.689256052448597</v>
      </c>
      <c r="BN33" s="8">
        <v>60.738951836507361</v>
      </c>
      <c r="BO33" s="8">
        <v>-1.0045737952261078</v>
      </c>
      <c r="BP33" s="8">
        <v>-8.8176432175993806</v>
      </c>
      <c r="BQ33" s="8">
        <v>24.147426316406502</v>
      </c>
      <c r="BR33" s="69"/>
      <c r="BS33" s="14">
        <v>4.93</v>
      </c>
      <c r="BT33" s="14">
        <v>21.477336639795741</v>
      </c>
      <c r="BU33" s="14">
        <v>25.283686685344609</v>
      </c>
      <c r="BV33" s="14">
        <v>479.86125656666724</v>
      </c>
      <c r="BW33" s="14">
        <v>6.398150087555563</v>
      </c>
      <c r="BX33" s="14">
        <v>7.7845147478956473</v>
      </c>
      <c r="BY33" s="14">
        <v>933.87175717173955</v>
      </c>
      <c r="BZ33" s="14">
        <v>12.451623428956527</v>
      </c>
      <c r="CA33" s="14">
        <v>519.13351360864942</v>
      </c>
      <c r="CB33" s="14">
        <v>14.589241796013962</v>
      </c>
      <c r="CC33" s="14">
        <v>47.509342815387257</v>
      </c>
      <c r="CD33" s="14">
        <v>-0.82190737570188832</v>
      </c>
      <c r="CE33" s="14">
        <v>-7.5583303013856371</v>
      </c>
      <c r="CF33" s="14">
        <v>23.681534343017596</v>
      </c>
      <c r="CG33" s="69"/>
      <c r="CH33" s="14">
        <v>4.71</v>
      </c>
      <c r="CI33" s="14">
        <v>22.480559656708287</v>
      </c>
      <c r="CJ33" s="14">
        <v>27.963791013943258</v>
      </c>
      <c r="CK33" s="14">
        <v>532.3571172894724</v>
      </c>
      <c r="CL33" s="14">
        <v>7.0980948971929649</v>
      </c>
      <c r="CM33" s="14">
        <v>7.5611782241540197</v>
      </c>
      <c r="CN33" s="14">
        <v>1006.3117606806416</v>
      </c>
      <c r="CO33" s="14">
        <v>13.417490142408553</v>
      </c>
      <c r="CP33" s="14">
        <v>418.009344809249</v>
      </c>
      <c r="CQ33" s="14">
        <v>11.925207270098131</v>
      </c>
      <c r="CR33" s="14">
        <v>53.821003733261541</v>
      </c>
      <c r="CS33" s="14">
        <v>-0.93875513666881405</v>
      </c>
      <c r="CT33" s="14">
        <v>-8.6168194907929454</v>
      </c>
      <c r="CU33" s="14">
        <v>23.904338226013031</v>
      </c>
      <c r="CV33" s="69"/>
      <c r="CW33" s="14">
        <f t="shared" si="0"/>
        <v>-11.791383219954639</v>
      </c>
      <c r="CX33" s="8">
        <f t="shared" si="1"/>
        <v>7.8474510794280832</v>
      </c>
      <c r="CY33" s="8">
        <f t="shared" si="2"/>
        <v>6.4772910467796887</v>
      </c>
      <c r="CZ33" s="8">
        <f t="shared" si="3"/>
        <v>13.199777917279414</v>
      </c>
      <c r="DA33" s="14">
        <f t="shared" si="4"/>
        <v>-4.5300878972278413</v>
      </c>
      <c r="DB33" s="14">
        <f t="shared" si="5"/>
        <v>4.706666666666667</v>
      </c>
    </row>
    <row r="34" spans="1:106" ht="15.75" x14ac:dyDescent="0.25">
      <c r="A34" s="10">
        <v>33</v>
      </c>
      <c r="B34" s="3" t="s">
        <v>98</v>
      </c>
      <c r="C34" s="3" t="s">
        <v>99</v>
      </c>
      <c r="D34" s="3">
        <v>85</v>
      </c>
      <c r="E34" s="3">
        <v>194</v>
      </c>
      <c r="F34" s="3">
        <v>16</v>
      </c>
      <c r="G34" s="11" t="s">
        <v>32</v>
      </c>
      <c r="H34" s="11" t="s">
        <v>63</v>
      </c>
      <c r="I34" s="11">
        <v>25</v>
      </c>
      <c r="J34" s="72"/>
      <c r="K34" s="8">
        <v>4.55</v>
      </c>
      <c r="L34" s="8">
        <v>23.477479790821295</v>
      </c>
      <c r="M34" s="8">
        <v>28.899526048445342</v>
      </c>
      <c r="N34" s="8">
        <v>660.53017854466054</v>
      </c>
      <c r="O34" s="8">
        <v>7.7709432769960065</v>
      </c>
      <c r="P34" s="8">
        <v>8.4975404524663585</v>
      </c>
      <c r="Q34" s="8">
        <v>1403.2204780645197</v>
      </c>
      <c r="R34" s="8">
        <v>16.50847621252376</v>
      </c>
      <c r="S34" s="8">
        <v>734.06719226384223</v>
      </c>
      <c r="T34" s="8">
        <v>17.190792305808589</v>
      </c>
      <c r="U34" s="8">
        <v>57.675573905435584</v>
      </c>
      <c r="V34" s="8">
        <v>-0.91449323724496512</v>
      </c>
      <c r="W34" s="8">
        <v>-8.0129145911138036</v>
      </c>
      <c r="X34" s="8">
        <v>25.873864311444279</v>
      </c>
      <c r="Y34" s="69"/>
      <c r="Z34" s="8">
        <v>4.5199999999999996</v>
      </c>
      <c r="AA34" s="8">
        <v>23.462456285439227</v>
      </c>
      <c r="AB34" s="8">
        <v>28.693744939582157</v>
      </c>
      <c r="AC34" s="8">
        <v>595.62446072156763</v>
      </c>
      <c r="AD34" s="8">
        <v>7.0073465967243251</v>
      </c>
      <c r="AE34" s="8">
        <v>7.8038468025886853</v>
      </c>
      <c r="AF34" s="8">
        <v>1162.0405108364039</v>
      </c>
      <c r="AG34" s="8">
        <v>13.671064833369458</v>
      </c>
      <c r="AH34" s="8">
        <v>489.60985680864076</v>
      </c>
      <c r="AI34" s="8">
        <v>11.273051220644032</v>
      </c>
      <c r="AJ34" s="8">
        <v>48.971231259422531</v>
      </c>
      <c r="AK34" s="8">
        <v>-0.89793492542675957</v>
      </c>
      <c r="AL34" s="8">
        <v>-8.4041040886613665</v>
      </c>
      <c r="AM34" s="8">
        <v>24.584708669970755</v>
      </c>
      <c r="AN34" s="69"/>
      <c r="AO34" s="8">
        <v>4.78</v>
      </c>
      <c r="AP34" s="8">
        <v>22.193868812260476</v>
      </c>
      <c r="AQ34" s="8">
        <v>25.977315325241428</v>
      </c>
      <c r="AR34" s="8">
        <v>572.96873272716925</v>
      </c>
      <c r="AS34" s="8">
        <v>6.7408086203196387</v>
      </c>
      <c r="AT34" s="8">
        <v>7.9387603099106769</v>
      </c>
      <c r="AU34" s="8">
        <v>1137.1653585485676</v>
      </c>
      <c r="AV34" s="8">
        <v>13.378415982924325</v>
      </c>
      <c r="AW34" s="8">
        <v>626.34478724905546</v>
      </c>
      <c r="AX34" s="8">
        <v>14.707260986179564</v>
      </c>
      <c r="AY34" s="8">
        <v>47.194720844260488</v>
      </c>
      <c r="AZ34" s="8">
        <v>-0.84910091212912309</v>
      </c>
      <c r="BA34" s="8">
        <v>-7.8189863525219687</v>
      </c>
      <c r="BB34" s="8">
        <v>24.221665197540105</v>
      </c>
      <c r="BC34" s="69"/>
      <c r="BD34" s="8">
        <v>4.9400000000000004</v>
      </c>
      <c r="BE34" s="8">
        <v>22.142462773136728</v>
      </c>
      <c r="BF34" s="8">
        <v>26.031011424655205</v>
      </c>
      <c r="BG34" s="8">
        <v>565.52008428375211</v>
      </c>
      <c r="BH34" s="8">
        <v>6.6531774621617892</v>
      </c>
      <c r="BI34" s="8">
        <v>7.2413748365567079</v>
      </c>
      <c r="BJ34" s="8">
        <v>1023.7857269749478</v>
      </c>
      <c r="BK34" s="8">
        <v>12.04453796441115</v>
      </c>
      <c r="BL34" s="8">
        <v>410.43802653156678</v>
      </c>
      <c r="BM34" s="8">
        <v>9.8754475370993173</v>
      </c>
      <c r="BN34" s="8">
        <v>43.910952204393261</v>
      </c>
      <c r="BO34" s="8">
        <v>-0.91877269335299216</v>
      </c>
      <c r="BP34" s="8">
        <v>-8.7513408261188594</v>
      </c>
      <c r="BQ34" s="8">
        <v>23.133959133492745</v>
      </c>
      <c r="BR34" s="69"/>
      <c r="BS34" s="14">
        <v>4.92</v>
      </c>
      <c r="BT34" s="14">
        <v>21.889034936008258</v>
      </c>
      <c r="BU34" s="14">
        <v>25.632906894108078</v>
      </c>
      <c r="BV34" s="14">
        <v>601.80583186651631</v>
      </c>
      <c r="BW34" s="14">
        <v>7.08006861019431</v>
      </c>
      <c r="BX34" s="14">
        <v>7.3794327851462569</v>
      </c>
      <c r="BY34" s="14">
        <v>1110.2464214919967</v>
      </c>
      <c r="BZ34" s="14">
        <v>13.061722605788196</v>
      </c>
      <c r="CA34" s="14">
        <v>502.97491195945656</v>
      </c>
      <c r="CB34" s="14">
        <v>12.193943418316158</v>
      </c>
      <c r="CC34" s="14">
        <v>47.061609366040344</v>
      </c>
      <c r="CD34" s="14">
        <v>-0.95943263070916152</v>
      </c>
      <c r="CE34" s="14">
        <v>-8.9587867147593609</v>
      </c>
      <c r="CF34" s="14">
        <v>23.372829777324466</v>
      </c>
      <c r="CG34" s="69"/>
      <c r="CH34" s="14">
        <v>4.83</v>
      </c>
      <c r="CI34" s="14">
        <v>21.18720370777379</v>
      </c>
      <c r="CJ34" s="14">
        <v>25.173261204173361</v>
      </c>
      <c r="CK34" s="14">
        <v>551.97766167184398</v>
      </c>
      <c r="CL34" s="14">
        <v>6.4938548431981644</v>
      </c>
      <c r="CM34" s="14">
        <v>6.9772025716438639</v>
      </c>
      <c r="CN34" s="14">
        <v>962.81499012668917</v>
      </c>
      <c r="CO34" s="14">
        <v>11.327235177961049</v>
      </c>
      <c r="CP34" s="14">
        <v>392.34214514880711</v>
      </c>
      <c r="CQ34" s="14">
        <v>10.00463974605171</v>
      </c>
      <c r="CR34" s="14">
        <v>44.270201453130873</v>
      </c>
      <c r="CS34" s="14">
        <v>-0.93072471044339811</v>
      </c>
      <c r="CT34" s="14">
        <v>-8.855185515861157</v>
      </c>
      <c r="CU34" s="14">
        <v>22.46779123150667</v>
      </c>
      <c r="CV34" s="69"/>
      <c r="CW34" s="8">
        <f t="shared" si="0"/>
        <v>-9.2920353982301069</v>
      </c>
      <c r="CX34" s="8">
        <f t="shared" si="1"/>
        <v>7.3279057406151287</v>
      </c>
      <c r="CY34" s="8">
        <f t="shared" si="2"/>
        <v>10.592778816091158</v>
      </c>
      <c r="CZ34" s="8">
        <f t="shared" si="3"/>
        <v>17.144455709751284</v>
      </c>
      <c r="DA34" s="8">
        <f t="shared" si="4"/>
        <v>-3.7112010796221284</v>
      </c>
      <c r="DB34" s="8">
        <f t="shared" si="5"/>
        <v>4.7566666666666668</v>
      </c>
    </row>
    <row r="35" spans="1:106" ht="15.75" x14ac:dyDescent="0.25">
      <c r="A35" s="10">
        <v>34</v>
      </c>
      <c r="B35" s="3" t="s">
        <v>100</v>
      </c>
      <c r="C35" s="3" t="s">
        <v>101</v>
      </c>
      <c r="D35" s="3">
        <v>83</v>
      </c>
      <c r="E35" s="3">
        <v>199</v>
      </c>
      <c r="F35" s="3">
        <v>16</v>
      </c>
      <c r="G35" s="11" t="s">
        <v>32</v>
      </c>
      <c r="H35" s="11" t="s">
        <v>63</v>
      </c>
      <c r="I35" s="11">
        <v>25</v>
      </c>
      <c r="J35" s="72"/>
      <c r="K35" s="8">
        <v>4.78</v>
      </c>
      <c r="L35" s="8">
        <v>20.774496566337273</v>
      </c>
      <c r="M35" s="8">
        <v>25.095549126028487</v>
      </c>
      <c r="N35" s="8">
        <v>538.84397698820908</v>
      </c>
      <c r="O35" s="8">
        <v>6.4920961082916753</v>
      </c>
      <c r="P35" s="8">
        <v>7.5744064936814297</v>
      </c>
      <c r="Q35" s="8">
        <v>1020.3558295951544</v>
      </c>
      <c r="R35" s="8">
        <v>12.293443730062101</v>
      </c>
      <c r="S35" s="8">
        <v>548.75416236696708</v>
      </c>
      <c r="T35" s="8">
        <v>14.986859788803603</v>
      </c>
      <c r="U35" s="8">
        <v>50.593938078445269</v>
      </c>
      <c r="V35" s="8">
        <v>-0.85710954563996289</v>
      </c>
      <c r="W35" s="8">
        <v>-7.7970421330126705</v>
      </c>
      <c r="X35" s="8">
        <v>23.301658050193858</v>
      </c>
      <c r="Y35" s="69"/>
      <c r="Z35" s="8">
        <v>4.8499999999999996</v>
      </c>
      <c r="AA35" s="8">
        <v>21.392104736174165</v>
      </c>
      <c r="AB35" s="8">
        <v>25.611024779926986</v>
      </c>
      <c r="AC35" s="8">
        <v>578.52403607569363</v>
      </c>
      <c r="AD35" s="8">
        <v>6.9701691093457061</v>
      </c>
      <c r="AE35" s="8">
        <v>7.2139373848239661</v>
      </c>
      <c r="AF35" s="8">
        <v>1043.3590429664239</v>
      </c>
      <c r="AG35" s="8">
        <v>12.57059087911354</v>
      </c>
      <c r="AH35" s="8">
        <v>456.11507854689478</v>
      </c>
      <c r="AI35" s="8">
        <v>11.970012599814218</v>
      </c>
      <c r="AJ35" s="8">
        <v>49.252303473488467</v>
      </c>
      <c r="AK35" s="8">
        <v>-0.96620870649763635</v>
      </c>
      <c r="AL35" s="8">
        <v>-8.9818417749680428</v>
      </c>
      <c r="AM35" s="8">
        <v>22.99619224837673</v>
      </c>
      <c r="AN35" s="69"/>
      <c r="AO35" s="8">
        <v>5.03</v>
      </c>
      <c r="AP35" s="8">
        <v>20.116162897137574</v>
      </c>
      <c r="AQ35" s="8">
        <v>23.978838503629735</v>
      </c>
      <c r="AR35" s="8">
        <v>527.61633796973524</v>
      </c>
      <c r="AS35" s="8">
        <v>6.3568233490329549</v>
      </c>
      <c r="AT35" s="8">
        <v>7.1236229917618363</v>
      </c>
      <c r="AU35" s="8">
        <v>939.63496899759741</v>
      </c>
      <c r="AV35" s="8">
        <v>11.320903240934909</v>
      </c>
      <c r="AW35" s="8">
        <v>471.62246167199925</v>
      </c>
      <c r="AX35" s="8">
        <v>13.353616378948026</v>
      </c>
      <c r="AY35" s="8">
        <v>48.593675488358187</v>
      </c>
      <c r="AZ35" s="8">
        <v>-0.89235819419196494</v>
      </c>
      <c r="BA35" s="8">
        <v>-8.2328888159532667</v>
      </c>
      <c r="BB35" s="8">
        <v>22.344009825564186</v>
      </c>
      <c r="BC35" s="69"/>
      <c r="BD35" s="8">
        <v>5.21</v>
      </c>
      <c r="BE35" s="8">
        <v>20.67892273488437</v>
      </c>
      <c r="BF35" s="8">
        <v>24.377764490644733</v>
      </c>
      <c r="BG35" s="8">
        <v>554.49367893472572</v>
      </c>
      <c r="BH35" s="8">
        <v>6.6806467341533216</v>
      </c>
      <c r="BI35" s="8">
        <v>6.9156038935757822</v>
      </c>
      <c r="BJ35" s="8">
        <v>958.66466125103727</v>
      </c>
      <c r="BK35" s="8">
        <v>11.550176641578762</v>
      </c>
      <c r="BL35" s="8">
        <v>404.1773405765577</v>
      </c>
      <c r="BM35" s="8">
        <v>11.0657706468604</v>
      </c>
      <c r="BN35" s="8">
        <v>47.582288348765729</v>
      </c>
      <c r="BO35" s="8">
        <v>-0.96602506982206959</v>
      </c>
      <c r="BP35" s="8">
        <v>-9.0459338919243493</v>
      </c>
      <c r="BQ35" s="8">
        <v>22.149852573864987</v>
      </c>
      <c r="BR35" s="69"/>
      <c r="BS35" s="14">
        <v>5.37</v>
      </c>
      <c r="BT35" s="14">
        <v>19.081633032488629</v>
      </c>
      <c r="BU35" s="14">
        <v>22.514245200949507</v>
      </c>
      <c r="BV35" s="14">
        <v>509.54537470101263</v>
      </c>
      <c r="BW35" s="14">
        <v>6.1391009000122008</v>
      </c>
      <c r="BX35" s="14">
        <v>6.5321487961319482</v>
      </c>
      <c r="BY35" s="14">
        <v>832.10655148195553</v>
      </c>
      <c r="BZ35" s="14">
        <v>10.025380138336814</v>
      </c>
      <c r="CA35" s="14">
        <v>372.48809052668599</v>
      </c>
      <c r="CB35" s="14">
        <v>11.331819449333457</v>
      </c>
      <c r="CC35" s="14">
        <v>46.700683151899348</v>
      </c>
      <c r="CD35" s="14">
        <v>-0.93982869827575044</v>
      </c>
      <c r="CE35" s="14">
        <v>-8.7976654941038621</v>
      </c>
      <c r="CF35" s="14">
        <v>20.954037157976543</v>
      </c>
      <c r="CG35" s="69"/>
      <c r="CH35" s="14">
        <v>5.27</v>
      </c>
      <c r="CI35" s="14">
        <v>20.028641785035962</v>
      </c>
      <c r="CJ35" s="14">
        <v>23.675574558071467</v>
      </c>
      <c r="CK35" s="14">
        <v>515.22925961326598</v>
      </c>
      <c r="CL35" s="14">
        <v>6.2075814411236863</v>
      </c>
      <c r="CM35" s="14">
        <v>6.5754220425132894</v>
      </c>
      <c r="CN35" s="14">
        <v>846.96245765221784</v>
      </c>
      <c r="CO35" s="14">
        <v>10.204366959665276</v>
      </c>
      <c r="CP35" s="14">
        <v>328.93569478091024</v>
      </c>
      <c r="CQ35" s="14">
        <v>9.3958107746189921</v>
      </c>
      <c r="CR35" s="14">
        <v>44.916157075901168</v>
      </c>
      <c r="CS35" s="14">
        <v>-0.94405825222908391</v>
      </c>
      <c r="CT35" s="14">
        <v>-8.9751816243359865</v>
      </c>
      <c r="CU35" s="14">
        <v>21.335527206417666</v>
      </c>
      <c r="CV35" s="69"/>
      <c r="CW35" s="8">
        <f t="shared" si="0"/>
        <v>-12.34309623430962</v>
      </c>
      <c r="CX35" s="8">
        <f t="shared" si="1"/>
        <v>10.940734094952315</v>
      </c>
      <c r="CY35" s="8">
        <f t="shared" si="2"/>
        <v>8.8511350771345452</v>
      </c>
      <c r="CZ35" s="8">
        <f t="shared" si="3"/>
        <v>18.823490018912519</v>
      </c>
      <c r="DA35" s="8">
        <f t="shared" si="4"/>
        <v>-5.3072625698323828</v>
      </c>
      <c r="DB35" s="8">
        <f t="shared" si="5"/>
        <v>5.085</v>
      </c>
    </row>
    <row r="36" spans="1:106" ht="15.75" x14ac:dyDescent="0.25">
      <c r="A36" s="10">
        <v>35</v>
      </c>
      <c r="B36" s="3" t="s">
        <v>102</v>
      </c>
      <c r="C36" s="3" t="s">
        <v>103</v>
      </c>
      <c r="D36" s="3">
        <v>77</v>
      </c>
      <c r="E36" s="3">
        <v>183</v>
      </c>
      <c r="F36" s="3">
        <v>28</v>
      </c>
      <c r="G36" s="12" t="s">
        <v>32</v>
      </c>
      <c r="H36" s="12" t="s">
        <v>63</v>
      </c>
      <c r="I36" s="12">
        <v>25</v>
      </c>
      <c r="J36" s="72"/>
      <c r="K36" s="8">
        <v>4.76</v>
      </c>
      <c r="L36" s="8">
        <v>21.219728991615163</v>
      </c>
      <c r="M36" s="8">
        <v>24.466092470202597</v>
      </c>
      <c r="N36" s="8">
        <v>484.32036249575651</v>
      </c>
      <c r="O36" s="8">
        <v>6.2898748376072273</v>
      </c>
      <c r="P36" s="8">
        <v>7.5738908867676322</v>
      </c>
      <c r="Q36" s="8">
        <v>917.0473949456516</v>
      </c>
      <c r="R36" s="8">
        <v>11.909706427865606</v>
      </c>
      <c r="S36" s="8">
        <v>518.48140913958446</v>
      </c>
      <c r="T36" s="8">
        <v>13.739575907111544</v>
      </c>
      <c r="U36" s="8">
        <v>42.510458180655149</v>
      </c>
      <c r="V36" s="8">
        <v>-0.83046810835316975</v>
      </c>
      <c r="W36" s="8">
        <v>-7.7871284512640617</v>
      </c>
      <c r="X36" s="8">
        <v>23.17698955516823</v>
      </c>
      <c r="Y36" s="69"/>
      <c r="Z36" s="8">
        <v>4.8099999999999996</v>
      </c>
      <c r="AA36" s="8">
        <v>21.028401655229999</v>
      </c>
      <c r="AB36" s="8">
        <v>24.615706703044228</v>
      </c>
      <c r="AC36" s="8">
        <v>446.53064976458717</v>
      </c>
      <c r="AD36" s="8">
        <v>5.7990993475920414</v>
      </c>
      <c r="AE36" s="8">
        <v>6.7908957295363228</v>
      </c>
      <c r="AF36" s="8">
        <v>758.08577064835356</v>
      </c>
      <c r="AG36" s="8">
        <v>9.8452697486799163</v>
      </c>
      <c r="AH36" s="8">
        <v>293.42204591113386</v>
      </c>
      <c r="AI36" s="8">
        <v>8.0801211604103163</v>
      </c>
      <c r="AJ36" s="8">
        <v>37.066353019287014</v>
      </c>
      <c r="AK36" s="8">
        <v>-0.85395205265329543</v>
      </c>
      <c r="AL36" s="8">
        <v>-8.3166971263233176</v>
      </c>
      <c r="AM36" s="8">
        <v>21.987593472011277</v>
      </c>
      <c r="AN36" s="69"/>
      <c r="AO36" s="8">
        <v>4.87</v>
      </c>
      <c r="AP36" s="8">
        <v>20.375572907460494</v>
      </c>
      <c r="AQ36" s="8">
        <v>23.260417525086773</v>
      </c>
      <c r="AR36" s="8">
        <v>501.08124098744418</v>
      </c>
      <c r="AS36" s="8">
        <v>6.5075485842525218</v>
      </c>
      <c r="AT36" s="8">
        <v>6.6787017418605084</v>
      </c>
      <c r="AU36" s="8">
        <v>836.64303924911712</v>
      </c>
      <c r="AV36" s="8">
        <v>10.8654940162223</v>
      </c>
      <c r="AW36" s="8">
        <v>355.95591675321685</v>
      </c>
      <c r="AX36" s="8">
        <v>9.8605801372984967</v>
      </c>
      <c r="AY36" s="8">
        <v>38.401057978752618</v>
      </c>
      <c r="AZ36" s="8">
        <v>-0.97437328926739797</v>
      </c>
      <c r="BA36" s="8">
        <v>-9.3928736057478357</v>
      </c>
      <c r="BB36" s="8">
        <v>21.618392849050231</v>
      </c>
      <c r="BC36" s="69"/>
      <c r="BD36" s="8">
        <v>4.91</v>
      </c>
      <c r="BE36" s="8">
        <v>20.906133745809516</v>
      </c>
      <c r="BF36" s="8">
        <v>24.298826196302809</v>
      </c>
      <c r="BG36" s="8">
        <v>452.80599110598587</v>
      </c>
      <c r="BH36" s="8">
        <v>5.8805972870907253</v>
      </c>
      <c r="BI36" s="8">
        <v>6.7374023912695895</v>
      </c>
      <c r="BJ36" s="8">
        <v>762.68404181466644</v>
      </c>
      <c r="BK36" s="8">
        <v>9.9049875560346283</v>
      </c>
      <c r="BL36" s="8">
        <v>292.55398741727845</v>
      </c>
      <c r="BM36" s="8">
        <v>8.0885032573048274</v>
      </c>
      <c r="BN36" s="8">
        <v>37.066668537076865</v>
      </c>
      <c r="BO36" s="8">
        <v>-0.8728285688726084</v>
      </c>
      <c r="BP36" s="8">
        <v>-8.4974986035606985</v>
      </c>
      <c r="BQ36" s="8">
        <v>21.859652069899205</v>
      </c>
      <c r="BR36" s="69"/>
      <c r="BS36" s="14">
        <v>5.01</v>
      </c>
      <c r="BT36" s="14">
        <v>19.895938083364715</v>
      </c>
      <c r="BU36" s="14">
        <v>22.249614530659599</v>
      </c>
      <c r="BV36" s="14">
        <v>492.75689023474439</v>
      </c>
      <c r="BW36" s="14">
        <v>6.399440132918758</v>
      </c>
      <c r="BX36" s="14">
        <v>6.5733260450600213</v>
      </c>
      <c r="BY36" s="14">
        <v>809.76292511570682</v>
      </c>
      <c r="BZ36" s="14">
        <v>10.516401624879309</v>
      </c>
      <c r="CA36" s="14">
        <v>367.47407833826645</v>
      </c>
      <c r="CB36" s="14">
        <v>10.152581049490893</v>
      </c>
      <c r="CC36" s="14">
        <v>35.871339190841994</v>
      </c>
      <c r="CD36" s="14">
        <v>-0.97354673859941288</v>
      </c>
      <c r="CE36" s="14">
        <v>-9.4127954126573936</v>
      </c>
      <c r="CF36" s="14">
        <v>21.162886703433504</v>
      </c>
      <c r="CG36" s="69"/>
      <c r="CH36" s="14">
        <v>4.9800000000000004</v>
      </c>
      <c r="CI36" s="14">
        <v>20.366590802670732</v>
      </c>
      <c r="CJ36" s="14">
        <v>23.133999311612115</v>
      </c>
      <c r="CK36" s="14">
        <v>485.12773398751335</v>
      </c>
      <c r="CL36" s="14">
        <v>6.3003601816560177</v>
      </c>
      <c r="CM36" s="14">
        <v>6.5680913956092741</v>
      </c>
      <c r="CN36" s="14">
        <v>796.59082384370276</v>
      </c>
      <c r="CO36" s="14">
        <v>10.345335374593542</v>
      </c>
      <c r="CP36" s="14">
        <v>314.82405759807705</v>
      </c>
      <c r="CQ36" s="14">
        <v>8.7083512015454314</v>
      </c>
      <c r="CR36" s="14">
        <v>36.187373207480832</v>
      </c>
      <c r="CS36" s="14">
        <v>-0.95923759311080303</v>
      </c>
      <c r="CT36" s="14">
        <v>-9.3278630175322679</v>
      </c>
      <c r="CU36" s="14">
        <v>21.413037445468831</v>
      </c>
      <c r="CV36" s="69"/>
      <c r="CW36" s="8">
        <f>100*((MIN(CH36,BS36,BD36,AO36,Z36,K36)-MAX(CH36,BS36,BD36,AO36,Z36,K36))/(MIN(CH36,BS36,BD36,AO36,Z36,K36)))</f>
        <v>-5.2521008403361344</v>
      </c>
      <c r="CX36" s="8">
        <f t="shared" si="1"/>
        <v>7.9560663138503696</v>
      </c>
      <c r="CY36" s="8">
        <f t="shared" si="2"/>
        <v>3.2809270352655169</v>
      </c>
      <c r="CZ36" s="8">
        <f t="shared" si="3"/>
        <v>4.833730447653787</v>
      </c>
      <c r="DA36" s="8">
        <f t="shared" si="4"/>
        <v>-2.3952095808383311</v>
      </c>
      <c r="DB36" s="8">
        <f t="shared" si="5"/>
        <v>4.8899999999999997</v>
      </c>
    </row>
    <row r="37" spans="1:106" ht="15.75" x14ac:dyDescent="0.25">
      <c r="A37" s="10">
        <v>36</v>
      </c>
      <c r="B37" s="3" t="s">
        <v>104</v>
      </c>
      <c r="C37" s="3" t="s">
        <v>105</v>
      </c>
      <c r="D37" s="3">
        <v>73</v>
      </c>
      <c r="E37" s="3">
        <v>190</v>
      </c>
      <c r="F37" s="3">
        <v>17</v>
      </c>
      <c r="G37" s="12" t="s">
        <v>45</v>
      </c>
      <c r="H37" s="12" t="s">
        <v>63</v>
      </c>
      <c r="I37" s="12">
        <v>26</v>
      </c>
      <c r="J37" s="72"/>
      <c r="K37" s="8">
        <v>4.5999999999999996</v>
      </c>
      <c r="L37" s="8">
        <v>22.168159182047255</v>
      </c>
      <c r="M37" s="8">
        <v>27.931548127069831</v>
      </c>
      <c r="N37" s="8">
        <v>562.81948804618912</v>
      </c>
      <c r="O37" s="8">
        <v>7.7098560006327279</v>
      </c>
      <c r="P37" s="8">
        <v>7.7408393185624034</v>
      </c>
      <c r="Q37" s="8">
        <v>1089.1738055802759</v>
      </c>
      <c r="R37" s="8">
        <v>14.920189117538026</v>
      </c>
      <c r="S37" s="8">
        <v>494.5211113786475</v>
      </c>
      <c r="T37" s="8">
        <v>14.958256962891392</v>
      </c>
      <c r="U37" s="8">
        <v>59.118645468001198</v>
      </c>
      <c r="V37" s="8">
        <v>-0.99599742138357295</v>
      </c>
      <c r="W37" s="8">
        <v>-8.8058940589880894</v>
      </c>
      <c r="X37" s="8">
        <v>24.354508671862202</v>
      </c>
      <c r="Y37" s="69"/>
      <c r="Z37" s="8">
        <v>4.7699999999999996</v>
      </c>
      <c r="AA37" s="8">
        <v>19.581065091976068</v>
      </c>
      <c r="AB37" s="8">
        <v>29.50648428582555</v>
      </c>
      <c r="AC37" s="8">
        <v>645.9204866591615</v>
      </c>
      <c r="AD37" s="8">
        <v>8.8482258446460484</v>
      </c>
      <c r="AE37" s="8">
        <v>6.8931391131532864</v>
      </c>
      <c r="AF37" s="8">
        <v>1113.1049426443178</v>
      </c>
      <c r="AG37" s="8">
        <v>15.248012912935861</v>
      </c>
      <c r="AH37" s="8">
        <v>325.93862842455326</v>
      </c>
      <c r="AI37" s="8">
        <v>15.581431848123227</v>
      </c>
      <c r="AJ37" s="8">
        <v>81.659195800451698</v>
      </c>
      <c r="AK37" s="8">
        <v>-1.2836279232725942</v>
      </c>
      <c r="AL37" s="8">
        <v>-9.6322732898777161</v>
      </c>
      <c r="AM37" s="8">
        <v>22.86901189969792</v>
      </c>
      <c r="AN37" s="69"/>
      <c r="AO37" s="8">
        <v>4.9400000000000004</v>
      </c>
      <c r="AP37" s="8">
        <v>21.844659147456156</v>
      </c>
      <c r="AQ37" s="8">
        <v>27.202315881861711</v>
      </c>
      <c r="AR37" s="8">
        <v>443.19605463592421</v>
      </c>
      <c r="AS37" s="8">
        <v>6.0711788306290986</v>
      </c>
      <c r="AT37" s="8">
        <v>7.2257251459288021</v>
      </c>
      <c r="AU37" s="8">
        <v>800.60321913980817</v>
      </c>
      <c r="AV37" s="8">
        <v>10.967167385476824</v>
      </c>
      <c r="AW37" s="8">
        <v>309.86895123041961</v>
      </c>
      <c r="AX37" s="8">
        <v>9.4959876239583743</v>
      </c>
      <c r="AY37" s="8">
        <v>49.422564238761169</v>
      </c>
      <c r="AZ37" s="8">
        <v>-0.8402172388261665</v>
      </c>
      <c r="BA37" s="8">
        <v>-7.9053677045921908</v>
      </c>
      <c r="BB37" s="8">
        <v>22.949858757499019</v>
      </c>
      <c r="BC37" s="69"/>
      <c r="BD37" s="8">
        <v>4.93</v>
      </c>
      <c r="BE37" s="8">
        <v>20.893259106782065</v>
      </c>
      <c r="BF37" s="8">
        <v>26.376781951888454</v>
      </c>
      <c r="BG37" s="8">
        <v>449.22518493099767</v>
      </c>
      <c r="BH37" s="8">
        <v>6.1537696565890094</v>
      </c>
      <c r="BI37" s="8">
        <v>6.9551579718312295</v>
      </c>
      <c r="BJ37" s="8">
        <v>781.10803153004667</v>
      </c>
      <c r="BK37" s="8">
        <v>10.700110020959544</v>
      </c>
      <c r="BL37" s="8">
        <v>298.51871569094186</v>
      </c>
      <c r="BM37" s="8">
        <v>9.8817098804246601</v>
      </c>
      <c r="BN37" s="8">
        <v>52.003402017716049</v>
      </c>
      <c r="BO37" s="8">
        <v>-0.88477784135344018</v>
      </c>
      <c r="BP37" s="8">
        <v>-8.2451403730815986</v>
      </c>
      <c r="BQ37" s="8">
        <v>22.342244971696051</v>
      </c>
      <c r="BR37" s="69"/>
      <c r="BS37" s="14">
        <v>5.04</v>
      </c>
      <c r="BT37" s="14">
        <v>20.891013458157403</v>
      </c>
      <c r="BU37" s="14">
        <v>25.168813228669034</v>
      </c>
      <c r="BV37" s="14">
        <v>504.15043002700821</v>
      </c>
      <c r="BW37" s="14">
        <v>6.9061702743425784</v>
      </c>
      <c r="BX37" s="14">
        <v>7.1096133202986067</v>
      </c>
      <c r="BY37" s="14">
        <v>896.07865318857205</v>
      </c>
      <c r="BZ37" s="14">
        <v>12.275050043679069</v>
      </c>
      <c r="CA37" s="14">
        <v>390.25372236511816</v>
      </c>
      <c r="CB37" s="14">
        <v>12.298873451011348</v>
      </c>
      <c r="CC37" s="14">
        <v>51.597711781882914</v>
      </c>
      <c r="CD37" s="14">
        <v>-0.97138479453232995</v>
      </c>
      <c r="CE37" s="14">
        <v>-8.937771595595251</v>
      </c>
      <c r="CF37" s="14">
        <v>22.665213816930031</v>
      </c>
      <c r="CG37" s="69"/>
      <c r="CH37" s="14">
        <v>4.99</v>
      </c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69"/>
      <c r="CW37" s="8">
        <f t="shared" si="0"/>
        <v>-9.5652173913043566</v>
      </c>
      <c r="CX37" s="8">
        <f t="shared" si="1"/>
        <v>30.451937319021088</v>
      </c>
      <c r="CY37" s="8">
        <f t="shared" si="2"/>
        <v>0.89169590294171419</v>
      </c>
      <c r="CZ37" s="8">
        <f t="shared" si="3"/>
        <v>29.826200423256736</v>
      </c>
      <c r="DA37" s="8">
        <f t="shared" si="4"/>
        <v>-3.2076719576719537</v>
      </c>
      <c r="DB37" s="8">
        <f t="shared" si="5"/>
        <v>4.878333333333333</v>
      </c>
    </row>
    <row r="38" spans="1:106" ht="15.75" x14ac:dyDescent="0.25">
      <c r="A38" s="10">
        <v>37</v>
      </c>
      <c r="B38" s="3" t="s">
        <v>106</v>
      </c>
      <c r="C38" s="3" t="s">
        <v>107</v>
      </c>
      <c r="D38" s="3">
        <v>65</v>
      </c>
      <c r="E38" s="3">
        <v>182</v>
      </c>
      <c r="F38" s="3">
        <v>17</v>
      </c>
      <c r="G38" s="12" t="s">
        <v>32</v>
      </c>
      <c r="H38" s="12" t="s">
        <v>63</v>
      </c>
      <c r="I38" s="12">
        <v>26</v>
      </c>
      <c r="J38" s="72"/>
      <c r="K38" s="8">
        <v>4.43</v>
      </c>
      <c r="L38" s="8">
        <v>24.017922383355735</v>
      </c>
      <c r="M38" s="8">
        <v>29.604915941792811</v>
      </c>
      <c r="N38" s="8">
        <v>510.76023964434944</v>
      </c>
      <c r="O38" s="8">
        <v>7.8578498406822987</v>
      </c>
      <c r="P38" s="8">
        <v>8.2061852544596707</v>
      </c>
      <c r="Q38" s="8">
        <v>1047.8482867834371</v>
      </c>
      <c r="R38" s="8">
        <v>16.12074287359134</v>
      </c>
      <c r="S38" s="8">
        <v>481.70849529858339</v>
      </c>
      <c r="T38" s="8">
        <v>14.132132966912719</v>
      </c>
      <c r="U38" s="8">
        <v>54.78369305093873</v>
      </c>
      <c r="V38" s="8">
        <v>-0.95755208992045726</v>
      </c>
      <c r="W38" s="8">
        <v>-8.6697182919038305</v>
      </c>
      <c r="X38" s="8">
        <v>25.542020246064077</v>
      </c>
      <c r="Y38" s="69"/>
      <c r="Z38" s="8">
        <v>4.57</v>
      </c>
      <c r="AA38" s="8">
        <v>22.96535096973167</v>
      </c>
      <c r="AB38" s="8">
        <v>27.751469010834036</v>
      </c>
      <c r="AC38" s="8">
        <v>486.624417571496</v>
      </c>
      <c r="AD38" s="8">
        <v>7.4865295010999384</v>
      </c>
      <c r="AE38" s="8">
        <v>8.200126959179963</v>
      </c>
      <c r="AF38" s="8">
        <v>997.59550138081806</v>
      </c>
      <c r="AG38" s="8">
        <v>15.347623098166432</v>
      </c>
      <c r="AH38" s="8">
        <v>525.22676345022069</v>
      </c>
      <c r="AI38" s="8">
        <v>16.005539398333564</v>
      </c>
      <c r="AJ38" s="8">
        <v>53.575504301283736</v>
      </c>
      <c r="AK38" s="8">
        <v>-0.91297726710424232</v>
      </c>
      <c r="AL38" s="8">
        <v>-8.1906826738343685</v>
      </c>
      <c r="AM38" s="8">
        <v>25.11812030093224</v>
      </c>
      <c r="AN38" s="69"/>
      <c r="AO38" s="8">
        <v>4.6500000000000004</v>
      </c>
      <c r="AP38" s="8">
        <v>22.906170229615071</v>
      </c>
      <c r="AQ38" s="8">
        <v>26.545933726514427</v>
      </c>
      <c r="AR38" s="8">
        <v>430.19278489722188</v>
      </c>
      <c r="AS38" s="8">
        <v>6.618350536880337</v>
      </c>
      <c r="AT38" s="8">
        <v>8.3942769306472371</v>
      </c>
      <c r="AU38" s="8">
        <v>902.78934249840972</v>
      </c>
      <c r="AV38" s="8">
        <v>13.889066807667842</v>
      </c>
      <c r="AW38" s="8">
        <v>546.6864272536576</v>
      </c>
      <c r="AX38" s="8">
        <v>15.691331517881336</v>
      </c>
      <c r="AY38" s="8">
        <v>45.204169953772883</v>
      </c>
      <c r="AZ38" s="8">
        <v>-0.78843604893674057</v>
      </c>
      <c r="BA38" s="8">
        <v>-7.2703478387853417</v>
      </c>
      <c r="BB38" s="8">
        <v>24.955062252466419</v>
      </c>
      <c r="BC38" s="69"/>
      <c r="BD38" s="8">
        <v>4.79</v>
      </c>
      <c r="BE38" s="8">
        <v>22.277235343781122</v>
      </c>
      <c r="BF38" s="8">
        <v>26.595346669193464</v>
      </c>
      <c r="BG38" s="8">
        <v>471.08160511881294</v>
      </c>
      <c r="BH38" s="8">
        <v>7.247409309520199</v>
      </c>
      <c r="BI38" s="8">
        <v>7.7842700756855789</v>
      </c>
      <c r="BJ38" s="8">
        <v>916.75661048307654</v>
      </c>
      <c r="BK38" s="8">
        <v>14.103947853585794</v>
      </c>
      <c r="BL38" s="8">
        <v>455.84537645418635</v>
      </c>
      <c r="BM38" s="8">
        <v>14.394439371142559</v>
      </c>
      <c r="BN38" s="8">
        <v>51.406067323506541</v>
      </c>
      <c r="BO38" s="8">
        <v>-0.93103261308439444</v>
      </c>
      <c r="BP38" s="8">
        <v>-8.4831824932541977</v>
      </c>
      <c r="BQ38" s="8">
        <v>24.169127063259822</v>
      </c>
      <c r="BR38" s="69"/>
      <c r="BS38" s="14">
        <v>4.74</v>
      </c>
      <c r="BT38" s="14">
        <v>22.420685624429044</v>
      </c>
      <c r="BU38" s="14">
        <v>26.548813647082401</v>
      </c>
      <c r="BV38" s="14">
        <v>456.32649972782735</v>
      </c>
      <c r="BW38" s="14">
        <v>7.0204076881204207</v>
      </c>
      <c r="BX38" s="14">
        <v>8.0072280004840142</v>
      </c>
      <c r="BY38" s="14">
        <v>913.47758149588003</v>
      </c>
      <c r="BZ38" s="14">
        <v>14.05350125378277</v>
      </c>
      <c r="CA38" s="14">
        <v>492.72356002254884</v>
      </c>
      <c r="CB38" s="14">
        <v>15.155665490152689</v>
      </c>
      <c r="CC38" s="14">
        <v>49.775596300238803</v>
      </c>
      <c r="CD38" s="14">
        <v>-0.87675880937773443</v>
      </c>
      <c r="CE38" s="14">
        <v>-7.9951109601767163</v>
      </c>
      <c r="CF38" s="14">
        <v>24.474573428562813</v>
      </c>
      <c r="CG38" s="69"/>
      <c r="CH38" s="14">
        <v>4.8</v>
      </c>
      <c r="CI38" s="14">
        <v>21.867050104130886</v>
      </c>
      <c r="CJ38" s="14">
        <v>26.829730597447508</v>
      </c>
      <c r="CK38" s="14">
        <v>479.88311918861035</v>
      </c>
      <c r="CL38" s="14">
        <v>7.3828172182863128</v>
      </c>
      <c r="CM38" s="14">
        <v>7.6480561929372204</v>
      </c>
      <c r="CN38" s="14">
        <v>917.5432653991204</v>
      </c>
      <c r="CO38" s="14">
        <v>14.116050236909544</v>
      </c>
      <c r="CP38" s="14">
        <v>431.1473330864581</v>
      </c>
      <c r="CQ38" s="14">
        <v>14.558229487248475</v>
      </c>
      <c r="CR38" s="14">
        <v>55.754982684922425</v>
      </c>
      <c r="CS38" s="14">
        <v>-0.96531942653666036</v>
      </c>
      <c r="CT38" s="14">
        <v>-8.6549355745545391</v>
      </c>
      <c r="CU38" s="14">
        <v>23.977994843447782</v>
      </c>
      <c r="CV38" s="69"/>
      <c r="CW38" s="8">
        <f t="shared" si="0"/>
        <v>-8.3521444695259621</v>
      </c>
      <c r="CX38" s="8">
        <f t="shared" si="1"/>
        <v>3.1940058680675376</v>
      </c>
      <c r="CY38" s="8">
        <f t="shared" si="2"/>
        <v>6.7324660824269893</v>
      </c>
      <c r="CZ38" s="8">
        <f t="shared" si="3"/>
        <v>8.1033736405034524</v>
      </c>
      <c r="DA38" s="8">
        <f t="shared" si="4"/>
        <v>-2.8472222222222232</v>
      </c>
      <c r="DB38" s="8">
        <f t="shared" si="5"/>
        <v>4.6633333333333331</v>
      </c>
    </row>
    <row r="39" spans="1:106" ht="15.75" x14ac:dyDescent="0.25">
      <c r="A39" s="10">
        <v>38</v>
      </c>
      <c r="B39" s="3" t="s">
        <v>108</v>
      </c>
      <c r="C39" s="3" t="s">
        <v>109</v>
      </c>
      <c r="D39" s="3">
        <v>102</v>
      </c>
      <c r="E39" s="3">
        <v>195</v>
      </c>
      <c r="F39" s="3">
        <v>17</v>
      </c>
      <c r="G39" s="12" t="s">
        <v>32</v>
      </c>
      <c r="H39" s="12" t="s">
        <v>63</v>
      </c>
      <c r="I39" s="12">
        <v>26</v>
      </c>
      <c r="J39" s="72"/>
      <c r="K39" s="8">
        <v>5.0199999999999996</v>
      </c>
      <c r="L39" s="8">
        <v>20.561211850539276</v>
      </c>
      <c r="M39" s="8">
        <v>24.425636822950082</v>
      </c>
      <c r="N39" s="8">
        <v>608.45344417540991</v>
      </c>
      <c r="O39" s="8">
        <v>5.9652298448569603</v>
      </c>
      <c r="P39" s="8">
        <v>7.6166889550770156</v>
      </c>
      <c r="Q39" s="8">
        <v>1158.6001569823536</v>
      </c>
      <c r="R39" s="8">
        <v>11.358825068454447</v>
      </c>
      <c r="S39" s="8">
        <v>667.27262868992875</v>
      </c>
      <c r="T39" s="8">
        <v>14.590710767954397</v>
      </c>
      <c r="U39" s="8">
        <v>46.289057267450239</v>
      </c>
      <c r="V39" s="8">
        <v>-0.78317886945885473</v>
      </c>
      <c r="W39" s="8">
        <v>-7.2309449053819126</v>
      </c>
      <c r="X39" s="8">
        <v>23.090962686743843</v>
      </c>
      <c r="Y39" s="69"/>
      <c r="Z39" s="8">
        <v>5.15</v>
      </c>
      <c r="AA39" s="8">
        <v>19.988997318818281</v>
      </c>
      <c r="AB39" s="8">
        <v>24.607639256377144</v>
      </c>
      <c r="AC39" s="8">
        <v>606.95581881297835</v>
      </c>
      <c r="AD39" s="8">
        <v>5.9505472432644932</v>
      </c>
      <c r="AE39" s="8">
        <v>6.5729222384526906</v>
      </c>
      <c r="AF39" s="8">
        <v>997.36834980852188</v>
      </c>
      <c r="AG39" s="8">
        <v>9.778121076554136</v>
      </c>
      <c r="AH39" s="8">
        <v>363.48257614867447</v>
      </c>
      <c r="AI39" s="8">
        <v>9.0182881002896043</v>
      </c>
      <c r="AJ39" s="8">
        <v>48.661043346825736</v>
      </c>
      <c r="AK39" s="8">
        <v>-0.90531228385037044</v>
      </c>
      <c r="AL39" s="8">
        <v>-8.5433908223097443</v>
      </c>
      <c r="AM39" s="8">
        <v>21.387496720631528</v>
      </c>
      <c r="AN39" s="69"/>
      <c r="AO39" s="8">
        <v>5.36</v>
      </c>
      <c r="AP39" s="8">
        <v>19.483411410924219</v>
      </c>
      <c r="AQ39" s="8">
        <v>23.003987201846748</v>
      </c>
      <c r="AR39" s="8">
        <v>626.05254754096529</v>
      </c>
      <c r="AS39" s="8">
        <v>6.1377700739310326</v>
      </c>
      <c r="AT39" s="8">
        <v>6.7663655227077353</v>
      </c>
      <c r="AU39" s="8">
        <v>1059.0250932711333</v>
      </c>
      <c r="AV39" s="8">
        <v>10.382598953638562</v>
      </c>
      <c r="AW39" s="8">
        <v>493.27487528768597</v>
      </c>
      <c r="AX39" s="8">
        <v>11.999893781742044</v>
      </c>
      <c r="AY39" s="8">
        <v>47.481066579325173</v>
      </c>
      <c r="AZ39" s="8">
        <v>-0.90709998644513734</v>
      </c>
      <c r="BA39" s="8">
        <v>-8.4386695386209567</v>
      </c>
      <c r="BB39" s="8">
        <v>21.506041811271356</v>
      </c>
      <c r="BC39" s="69"/>
      <c r="BD39" s="8">
        <v>5.44</v>
      </c>
      <c r="BE39" s="8">
        <v>18.09033574510968</v>
      </c>
      <c r="BF39" s="8">
        <v>20.477040708195062</v>
      </c>
      <c r="BG39" s="8">
        <v>515.80688454604717</v>
      </c>
      <c r="BH39" s="8">
        <v>5.0569302406475209</v>
      </c>
      <c r="BI39" s="8">
        <v>6.355933265080278</v>
      </c>
      <c r="BJ39" s="8">
        <v>819.6085339609109</v>
      </c>
      <c r="BK39" s="8">
        <v>8.0353777839304996</v>
      </c>
      <c r="BL39" s="8">
        <v>439.13789190447795</v>
      </c>
      <c r="BM39" s="8">
        <v>10.54377501459728</v>
      </c>
      <c r="BN39" s="8">
        <v>35.90673182844327</v>
      </c>
      <c r="BO39" s="8">
        <v>-0.79562355829480991</v>
      </c>
      <c r="BP39" s="8">
        <v>-7.6609992149845878</v>
      </c>
      <c r="BQ39" s="8">
        <v>19.854194506218835</v>
      </c>
      <c r="BR39" s="69"/>
      <c r="BS39" s="14">
        <v>5.56</v>
      </c>
      <c r="BT39" s="14">
        <v>18.586509824621469</v>
      </c>
      <c r="BU39" s="14">
        <v>21.406713746234598</v>
      </c>
      <c r="BV39" s="14">
        <v>513.70245369397605</v>
      </c>
      <c r="BW39" s="14">
        <v>5.0362985656272166</v>
      </c>
      <c r="BX39" s="14">
        <v>6.7081557734980137</v>
      </c>
      <c r="BY39" s="14">
        <v>861.49902015183534</v>
      </c>
      <c r="BZ39" s="14">
        <v>8.4460688250179938</v>
      </c>
      <c r="CA39" s="14">
        <v>472.38272279621333</v>
      </c>
      <c r="CB39" s="14">
        <v>11.487257900209988</v>
      </c>
      <c r="CC39" s="14">
        <v>39.725325317560149</v>
      </c>
      <c r="CD39" s="14">
        <v>-0.7507724530673805</v>
      </c>
      <c r="CE39" s="14">
        <v>-7.1343154850824533</v>
      </c>
      <c r="CF39" s="14">
        <v>20.664720073698863</v>
      </c>
      <c r="CG39" s="69"/>
      <c r="CH39" s="14">
        <v>5.37</v>
      </c>
      <c r="CI39" s="14">
        <v>19.137903926164689</v>
      </c>
      <c r="CJ39" s="14">
        <v>23.449827117567953</v>
      </c>
      <c r="CK39" s="14">
        <v>646.092148270405</v>
      </c>
      <c r="CL39" s="14">
        <v>6.3342367477490686</v>
      </c>
      <c r="CM39" s="14">
        <v>6.3921342508164027</v>
      </c>
      <c r="CN39" s="14">
        <v>1032.4769375357014</v>
      </c>
      <c r="CO39" s="14">
        <v>10.12232291701668</v>
      </c>
      <c r="CP39" s="14">
        <v>384.26185560606098</v>
      </c>
      <c r="CQ39" s="14">
        <v>10.309371711317393</v>
      </c>
      <c r="CR39" s="14">
        <v>52.480719886436269</v>
      </c>
      <c r="CS39" s="14">
        <v>-0.99094238312345495</v>
      </c>
      <c r="CT39" s="14">
        <v>-9.1731924148286126</v>
      </c>
      <c r="CU39" s="14">
        <v>20.913845569091077</v>
      </c>
      <c r="CV39" s="69"/>
      <c r="CW39" s="14">
        <f t="shared" si="0"/>
        <v>-10.756972111553786</v>
      </c>
      <c r="CX39" s="8">
        <f t="shared" si="1"/>
        <v>20.165121039333599</v>
      </c>
      <c r="CY39" s="8">
        <f t="shared" si="2"/>
        <v>3.3012557504939122</v>
      </c>
      <c r="CZ39" s="8">
        <f t="shared" si="3"/>
        <v>20.617255052966232</v>
      </c>
      <c r="DA39" s="14">
        <f t="shared" si="4"/>
        <v>-4.3764988009592276</v>
      </c>
      <c r="DB39" s="14">
        <f t="shared" si="5"/>
        <v>5.3166666666666673</v>
      </c>
    </row>
    <row r="40" spans="1:106" ht="15.75" x14ac:dyDescent="0.25">
      <c r="A40" s="10">
        <v>39</v>
      </c>
      <c r="B40" s="3" t="s">
        <v>110</v>
      </c>
      <c r="C40" s="3" t="s">
        <v>111</v>
      </c>
      <c r="D40" s="3">
        <v>64</v>
      </c>
      <c r="E40" s="3">
        <v>188</v>
      </c>
      <c r="F40" s="3">
        <v>16</v>
      </c>
      <c r="G40" s="12" t="s">
        <v>45</v>
      </c>
      <c r="H40" s="12" t="s">
        <v>63</v>
      </c>
      <c r="I40" s="12">
        <v>26</v>
      </c>
      <c r="J40" s="72"/>
      <c r="K40" s="8">
        <v>4.41</v>
      </c>
      <c r="L40" s="8">
        <v>23.25528064712433</v>
      </c>
      <c r="M40" s="8">
        <v>30.847622566924365</v>
      </c>
      <c r="N40" s="8">
        <v>520.58062983222317</v>
      </c>
      <c r="O40" s="8">
        <v>8.134072341128487</v>
      </c>
      <c r="P40" s="8">
        <v>8.0751303382239819</v>
      </c>
      <c r="Q40" s="8">
        <v>1050.9391093624834</v>
      </c>
      <c r="R40" s="8">
        <v>16.420923583788802</v>
      </c>
      <c r="S40" s="8">
        <v>448.34538626430992</v>
      </c>
      <c r="T40" s="8">
        <v>15.14631363323093</v>
      </c>
      <c r="U40" s="8">
        <v>64.96613369775055</v>
      </c>
      <c r="V40" s="8">
        <v>-1.0072992014290469</v>
      </c>
      <c r="W40" s="8">
        <v>-8.6778337733398843</v>
      </c>
      <c r="X40" s="8">
        <v>25.278522337396314</v>
      </c>
      <c r="Y40" s="69"/>
      <c r="Z40" s="8">
        <v>4.5599999999999996</v>
      </c>
      <c r="AA40" s="8">
        <v>22.856088740272686</v>
      </c>
      <c r="AB40" s="8">
        <v>28.54022445250558</v>
      </c>
      <c r="AC40" s="8">
        <v>499.9397281879543</v>
      </c>
      <c r="AD40" s="8">
        <v>7.811558252936786</v>
      </c>
      <c r="AE40" s="8">
        <v>7.9524956624659451</v>
      </c>
      <c r="AF40" s="8">
        <v>993.94212997727755</v>
      </c>
      <c r="AG40" s="8">
        <v>15.530345780894962</v>
      </c>
      <c r="AH40" s="8">
        <v>461.13253030770346</v>
      </c>
      <c r="AI40" s="8">
        <v>15.003975156715269</v>
      </c>
      <c r="AJ40" s="8">
        <v>58.003206706282171</v>
      </c>
      <c r="AK40" s="8">
        <v>-0.98227758737494786</v>
      </c>
      <c r="AL40" s="8">
        <v>-8.7279680347790247</v>
      </c>
      <c r="AM40" s="8">
        <v>24.851585965748409</v>
      </c>
      <c r="AN40" s="69"/>
      <c r="AO40" s="8">
        <v>4.62</v>
      </c>
      <c r="AP40" s="8">
        <v>19.049109419498237</v>
      </c>
      <c r="AQ40" s="8">
        <v>29.994049076747089</v>
      </c>
      <c r="AR40" s="8">
        <v>538.60234550748157</v>
      </c>
      <c r="AS40" s="8">
        <v>8.4156616485543996</v>
      </c>
      <c r="AT40" s="8">
        <v>6.6889521361378108</v>
      </c>
      <c r="AU40" s="8">
        <v>900.67132737777604</v>
      </c>
      <c r="AV40" s="8">
        <v>14.072989490277751</v>
      </c>
      <c r="AW40" s="8">
        <v>260.83091769893377</v>
      </c>
      <c r="AX40" s="8">
        <v>14.64312250255904</v>
      </c>
      <c r="AY40" s="8">
        <v>81.98768695636862</v>
      </c>
      <c r="AZ40" s="8">
        <v>-1.2581434995008931</v>
      </c>
      <c r="BA40" s="8">
        <v>-9.4879986503297253</v>
      </c>
      <c r="BB40" s="8">
        <v>22.513278824905452</v>
      </c>
      <c r="BC40" s="69"/>
      <c r="BD40" s="8">
        <v>4.79</v>
      </c>
      <c r="BE40" s="8">
        <v>22.027597543913789</v>
      </c>
      <c r="BF40" s="8">
        <v>26.469984103746032</v>
      </c>
      <c r="BG40" s="8">
        <v>461.9417186827406</v>
      </c>
      <c r="BH40" s="8">
        <v>7.2178393544178219</v>
      </c>
      <c r="BI40" s="8">
        <v>7.4996760801596647</v>
      </c>
      <c r="BJ40" s="8">
        <v>866.10331450819865</v>
      </c>
      <c r="BK40" s="8">
        <v>13.532864289190604</v>
      </c>
      <c r="BL40" s="8">
        <v>393.59166753162293</v>
      </c>
      <c r="BM40" s="8">
        <v>12.901153769975778</v>
      </c>
      <c r="BN40" s="8">
        <v>50.949195813893269</v>
      </c>
      <c r="BO40" s="8">
        <v>-0.96242014685308341</v>
      </c>
      <c r="BP40" s="8">
        <v>-8.8617272320479383</v>
      </c>
      <c r="BQ40" s="8">
        <v>23.665558808899572</v>
      </c>
      <c r="BR40" s="69"/>
      <c r="BS40" s="14">
        <v>4.91</v>
      </c>
      <c r="BT40" s="14">
        <v>21.423949173257569</v>
      </c>
      <c r="BU40" s="14">
        <v>25.015963486069577</v>
      </c>
      <c r="BV40" s="14">
        <v>430.42492206722727</v>
      </c>
      <c r="BW40" s="14">
        <v>6.7253894073004261</v>
      </c>
      <c r="BX40" s="14">
        <v>7.4864411873697136</v>
      </c>
      <c r="BY40" s="14">
        <v>805.58771615862236</v>
      </c>
      <c r="BZ40" s="14">
        <v>12.587308064978474</v>
      </c>
      <c r="CA40" s="14">
        <v>414.79713732089112</v>
      </c>
      <c r="CB40" s="14">
        <v>13.502138625947374</v>
      </c>
      <c r="CC40" s="14">
        <v>46.435435742859163</v>
      </c>
      <c r="CD40" s="14">
        <v>-0.89834264892733695</v>
      </c>
      <c r="CE40" s="14">
        <v>-8.3428437604866392</v>
      </c>
      <c r="CF40" s="14">
        <v>23.266453588258557</v>
      </c>
      <c r="CG40" s="69"/>
      <c r="CH40" s="14">
        <v>4.83</v>
      </c>
      <c r="CI40" s="14">
        <v>21.770041949957786</v>
      </c>
      <c r="CJ40" s="14">
        <v>26.065847643800218</v>
      </c>
      <c r="CK40" s="14">
        <v>444.03315931385254</v>
      </c>
      <c r="CL40" s="14">
        <v>6.9380181142789459</v>
      </c>
      <c r="CM40" s="14">
        <v>7.2957944442726737</v>
      </c>
      <c r="CN40" s="14">
        <v>809.89366419871203</v>
      </c>
      <c r="CO40" s="14">
        <v>12.654588503104875</v>
      </c>
      <c r="CP40" s="14">
        <v>350.31452981814255</v>
      </c>
      <c r="CQ40" s="14">
        <v>11.594019194366526</v>
      </c>
      <c r="CR40" s="14">
        <v>48.538038289897059</v>
      </c>
      <c r="CS40" s="14">
        <v>-0.95096129246423755</v>
      </c>
      <c r="CT40" s="14">
        <v>-8.8803322947320744</v>
      </c>
      <c r="CU40" s="14">
        <v>23.182000110452019</v>
      </c>
      <c r="CV40" s="69"/>
      <c r="CW40" s="14">
        <f t="shared" si="0"/>
        <v>-11.337868480725623</v>
      </c>
      <c r="CX40" s="8">
        <f t="shared" si="1"/>
        <v>11.182661773397506</v>
      </c>
      <c r="CY40" s="8">
        <f t="shared" si="2"/>
        <v>8.257800394569955</v>
      </c>
      <c r="CZ40" s="8">
        <f t="shared" si="3"/>
        <v>18.517020279920427</v>
      </c>
      <c r="DA40" s="14">
        <f t="shared" si="4"/>
        <v>-4.5485403937542408</v>
      </c>
      <c r="DB40" s="14">
        <f t="shared" si="5"/>
        <v>4.6866666666666665</v>
      </c>
    </row>
    <row r="41" spans="1:106" ht="15.75" x14ac:dyDescent="0.25">
      <c r="A41" s="10">
        <v>40</v>
      </c>
      <c r="B41" s="3" t="s">
        <v>113</v>
      </c>
      <c r="C41" s="3" t="s">
        <v>114</v>
      </c>
      <c r="D41" s="3">
        <v>87</v>
      </c>
      <c r="E41" s="3">
        <v>187</v>
      </c>
      <c r="F41" s="3">
        <v>20</v>
      </c>
      <c r="G41" s="12" t="s">
        <v>32</v>
      </c>
      <c r="H41" s="12" t="s">
        <v>63</v>
      </c>
      <c r="I41" s="12">
        <v>23</v>
      </c>
      <c r="J41" s="72"/>
      <c r="K41" s="8">
        <v>4.4000000000000004</v>
      </c>
      <c r="L41" s="8">
        <v>23.515570627927833</v>
      </c>
      <c r="M41" s="8">
        <v>30.149666934926163</v>
      </c>
      <c r="N41" s="8">
        <v>691.25269290248832</v>
      </c>
      <c r="O41" s="8">
        <v>7.9454332517527391</v>
      </c>
      <c r="P41" s="8">
        <v>8.0700542599828271</v>
      </c>
      <c r="Q41" s="8">
        <v>1394.6116847705816</v>
      </c>
      <c r="R41" s="8">
        <v>16.030019365179101</v>
      </c>
      <c r="S41" s="8">
        <v>603.49636008842435</v>
      </c>
      <c r="T41" s="8">
        <v>14.329770482690662</v>
      </c>
      <c r="U41" s="8">
        <v>60.052121833160712</v>
      </c>
      <c r="V41" s="8">
        <v>-0.9845575997118079</v>
      </c>
      <c r="W41" s="8">
        <v>-8.7221380591322575</v>
      </c>
      <c r="X41" s="8">
        <v>25.279589913812565</v>
      </c>
      <c r="Y41" s="69"/>
      <c r="Z41" s="8">
        <v>4.53</v>
      </c>
      <c r="AA41" s="8">
        <v>22.262783020536684</v>
      </c>
      <c r="AB41" s="8">
        <v>29.246746641755212</v>
      </c>
      <c r="AC41" s="8">
        <v>709.99754205232239</v>
      </c>
      <c r="AD41" s="8">
        <v>8.1608912879577282</v>
      </c>
      <c r="AE41" s="8">
        <v>7.7994799924592808</v>
      </c>
      <c r="AF41" s="8">
        <v>1384.4029059830889</v>
      </c>
      <c r="AG41" s="8">
        <v>15.912677080265389</v>
      </c>
      <c r="AH41" s="8">
        <v>583.93441543742711</v>
      </c>
      <c r="AI41" s="8">
        <v>15.659417977486887</v>
      </c>
      <c r="AJ41" s="8">
        <v>65.522043488002424</v>
      </c>
      <c r="AK41" s="8">
        <v>-1.0463378707103388</v>
      </c>
      <c r="AL41" s="8">
        <v>-8.9388881377222411</v>
      </c>
      <c r="AM41" s="8">
        <v>24.717616542373172</v>
      </c>
      <c r="AN41" s="69"/>
      <c r="AO41" s="8">
        <v>4.72</v>
      </c>
      <c r="AP41" s="8">
        <v>21.145011053920566</v>
      </c>
      <c r="AQ41" s="8">
        <v>26.258992723470268</v>
      </c>
      <c r="AR41" s="8">
        <v>620.24076698739179</v>
      </c>
      <c r="AS41" s="8">
        <v>7.1292042182458824</v>
      </c>
      <c r="AT41" s="8">
        <v>7.6029936969386416</v>
      </c>
      <c r="AU41" s="8">
        <v>1178.9216604973822</v>
      </c>
      <c r="AV41" s="8">
        <v>13.550823683877956</v>
      </c>
      <c r="AW41" s="8">
        <v>577.80817713065017</v>
      </c>
      <c r="AX41" s="8">
        <v>15.482748956824183</v>
      </c>
      <c r="AY41" s="8">
        <v>56.522835685283411</v>
      </c>
      <c r="AZ41" s="8">
        <v>-0.937683825927209</v>
      </c>
      <c r="BA41" s="8">
        <v>-8.3317337538377352</v>
      </c>
      <c r="BB41" s="8">
        <v>23.798155598865812</v>
      </c>
      <c r="BC41" s="69"/>
      <c r="BD41" s="8">
        <v>5.0599999999999996</v>
      </c>
      <c r="BE41" s="8">
        <v>20.27205231751341</v>
      </c>
      <c r="BF41" s="8">
        <v>23.62656889796725</v>
      </c>
      <c r="BG41" s="8">
        <v>561.3868411891915</v>
      </c>
      <c r="BH41" s="8">
        <v>6.4527223125194428</v>
      </c>
      <c r="BI41" s="8">
        <v>6.6873110297580416</v>
      </c>
      <c r="BJ41" s="8">
        <v>938.54210376137655</v>
      </c>
      <c r="BK41" s="8">
        <v>10.78784027311927</v>
      </c>
      <c r="BL41" s="8">
        <v>388.06330819215253</v>
      </c>
      <c r="BM41" s="8">
        <v>10.051421463431058</v>
      </c>
      <c r="BN41" s="8">
        <v>42.9438459545283</v>
      </c>
      <c r="BO41" s="8">
        <v>-0.96492032205550216</v>
      </c>
      <c r="BP41" s="8">
        <v>-9.194875275265078</v>
      </c>
      <c r="BQ41" s="8">
        <v>21.616633073728313</v>
      </c>
      <c r="BR41" s="69"/>
      <c r="BS41" s="14">
        <v>4.8099999999999996</v>
      </c>
      <c r="BT41" s="14">
        <v>20.833090065756313</v>
      </c>
      <c r="BU41" s="14">
        <v>25.979025605101672</v>
      </c>
      <c r="BV41" s="14">
        <v>627.13900671623674</v>
      </c>
      <c r="BW41" s="14">
        <v>7.2084943300716864</v>
      </c>
      <c r="BX41" s="14">
        <v>7.2819565628391736</v>
      </c>
      <c r="BY41" s="14">
        <v>1141.6997514424352</v>
      </c>
      <c r="BZ41" s="14">
        <v>13.122985648763622</v>
      </c>
      <c r="CA41" s="14">
        <v>509.0916332085576</v>
      </c>
      <c r="CB41" s="14">
        <v>14.116387620921699</v>
      </c>
      <c r="CC41" s="14">
        <v>57.113213441438845</v>
      </c>
      <c r="CD41" s="14">
        <v>-0.9899117452660493</v>
      </c>
      <c r="CE41" s="14">
        <v>-8.848634221510645</v>
      </c>
      <c r="CF41" s="14">
        <v>23.177553199468388</v>
      </c>
      <c r="CG41" s="69"/>
      <c r="CH41" s="14">
        <v>5.04</v>
      </c>
      <c r="CI41" s="14">
        <v>20.682403080978823</v>
      </c>
      <c r="CJ41" s="14">
        <v>25.762432535995146</v>
      </c>
      <c r="CK41" s="14">
        <v>587.51490459492163</v>
      </c>
      <c r="CL41" s="14">
        <v>6.7530448804013981</v>
      </c>
      <c r="CM41" s="14">
        <v>6.9393912702243865</v>
      </c>
      <c r="CN41" s="14">
        <v>1019.2489500181781</v>
      </c>
      <c r="CO41" s="14">
        <v>11.715505172622738</v>
      </c>
      <c r="CP41" s="14">
        <v>393.6181925944872</v>
      </c>
      <c r="CQ41" s="14">
        <v>11.174131487063185</v>
      </c>
      <c r="CR41" s="14">
        <v>54.891907257644249</v>
      </c>
      <c r="CS41" s="14">
        <v>-0.97314657978394048</v>
      </c>
      <c r="CT41" s="14">
        <v>-8.9143248100995294</v>
      </c>
      <c r="CU41" s="14">
        <v>22.334705119908911</v>
      </c>
      <c r="CV41" s="69"/>
      <c r="CW41" s="14">
        <f t="shared" si="0"/>
        <v>-14.999999999999982</v>
      </c>
      <c r="CX41" s="8">
        <f t="shared" si="1"/>
        <v>20.931157090143724</v>
      </c>
      <c r="CY41" s="8">
        <f t="shared" si="2"/>
        <v>14.259527093812794</v>
      </c>
      <c r="CZ41" s="8">
        <f t="shared" si="3"/>
        <v>32.206000167638969</v>
      </c>
      <c r="DA41" s="14">
        <f t="shared" si="4"/>
        <v>-5.9288537549406994</v>
      </c>
      <c r="DB41" s="14">
        <f t="shared" si="5"/>
        <v>4.7599999999999989</v>
      </c>
    </row>
    <row r="42" spans="1:106" ht="15.75" x14ac:dyDescent="0.25">
      <c r="A42" s="10">
        <v>41</v>
      </c>
      <c r="B42" s="3" t="s">
        <v>115</v>
      </c>
      <c r="C42" s="3" t="s">
        <v>115</v>
      </c>
      <c r="D42" s="3">
        <v>73</v>
      </c>
      <c r="E42" s="3">
        <v>171</v>
      </c>
      <c r="F42" s="3">
        <v>19</v>
      </c>
      <c r="G42" s="37" t="s">
        <v>32</v>
      </c>
      <c r="H42" s="37" t="s">
        <v>33</v>
      </c>
      <c r="I42" s="37">
        <v>24</v>
      </c>
      <c r="J42" s="72"/>
      <c r="K42" s="8">
        <v>4.55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69"/>
      <c r="Z42" s="8">
        <v>4.57</v>
      </c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69"/>
      <c r="AO42" s="8">
        <v>4.92</v>
      </c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69"/>
      <c r="BD42" s="8">
        <v>4.8600000000000003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69"/>
      <c r="BS42" s="14">
        <v>5.0999999999999996</v>
      </c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69"/>
      <c r="CH42" s="14">
        <v>5.1100000000000003</v>
      </c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69"/>
      <c r="CW42" s="14">
        <f t="shared" si="0"/>
        <v>-12.307692307692319</v>
      </c>
      <c r="CX42" s="8" t="s">
        <v>34</v>
      </c>
      <c r="CY42" s="8" t="s">
        <v>34</v>
      </c>
      <c r="CZ42" s="8" t="s">
        <v>34</v>
      </c>
      <c r="DA42" s="14">
        <f t="shared" si="4"/>
        <v>-5.055446836268751</v>
      </c>
      <c r="DB42" s="14">
        <f t="shared" si="5"/>
        <v>4.8516666666666666</v>
      </c>
    </row>
    <row r="43" spans="1:106" ht="15.75" x14ac:dyDescent="0.25">
      <c r="A43" s="10">
        <v>42</v>
      </c>
      <c r="B43" s="3" t="s">
        <v>116</v>
      </c>
      <c r="C43" s="3" t="s">
        <v>117</v>
      </c>
      <c r="D43" s="3">
        <v>62.4</v>
      </c>
      <c r="E43" s="3">
        <v>175</v>
      </c>
      <c r="F43" s="3">
        <v>20</v>
      </c>
      <c r="G43" s="12" t="s">
        <v>45</v>
      </c>
      <c r="H43" s="12" t="s">
        <v>63</v>
      </c>
      <c r="I43" s="12">
        <v>26</v>
      </c>
      <c r="J43" s="72"/>
      <c r="K43" s="8">
        <v>4.13</v>
      </c>
      <c r="L43" s="8">
        <v>24.38656609461674</v>
      </c>
      <c r="M43" s="8">
        <v>32.490906333324673</v>
      </c>
      <c r="N43" s="8">
        <v>520.16055978438055</v>
      </c>
      <c r="O43" s="8">
        <v>8.3359064068009712</v>
      </c>
      <c r="P43" s="8">
        <v>8.4728644920601024</v>
      </c>
      <c r="Q43" s="8">
        <v>1101.812484291796</v>
      </c>
      <c r="R43" s="8">
        <v>17.657251350830062</v>
      </c>
      <c r="S43" s="8">
        <v>491.73476539062602</v>
      </c>
      <c r="T43" s="8">
        <v>15.627631069429203</v>
      </c>
      <c r="U43" s="8">
        <v>63.742237045038344</v>
      </c>
      <c r="V43" s="8">
        <v>-0.98383568090962947</v>
      </c>
      <c r="W43" s="8">
        <v>-8.5244840357491665</v>
      </c>
      <c r="X43" s="8">
        <v>26.375765548888126</v>
      </c>
      <c r="Y43" s="69"/>
      <c r="Z43" s="8">
        <v>4.32</v>
      </c>
      <c r="AA43" s="8">
        <v>24.910766908532903</v>
      </c>
      <c r="AB43" s="8">
        <v>31.947434603937559</v>
      </c>
      <c r="AC43" s="8">
        <v>548.56577830342314</v>
      </c>
      <c r="AD43" s="8">
        <v>8.7911182420420371</v>
      </c>
      <c r="AE43" s="8">
        <v>8.8027356343727128</v>
      </c>
      <c r="AF43" s="8">
        <v>1207.2198811172361</v>
      </c>
      <c r="AG43" s="8">
        <v>19.346472453801862</v>
      </c>
      <c r="AH43" s="8">
        <v>575.23541198481121</v>
      </c>
      <c r="AI43" s="8">
        <v>17.536038382934262</v>
      </c>
      <c r="AJ43" s="8">
        <v>64.111667769438085</v>
      </c>
      <c r="AK43" s="8">
        <v>-0.99868025204740729</v>
      </c>
      <c r="AL43" s="8">
        <v>-8.507481272982746</v>
      </c>
      <c r="AM43" s="8">
        <v>26.939207752617332</v>
      </c>
      <c r="AN43" s="69"/>
      <c r="AO43" s="8">
        <v>4.43</v>
      </c>
      <c r="AP43" s="8">
        <v>22.984426162887669</v>
      </c>
      <c r="AQ43" s="8">
        <v>27.984240577312338</v>
      </c>
      <c r="AR43" s="8">
        <v>478.03370979274797</v>
      </c>
      <c r="AS43" s="8">
        <v>7.6607966312940379</v>
      </c>
      <c r="AT43" s="8">
        <v>8.1076444397952887</v>
      </c>
      <c r="AU43" s="8">
        <v>968.93183730897192</v>
      </c>
      <c r="AV43" s="8">
        <v>15.527753803028396</v>
      </c>
      <c r="AW43" s="8">
        <v>495.15623753950592</v>
      </c>
      <c r="AX43" s="8">
        <v>15.672345564819143</v>
      </c>
      <c r="AY43" s="8">
        <v>53.741550632261045</v>
      </c>
      <c r="AZ43" s="8">
        <v>-0.94488561852713249</v>
      </c>
      <c r="BA43" s="8">
        <v>-8.50249675940284</v>
      </c>
      <c r="BB43" s="8">
        <v>25.050546419457511</v>
      </c>
      <c r="BC43" s="69"/>
      <c r="BD43" s="8">
        <v>4.67</v>
      </c>
      <c r="BE43" s="8">
        <v>23.060506180299836</v>
      </c>
      <c r="BF43" s="8">
        <v>27.004124617515014</v>
      </c>
      <c r="BG43" s="8">
        <v>455.60007150906733</v>
      </c>
      <c r="BH43" s="8">
        <v>7.3012831972606946</v>
      </c>
      <c r="BI43" s="8">
        <v>8.0918829142736026</v>
      </c>
      <c r="BJ43" s="8">
        <v>921.66560859651338</v>
      </c>
      <c r="BK43" s="8">
        <v>14.770282189046689</v>
      </c>
      <c r="BL43" s="8">
        <v>488.30936069988883</v>
      </c>
      <c r="BM43" s="8">
        <v>14.829309886388314</v>
      </c>
      <c r="BN43" s="8">
        <v>48.333935086404708</v>
      </c>
      <c r="BO43" s="8">
        <v>-0.90229718776351353</v>
      </c>
      <c r="BP43" s="8">
        <v>-8.2873590988066343</v>
      </c>
      <c r="BQ43" s="8">
        <v>24.817360539842202</v>
      </c>
      <c r="BR43" s="69"/>
      <c r="BS43" s="14">
        <v>4.8</v>
      </c>
      <c r="BT43" s="14">
        <v>21.470213442940686</v>
      </c>
      <c r="BU43" s="14">
        <v>26.233099261846647</v>
      </c>
      <c r="BV43" s="14">
        <v>431.72253256911176</v>
      </c>
      <c r="BW43" s="14">
        <v>6.9186303296332019</v>
      </c>
      <c r="BX43" s="14">
        <v>7.2303405323613124</v>
      </c>
      <c r="BY43" s="14">
        <v>780.37523149203139</v>
      </c>
      <c r="BZ43" s="14">
        <v>12.506013325192811</v>
      </c>
      <c r="CA43" s="14">
        <v>331.27229706960611</v>
      </c>
      <c r="CB43" s="14">
        <v>11.762232041232553</v>
      </c>
      <c r="CC43" s="14">
        <v>51.199273433911998</v>
      </c>
      <c r="CD43" s="14">
        <v>-0.95688858618304806</v>
      </c>
      <c r="CE43" s="14">
        <v>-8.8593998086848451</v>
      </c>
      <c r="CF43" s="14">
        <v>23.034302048515098</v>
      </c>
      <c r="CG43" s="69"/>
      <c r="CH43" s="14">
        <v>4.91</v>
      </c>
      <c r="CI43" s="14">
        <v>22.181009261890633</v>
      </c>
      <c r="CJ43" s="14">
        <v>26.696254699085507</v>
      </c>
      <c r="CK43" s="14">
        <v>457.28756024536125</v>
      </c>
      <c r="CL43" s="14">
        <v>7.3283262859833531</v>
      </c>
      <c r="CM43" s="14">
        <v>7.6142185111708756</v>
      </c>
      <c r="CN43" s="14">
        <v>870.47185153709916</v>
      </c>
      <c r="CO43" s="14">
        <v>13.949869415658641</v>
      </c>
      <c r="CP43" s="14">
        <v>398.12155313743835</v>
      </c>
      <c r="CQ43" s="14">
        <v>13.500319993101755</v>
      </c>
      <c r="CR43" s="14">
        <v>53.085981506138168</v>
      </c>
      <c r="CS43" s="14">
        <v>-0.96245284729245806</v>
      </c>
      <c r="CT43" s="14">
        <v>-8.7605361717724772</v>
      </c>
      <c r="CU43" s="14">
        <v>23.923469680804089</v>
      </c>
      <c r="CV43" s="69"/>
      <c r="CW43" s="14">
        <f t="shared" si="0"/>
        <v>-18.886198547215503</v>
      </c>
      <c r="CX43" s="8">
        <f t="shared" si="1"/>
        <v>16.94704818843703</v>
      </c>
      <c r="CY43" s="8">
        <f t="shared" si="2"/>
        <v>13.501679166200832</v>
      </c>
      <c r="CZ43" s="8">
        <f t="shared" si="3"/>
        <v>27.894506613699029</v>
      </c>
      <c r="DA43" s="14">
        <f t="shared" si="4"/>
        <v>-7.467752885268153</v>
      </c>
      <c r="DB43" s="14">
        <f t="shared" si="5"/>
        <v>4.543333333333333</v>
      </c>
    </row>
    <row r="44" spans="1:106" ht="15.75" x14ac:dyDescent="0.25">
      <c r="A44" s="10">
        <v>43</v>
      </c>
      <c r="B44" s="6" t="s">
        <v>118</v>
      </c>
      <c r="C44" s="6" t="s">
        <v>119</v>
      </c>
      <c r="D44" s="6">
        <v>77</v>
      </c>
      <c r="E44" s="6">
        <v>184</v>
      </c>
      <c r="F44" s="6">
        <v>19</v>
      </c>
      <c r="G44" s="37" t="s">
        <v>45</v>
      </c>
      <c r="H44" s="37" t="s">
        <v>63</v>
      </c>
      <c r="I44" s="37">
        <v>21</v>
      </c>
      <c r="J44" s="72"/>
      <c r="K44" s="8">
        <v>4.4400000000000004</v>
      </c>
      <c r="L44" s="8">
        <v>24.968133606192872</v>
      </c>
      <c r="M44" s="8">
        <v>28.289753564530969</v>
      </c>
      <c r="N44" s="8">
        <v>623.38034587391883</v>
      </c>
      <c r="O44" s="8">
        <v>8.0958486477132308</v>
      </c>
      <c r="P44" s="8">
        <v>8.3958803464817482</v>
      </c>
      <c r="Q44" s="8">
        <v>1308.4566985764575</v>
      </c>
      <c r="R44" s="8">
        <v>16.992944137356591</v>
      </c>
      <c r="S44" s="8">
        <v>647.13638823944382</v>
      </c>
      <c r="T44" s="8"/>
      <c r="U44" s="8">
        <v>647.13638823944382</v>
      </c>
      <c r="V44" s="8"/>
      <c r="W44" s="8"/>
      <c r="X44" s="8"/>
      <c r="Y44" s="69"/>
      <c r="Z44" s="8">
        <v>4.57</v>
      </c>
      <c r="AA44" s="8">
        <v>22.739251331371349</v>
      </c>
      <c r="AB44" s="8">
        <v>30.672143550659307</v>
      </c>
      <c r="AC44" s="8">
        <v>565.01197267072871</v>
      </c>
      <c r="AD44" s="8">
        <v>7.3378178268925804</v>
      </c>
      <c r="AE44" s="8">
        <v>7.7517836995442888</v>
      </c>
      <c r="AF44" s="8">
        <v>1094.9626499490796</v>
      </c>
      <c r="AG44" s="8">
        <v>14.220294155182852</v>
      </c>
      <c r="AH44" s="8">
        <v>423.00830546973515</v>
      </c>
      <c r="AI44" s="8"/>
      <c r="AJ44" s="8">
        <v>64.04056274390976</v>
      </c>
      <c r="AK44" s="8"/>
      <c r="AL44" s="8"/>
      <c r="AM44" s="8"/>
      <c r="AN44" s="69"/>
      <c r="AO44" s="8">
        <v>4.59</v>
      </c>
      <c r="AP44" s="8">
        <v>21.6123268834091</v>
      </c>
      <c r="AQ44" s="8">
        <v>27.175510307113729</v>
      </c>
      <c r="AR44" s="8">
        <v>577.69217166968667</v>
      </c>
      <c r="AS44" s="8">
        <v>7.5024957359699567</v>
      </c>
      <c r="AT44" s="8">
        <v>7.726709356102182</v>
      </c>
      <c r="AU44" s="8">
        <v>1115.914876946789</v>
      </c>
      <c r="AV44" s="8">
        <v>14.492400999308948</v>
      </c>
      <c r="AW44" s="8">
        <v>536.74877449604617</v>
      </c>
      <c r="AX44" s="8"/>
      <c r="AY44" s="8">
        <v>58.687743790937716</v>
      </c>
      <c r="AZ44" s="8"/>
      <c r="BA44" s="8"/>
      <c r="BB44" s="8"/>
      <c r="BC44" s="69"/>
      <c r="BD44" s="8">
        <v>4.68</v>
      </c>
      <c r="BE44" s="8">
        <v>22.210452311561657</v>
      </c>
      <c r="BF44" s="8">
        <v>27.774574871122365</v>
      </c>
      <c r="BG44" s="8">
        <v>591.9661835340811</v>
      </c>
      <c r="BH44" s="8">
        <v>7.6878725134296246</v>
      </c>
      <c r="BI44" s="8">
        <v>7.7789352793213649</v>
      </c>
      <c r="BJ44" s="8">
        <v>1151.2166573146224</v>
      </c>
      <c r="BK44" s="8">
        <v>14.950865679410679</v>
      </c>
      <c r="BL44" s="8">
        <v>526.92229913515405</v>
      </c>
      <c r="BM44" s="8"/>
      <c r="BN44" s="8">
        <v>58.927876107429519</v>
      </c>
      <c r="BO44" s="8"/>
      <c r="BP44" s="8"/>
      <c r="BQ44" s="8"/>
      <c r="BR44" s="69"/>
      <c r="BS44" s="14">
        <v>4.8</v>
      </c>
      <c r="BT44" s="14">
        <v>21.499067711770607</v>
      </c>
      <c r="BU44" s="14">
        <v>21.499067711770607</v>
      </c>
      <c r="BV44" s="14">
        <v>25.472529752820318</v>
      </c>
      <c r="BW44" s="14">
        <v>526.57383811609668</v>
      </c>
      <c r="BX44" s="14">
        <v>6.8386212742350221</v>
      </c>
      <c r="BY44" s="14">
        <v>7.5715990825031403</v>
      </c>
      <c r="BZ44" s="14">
        <v>996.75149738749872</v>
      </c>
      <c r="CA44" s="14">
        <v>12.944824641396087</v>
      </c>
      <c r="CB44" s="14">
        <v>512.67603218520742</v>
      </c>
      <c r="CC44" s="14"/>
      <c r="CD44" s="14">
        <v>48.658863892398607</v>
      </c>
      <c r="CE44" s="14"/>
      <c r="CF44" s="14"/>
      <c r="CG44" s="69"/>
      <c r="CH44" s="14">
        <v>4.8099999999999996</v>
      </c>
      <c r="CI44" s="14">
        <v>22.216002315466596</v>
      </c>
      <c r="CJ44" s="14">
        <v>26.402046762270736</v>
      </c>
      <c r="CK44" s="14">
        <v>558.16140056471158</v>
      </c>
      <c r="CL44" s="14">
        <v>7.2488493579832669</v>
      </c>
      <c r="CM44" s="14">
        <v>7.5386051906813139</v>
      </c>
      <c r="CN44" s="14">
        <v>1051.9396078837717</v>
      </c>
      <c r="CO44" s="14">
        <v>13.661553349139892</v>
      </c>
      <c r="CP44" s="14">
        <v>479.29580259332209</v>
      </c>
      <c r="CQ44" s="14"/>
      <c r="CR44" s="14">
        <v>49.628151042635686</v>
      </c>
      <c r="CS44" s="14"/>
      <c r="CT44" s="14"/>
      <c r="CU44" s="14"/>
      <c r="CV44" s="69"/>
      <c r="CW44" s="14">
        <f t="shared" ref="CW44:CW47" si="6">100*((MIN(CH44,BS44,BD44,AO44,Z44,K44)-MAX(CH44,BS44,BD44,AO44,Z44,K44))/(MIN(CH44,BS44,BD44,AO44,Z44,K44)))</f>
        <v>-8.3333333333333144</v>
      </c>
      <c r="CX44" s="8">
        <f t="shared" ref="CX44:CX47" si="7">100*(((MAX(CL44,BH44,AD44))-MIN(CL44,BH44,AD44))/(MAX(CL44,BH44,AD44)))</f>
        <v>5.7105935963356105</v>
      </c>
      <c r="CY44" s="8">
        <f t="shared" ref="CY44:CY47" si="8">100*((MAX(CM44,BI44,AE44))-MIN(CM44,BI44,AE44))/(MAX(CM44,BI44,AE44))</f>
        <v>3.0894984983217064</v>
      </c>
      <c r="CZ44" s="8">
        <f t="shared" ref="CZ44:CZ47" si="9">100*((MAX(CO44,BK44,AG44))-MIN(CO44,BK44,AG44))/(MAX(CO44,BK44,AG44))</f>
        <v>8.623663391253265</v>
      </c>
      <c r="DA44" s="8">
        <f>((SUM(CH44,BS44,BD44,AO44,Z44,K44)/(MAX(CH44,BS44,BD44,AO44,Z44,K44)*6)-1))*100</f>
        <v>-3.3610533610533566</v>
      </c>
      <c r="DB44" s="8">
        <f>AVERAGE(K44,Z44,AO44,BD44,BS44,CH44)</f>
        <v>4.6483333333333334</v>
      </c>
    </row>
    <row r="45" spans="1:106" ht="15.75" x14ac:dyDescent="0.25">
      <c r="A45" s="10">
        <v>44</v>
      </c>
      <c r="B45" s="6" t="s">
        <v>120</v>
      </c>
      <c r="C45" s="6" t="s">
        <v>121</v>
      </c>
      <c r="D45" s="6">
        <v>72</v>
      </c>
      <c r="E45" s="6">
        <v>178</v>
      </c>
      <c r="F45" s="6">
        <v>22</v>
      </c>
      <c r="G45" s="37" t="s">
        <v>32</v>
      </c>
      <c r="H45" s="37" t="s">
        <v>63</v>
      </c>
      <c r="I45" s="37">
        <v>21</v>
      </c>
      <c r="J45" s="72"/>
      <c r="K45" s="8">
        <v>4.2699999999999996</v>
      </c>
      <c r="L45" s="8">
        <v>26.025651853641488</v>
      </c>
      <c r="M45" s="8">
        <v>30.490055251825702</v>
      </c>
      <c r="N45" s="8">
        <v>402.55722040701153</v>
      </c>
      <c r="O45" s="8">
        <v>5.5910725056529378</v>
      </c>
      <c r="P45" s="8">
        <v>11.499731546134299</v>
      </c>
      <c r="Q45" s="8">
        <v>1157.3249916596621</v>
      </c>
      <c r="R45" s="8">
        <v>16.073958217495306</v>
      </c>
      <c r="S45" s="8">
        <v>925.80046637345129</v>
      </c>
      <c r="T45" s="8"/>
      <c r="U45" s="8">
        <v>925.80046637345129</v>
      </c>
      <c r="V45" s="8"/>
      <c r="W45" s="8"/>
      <c r="X45" s="8"/>
      <c r="Y45" s="69"/>
      <c r="Z45" s="8">
        <v>4.16</v>
      </c>
      <c r="AA45" s="8">
        <v>24.845158543819604</v>
      </c>
      <c r="AB45" s="8">
        <v>33.391314508702976</v>
      </c>
      <c r="AC45" s="8">
        <v>647.07150306217045</v>
      </c>
      <c r="AD45" s="8">
        <v>8.9871042091968114</v>
      </c>
      <c r="AE45" s="8">
        <v>8.7342773863894418</v>
      </c>
      <c r="AF45" s="8">
        <v>1412.9254991432354</v>
      </c>
      <c r="AG45" s="8">
        <v>19.623965265878269</v>
      </c>
      <c r="AH45" s="8">
        <v>631.29931297954613</v>
      </c>
      <c r="AI45" s="8"/>
      <c r="AJ45" s="8">
        <v>67.956845792368853</v>
      </c>
      <c r="AK45" s="8"/>
      <c r="AL45" s="8"/>
      <c r="AM45" s="8"/>
      <c r="AN45" s="69"/>
      <c r="AO45" s="8">
        <v>4.45</v>
      </c>
      <c r="AP45" s="8">
        <v>25.656789074628069</v>
      </c>
      <c r="AQ45" s="8">
        <v>29.753057734351867</v>
      </c>
      <c r="AR45" s="8">
        <v>378.7398507981116</v>
      </c>
      <c r="AS45" s="8">
        <v>5.2602757055293274</v>
      </c>
      <c r="AT45" s="8">
        <v>11.352201503839106</v>
      </c>
      <c r="AU45" s="8">
        <v>1074.8827759485303</v>
      </c>
      <c r="AV45" s="8">
        <v>14.928927443729586</v>
      </c>
      <c r="AW45" s="8">
        <v>866.61305437371652</v>
      </c>
      <c r="AX45" s="8"/>
      <c r="AY45" s="8">
        <v>42.106412012059941</v>
      </c>
      <c r="AZ45" s="8"/>
      <c r="BA45" s="8"/>
      <c r="BB45" s="8"/>
      <c r="BC45" s="69"/>
      <c r="BD45" s="8">
        <v>4.51</v>
      </c>
      <c r="BE45" s="8">
        <v>23.452216519669498</v>
      </c>
      <c r="BF45" s="8">
        <v>28.895339687121197</v>
      </c>
      <c r="BG45" s="8">
        <v>553.35036274311426</v>
      </c>
      <c r="BH45" s="8">
        <v>7.685421704765476</v>
      </c>
      <c r="BI45" s="8">
        <v>7.9842063547745576</v>
      </c>
      <c r="BJ45" s="8">
        <v>1104.5158706575949</v>
      </c>
      <c r="BK45" s="8">
        <v>15.340498203577706</v>
      </c>
      <c r="BL45" s="8">
        <v>494.85281673115776</v>
      </c>
      <c r="BM45" s="8"/>
      <c r="BN45" s="8">
        <v>54.50060217170504</v>
      </c>
      <c r="BO45" s="8"/>
      <c r="BP45" s="8"/>
      <c r="BQ45" s="8"/>
      <c r="BR45" s="69"/>
      <c r="BS45" s="14">
        <v>4.7300000000000004</v>
      </c>
      <c r="BT45" s="14">
        <v>24.664187161131213</v>
      </c>
      <c r="BU45" s="14">
        <v>24.664187161131213</v>
      </c>
      <c r="BV45" s="14">
        <v>28.371984085010826</v>
      </c>
      <c r="BW45" s="14">
        <v>362.72396500761903</v>
      </c>
      <c r="BX45" s="14">
        <v>5.0378328473280423</v>
      </c>
      <c r="BY45" s="14">
        <v>10.621973180356383</v>
      </c>
      <c r="BZ45" s="14">
        <v>963.2110570458641</v>
      </c>
      <c r="CA45" s="14">
        <v>13.377931347859224</v>
      </c>
      <c r="CB45" s="14">
        <v>756.96940568937123</v>
      </c>
      <c r="CC45" s="14"/>
      <c r="CD45" s="14">
        <v>40.552644200828766</v>
      </c>
      <c r="CE45" s="14"/>
      <c r="CF45" s="14"/>
      <c r="CG45" s="69"/>
      <c r="CH45" s="14">
        <v>4.66</v>
      </c>
      <c r="CI45" s="14">
        <v>22.333371764427831</v>
      </c>
      <c r="CJ45" s="14">
        <v>28.217712670573626</v>
      </c>
      <c r="CK45" s="14">
        <v>520.94578384719568</v>
      </c>
      <c r="CL45" s="14">
        <v>7.2353581089888293</v>
      </c>
      <c r="CM45" s="14">
        <v>7.562419710982498</v>
      </c>
      <c r="CN45" s="14">
        <v>984.90266602981512</v>
      </c>
      <c r="CO45" s="14">
        <v>13.679203694858543</v>
      </c>
      <c r="CP45" s="14">
        <v>407.71749701098577</v>
      </c>
      <c r="CQ45" s="14"/>
      <c r="CR45" s="14">
        <v>56.46064829770976</v>
      </c>
      <c r="CS45" s="14"/>
      <c r="CT45" s="14"/>
      <c r="CU45" s="14"/>
      <c r="CV45" s="69"/>
      <c r="CW45" s="14">
        <f t="shared" si="6"/>
        <v>-13.701923076923084</v>
      </c>
      <c r="CX45" s="8">
        <f t="shared" si="7"/>
        <v>19.491774652121652</v>
      </c>
      <c r="CY45" s="8">
        <f t="shared" si="8"/>
        <v>13.416767335933718</v>
      </c>
      <c r="CZ45" s="8">
        <f t="shared" si="9"/>
        <v>30.293375933335707</v>
      </c>
      <c r="DA45" s="8">
        <f>((SUM(CH45,BS45,BD45,AO45,Z45,K45)/(MAX(CH45,BS45,BD45,AO45,Z45,K45)*6)-1))*100</f>
        <v>-5.6377730796335452</v>
      </c>
      <c r="DB45" s="8">
        <f>AVERAGE(K45,Z45,AO45,BD45,BS45,CH45)</f>
        <v>4.4633333333333338</v>
      </c>
    </row>
    <row r="46" spans="1:106" ht="15.75" x14ac:dyDescent="0.25">
      <c r="A46" s="10">
        <v>45</v>
      </c>
      <c r="B46" s="6" t="s">
        <v>122</v>
      </c>
      <c r="C46" s="6" t="s">
        <v>123</v>
      </c>
      <c r="D46" s="6">
        <v>83</v>
      </c>
      <c r="E46" s="6">
        <v>189</v>
      </c>
      <c r="F46" s="6">
        <v>35</v>
      </c>
      <c r="G46" s="37" t="s">
        <v>32</v>
      </c>
      <c r="H46" s="37" t="s">
        <v>63</v>
      </c>
      <c r="I46" s="37">
        <v>20</v>
      </c>
      <c r="J46" s="72"/>
      <c r="K46" s="8">
        <v>4.5</v>
      </c>
      <c r="L46" s="8">
        <v>23.84868725373461</v>
      </c>
      <c r="M46" s="8">
        <v>29.210953613806488</v>
      </c>
      <c r="N46" s="8">
        <v>572.6439978213017</v>
      </c>
      <c r="O46" s="8">
        <v>6.8993252749554417</v>
      </c>
      <c r="P46" s="8">
        <v>9.3504902647722794</v>
      </c>
      <c r="Q46" s="8">
        <v>1338.62553170209</v>
      </c>
      <c r="R46" s="8">
        <v>16.128018454242049</v>
      </c>
      <c r="S46" s="8">
        <v>835.96399210868083</v>
      </c>
      <c r="T46" s="8"/>
      <c r="U46" s="8">
        <v>835.96399210868083</v>
      </c>
      <c r="V46" s="8"/>
      <c r="W46" s="8"/>
      <c r="X46" s="8"/>
      <c r="Y46" s="69"/>
      <c r="Z46" s="8">
        <v>4.68</v>
      </c>
      <c r="AA46" s="8">
        <v>22.906432455122751</v>
      </c>
      <c r="AB46" s="8">
        <v>28.496390761030291</v>
      </c>
      <c r="AC46" s="8">
        <v>653.25584771257058</v>
      </c>
      <c r="AD46" s="8">
        <v>7.8705523820791639</v>
      </c>
      <c r="AE46" s="8">
        <v>8.066691229563661</v>
      </c>
      <c r="AF46" s="8">
        <v>1317.4033043510419</v>
      </c>
      <c r="AG46" s="8">
        <v>15.872328968084842</v>
      </c>
      <c r="AH46" s="8">
        <v>618.72806878156257</v>
      </c>
      <c r="AI46" s="8"/>
      <c r="AJ46" s="8">
        <v>59.39720469164741</v>
      </c>
      <c r="AK46" s="8"/>
      <c r="AL46" s="8"/>
      <c r="AM46" s="8"/>
      <c r="AN46" s="69"/>
      <c r="AO46" s="8">
        <v>4.71</v>
      </c>
      <c r="AP46" s="8">
        <v>23.290353491858021</v>
      </c>
      <c r="AQ46" s="8">
        <v>27.510700120687261</v>
      </c>
      <c r="AR46" s="8">
        <v>501.36113944708791</v>
      </c>
      <c r="AS46" s="8">
        <v>6.0404956559890106</v>
      </c>
      <c r="AT46" s="8">
        <v>9.1567889097467656</v>
      </c>
      <c r="AU46" s="8">
        <v>1147.7145303667739</v>
      </c>
      <c r="AV46" s="8">
        <v>13.827885908033421</v>
      </c>
      <c r="AW46" s="8">
        <v>761.71529040043322</v>
      </c>
      <c r="AX46" s="8"/>
      <c r="AY46" s="8">
        <v>47.264443383438035</v>
      </c>
      <c r="AZ46" s="8"/>
      <c r="BA46" s="8"/>
      <c r="BB46" s="8"/>
      <c r="BC46" s="69"/>
      <c r="BD46" s="8">
        <v>5.0199999999999996</v>
      </c>
      <c r="BE46" s="8">
        <v>21.460016382662563</v>
      </c>
      <c r="BF46" s="8">
        <v>25.792345087952068</v>
      </c>
      <c r="BG46" s="8">
        <v>587.24114544059682</v>
      </c>
      <c r="BH46" s="8">
        <v>7.0751945233806843</v>
      </c>
      <c r="BI46" s="8">
        <v>7.2871330256906486</v>
      </c>
      <c r="BJ46" s="8">
        <v>1069.8260862461445</v>
      </c>
      <c r="BK46" s="8">
        <v>12.889470918628248</v>
      </c>
      <c r="BL46" s="8">
        <v>465.34633988413179</v>
      </c>
      <c r="BM46" s="8"/>
      <c r="BN46" s="8">
        <v>51.944567972997213</v>
      </c>
      <c r="BO46" s="8"/>
      <c r="BP46" s="8"/>
      <c r="BQ46" s="8"/>
      <c r="BR46" s="69"/>
      <c r="BS46" s="14">
        <v>5.04</v>
      </c>
      <c r="BT46" s="14">
        <v>21.355451160697289</v>
      </c>
      <c r="BU46" s="14">
        <v>21.355451160697289</v>
      </c>
      <c r="BV46" s="14">
        <v>25.285009888023332</v>
      </c>
      <c r="BW46" s="14">
        <v>472.02261363336481</v>
      </c>
      <c r="BX46" s="14">
        <v>5.687019441365841</v>
      </c>
      <c r="BY46" s="14">
        <v>8.1892817908357447</v>
      </c>
      <c r="BZ46" s="14">
        <v>966.38154867260266</v>
      </c>
      <c r="CA46" s="14">
        <v>11.643151188826538</v>
      </c>
      <c r="CB46" s="14">
        <v>592.2671309053527</v>
      </c>
      <c r="CC46" s="14"/>
      <c r="CD46" s="14">
        <v>46.625732231304674</v>
      </c>
      <c r="CE46" s="14"/>
      <c r="CF46" s="14"/>
      <c r="CG46" s="69"/>
      <c r="CH46" s="14">
        <v>5.21</v>
      </c>
      <c r="CI46" s="14">
        <v>20.426982535908046</v>
      </c>
      <c r="CJ46" s="14">
        <v>24.258451914790161</v>
      </c>
      <c r="CK46" s="14">
        <v>548.57276809352584</v>
      </c>
      <c r="CL46" s="14">
        <v>6.6093104589581424</v>
      </c>
      <c r="CM46" s="14">
        <v>7.0449148955924761</v>
      </c>
      <c r="CN46" s="14">
        <v>966.16211631461931</v>
      </c>
      <c r="CO46" s="14">
        <v>11.640507425477342</v>
      </c>
      <c r="CP46" s="14">
        <v>443.5336177127611</v>
      </c>
      <c r="CQ46" s="14"/>
      <c r="CR46" s="14">
        <v>49.695796969766413</v>
      </c>
      <c r="CS46" s="14"/>
      <c r="CT46" s="14"/>
      <c r="CU46" s="14"/>
      <c r="CV46" s="69"/>
      <c r="CW46" s="14">
        <f t="shared" si="6"/>
        <v>-15.777777777777777</v>
      </c>
      <c r="CX46" s="8">
        <f t="shared" si="7"/>
        <v>16.024820900662618</v>
      </c>
      <c r="CY46" s="8">
        <f t="shared" si="8"/>
        <v>12.666610198571519</v>
      </c>
      <c r="CZ46" s="8">
        <f t="shared" si="9"/>
        <v>26.661629500727976</v>
      </c>
      <c r="DA46" s="8">
        <f>((SUM(CH46,BS46,BD46,AO46,Z46,K46)/(MAX(CH46,BS46,BD46,AO46,Z46,K46)*6)-1))*100</f>
        <v>-6.7178502879078668</v>
      </c>
      <c r="DB46" s="8">
        <f>AVERAGE(K46,Z46,AO46,BD46,BS46,CH46)</f>
        <v>4.8600000000000003</v>
      </c>
    </row>
    <row r="47" spans="1:106" ht="15.75" x14ac:dyDescent="0.25">
      <c r="A47" s="10">
        <v>46</v>
      </c>
      <c r="B47" s="6" t="s">
        <v>124</v>
      </c>
      <c r="C47" s="6" t="s">
        <v>125</v>
      </c>
      <c r="D47" s="6">
        <v>69</v>
      </c>
      <c r="E47" s="6">
        <v>179</v>
      </c>
      <c r="F47" s="6">
        <v>19</v>
      </c>
      <c r="G47" s="37" t="s">
        <v>32</v>
      </c>
      <c r="H47" s="37" t="s">
        <v>63</v>
      </c>
      <c r="I47" s="37">
        <v>20</v>
      </c>
      <c r="J47" s="72"/>
      <c r="K47" s="8">
        <v>4.24</v>
      </c>
      <c r="L47" s="8">
        <v>23.412889912614478</v>
      </c>
      <c r="M47" s="8">
        <v>30.61709556581058</v>
      </c>
      <c r="N47" s="8">
        <v>565.1031954551413</v>
      </c>
      <c r="O47" s="8">
        <v>8.1899013834078449</v>
      </c>
      <c r="P47" s="8">
        <v>8.1606126529077461</v>
      </c>
      <c r="Q47" s="8">
        <v>1152.8970717574564</v>
      </c>
      <c r="R47" s="8">
        <v>16.708653213876179</v>
      </c>
      <c r="S47" s="8">
        <v>519.46844501528483</v>
      </c>
      <c r="T47" s="8"/>
      <c r="U47" s="8">
        <v>519.46844501528483</v>
      </c>
      <c r="V47" s="8"/>
      <c r="W47" s="8"/>
      <c r="X47" s="8"/>
      <c r="Y47" s="69"/>
      <c r="Z47" s="8">
        <v>4.33</v>
      </c>
      <c r="AA47" s="8">
        <v>23.229809132468713</v>
      </c>
      <c r="AB47" s="8">
        <v>28.175304733702799</v>
      </c>
      <c r="AC47" s="8">
        <v>532.58718023922233</v>
      </c>
      <c r="AD47" s="8">
        <v>7.7186547860756862</v>
      </c>
      <c r="AE47" s="8">
        <v>8.1806983139015994</v>
      </c>
      <c r="AF47" s="8">
        <v>1089.2337618471533</v>
      </c>
      <c r="AG47" s="8">
        <v>15.785996548509468</v>
      </c>
      <c r="AH47" s="8">
        <v>564.20798031683012</v>
      </c>
      <c r="AI47" s="8"/>
      <c r="AJ47" s="8">
        <v>52.665250432179455</v>
      </c>
      <c r="AK47" s="8"/>
      <c r="AL47" s="8"/>
      <c r="AM47" s="8"/>
      <c r="AN47" s="69"/>
      <c r="AO47" s="8">
        <v>4.49</v>
      </c>
      <c r="AP47" s="8">
        <v>23.109182098530706</v>
      </c>
      <c r="AQ47" s="8">
        <v>27.954859947128849</v>
      </c>
      <c r="AR47" s="8">
        <v>484.39610924999266</v>
      </c>
      <c r="AS47" s="8">
        <v>7.0202334673911979</v>
      </c>
      <c r="AT47" s="8">
        <v>7.7000864750033706</v>
      </c>
      <c r="AU47" s="8">
        <v>932.47298234503091</v>
      </c>
      <c r="AV47" s="8">
        <v>13.514101193406246</v>
      </c>
      <c r="AW47" s="8">
        <v>403.66562721001935</v>
      </c>
      <c r="AX47" s="8"/>
      <c r="AY47" s="8">
        <v>47.438857447563926</v>
      </c>
      <c r="AZ47" s="8"/>
      <c r="BA47" s="8"/>
      <c r="BB47" s="8"/>
      <c r="BC47" s="69"/>
      <c r="BD47" s="8">
        <v>4.58</v>
      </c>
      <c r="BE47" s="8">
        <v>22.343743279446326</v>
      </c>
      <c r="BF47" s="8">
        <v>25.904651662996052</v>
      </c>
      <c r="BG47" s="8">
        <v>462.41100596966146</v>
      </c>
      <c r="BH47" s="8">
        <v>6.7016087821690062</v>
      </c>
      <c r="BI47" s="8">
        <v>8.0375176125562859</v>
      </c>
      <c r="BJ47" s="8">
        <v>929.159151180256</v>
      </c>
      <c r="BK47" s="8">
        <v>13.466074654786318</v>
      </c>
      <c r="BL47" s="8">
        <v>539.16366298500077</v>
      </c>
      <c r="BM47" s="8"/>
      <c r="BN47" s="8">
        <v>44.54982600907681</v>
      </c>
      <c r="BO47" s="8"/>
      <c r="BP47" s="8"/>
      <c r="BQ47" s="8"/>
      <c r="BR47" s="69"/>
      <c r="BS47" s="14">
        <v>4.6500000000000004</v>
      </c>
      <c r="BT47" s="14">
        <v>21.24569607034698</v>
      </c>
      <c r="BU47" s="14">
        <v>21.24569607034698</v>
      </c>
      <c r="BV47" s="14">
        <v>26.381722933739809</v>
      </c>
      <c r="BW47" s="14">
        <v>498.30337477291459</v>
      </c>
      <c r="BX47" s="14">
        <v>7.2217880401871684</v>
      </c>
      <c r="BY47" s="14">
        <v>7.3316931624216917</v>
      </c>
      <c r="BZ47" s="14">
        <v>913.35186140855785</v>
      </c>
      <c r="CA47" s="14">
        <v>13.236983498674752</v>
      </c>
      <c r="CB47" s="14">
        <v>410.38375935394134</v>
      </c>
      <c r="CC47" s="14"/>
      <c r="CD47" s="14">
        <v>54.765325697312164</v>
      </c>
      <c r="CE47" s="14"/>
      <c r="CF47" s="14"/>
      <c r="CG47" s="69"/>
      <c r="CH47" s="14">
        <v>4.6100000000000003</v>
      </c>
      <c r="CI47" s="14">
        <v>22.935422288742721</v>
      </c>
      <c r="CJ47" s="14">
        <v>24.348491137252427</v>
      </c>
      <c r="CK47" s="14">
        <v>560.12588300342168</v>
      </c>
      <c r="CL47" s="14">
        <v>8.1177664203394446</v>
      </c>
      <c r="CM47" s="14">
        <v>7.411513242132763</v>
      </c>
      <c r="CN47" s="14">
        <v>1037.8450997852917</v>
      </c>
      <c r="CO47" s="14">
        <v>15.041233330221619</v>
      </c>
      <c r="CP47" s="14">
        <v>470.10441853657011</v>
      </c>
      <c r="CQ47" s="14"/>
      <c r="CR47" s="14">
        <v>29.933415321403945</v>
      </c>
      <c r="CS47" s="14"/>
      <c r="CT47" s="14"/>
      <c r="CU47" s="14"/>
      <c r="CV47" s="69"/>
      <c r="CW47" s="14">
        <f t="shared" si="6"/>
        <v>-9.6698113207547198</v>
      </c>
      <c r="CX47" s="8">
        <f t="shared" si="7"/>
        <v>17.445163667461397</v>
      </c>
      <c r="CY47" s="8">
        <f t="shared" si="8"/>
        <v>9.4024378146514369</v>
      </c>
      <c r="CZ47" s="8">
        <f t="shared" si="9"/>
        <v>14.696075009228348</v>
      </c>
      <c r="DA47" s="8">
        <f>((SUM(CH47,BS47,BD47,AO47,Z47,K47)/(MAX(CH47,BS47,BD47,AO47,Z47,K47)*6)-1))*100</f>
        <v>-3.584229390680993</v>
      </c>
      <c r="DB47" s="8">
        <f>AVERAGE(K47,Z47,AO47,BD47,BS47,CH47)</f>
        <v>4.4833333333333334</v>
      </c>
    </row>
    <row r="48" spans="1:106" ht="15.75" x14ac:dyDescent="0.25">
      <c r="A48" s="10">
        <v>47</v>
      </c>
      <c r="B48" s="6" t="s">
        <v>200</v>
      </c>
      <c r="C48" s="6" t="s">
        <v>130</v>
      </c>
      <c r="D48" s="6">
        <v>64</v>
      </c>
      <c r="E48" s="6">
        <v>175</v>
      </c>
      <c r="F48" s="6">
        <v>21</v>
      </c>
      <c r="G48" s="37" t="s">
        <v>45</v>
      </c>
      <c r="H48" s="37" t="s">
        <v>63</v>
      </c>
      <c r="I48" s="37">
        <v>19</v>
      </c>
      <c r="J48" s="72"/>
      <c r="K48" s="8">
        <v>4.26</v>
      </c>
      <c r="L48" s="8">
        <v>25.450975553058854</v>
      </c>
      <c r="M48" s="8">
        <v>29.87239583160784</v>
      </c>
      <c r="N48" s="8">
        <v>475.03955871369652</v>
      </c>
      <c r="O48" s="8">
        <v>7.4224931049015082</v>
      </c>
      <c r="P48" s="8">
        <v>9.5604006260842898</v>
      </c>
      <c r="Q48" s="8">
        <v>1135.3921236353071</v>
      </c>
      <c r="R48" s="8">
        <v>17.740501931801674</v>
      </c>
      <c r="S48" s="8">
        <v>730.08098794070054</v>
      </c>
      <c r="T48" s="8"/>
      <c r="U48" s="8">
        <v>730.08098794070054</v>
      </c>
      <c r="V48" s="8"/>
      <c r="W48" s="8"/>
      <c r="X48" s="8"/>
      <c r="Y48" s="69"/>
      <c r="Z48" s="8">
        <v>4.18</v>
      </c>
      <c r="AA48" s="8">
        <v>24.260552693996566</v>
      </c>
      <c r="AB48" s="8">
        <v>31.099660592582453</v>
      </c>
      <c r="AC48" s="8">
        <v>531.48347094352869</v>
      </c>
      <c r="AD48" s="8">
        <v>8.3044292334926357</v>
      </c>
      <c r="AE48" s="8">
        <v>8.4510591870470879</v>
      </c>
      <c r="AF48" s="8">
        <v>1122.8995674702455</v>
      </c>
      <c r="AG48" s="8">
        <v>17.545305741722586</v>
      </c>
      <c r="AH48" s="8">
        <v>529.24196237047227</v>
      </c>
      <c r="AI48" s="8"/>
      <c r="AJ48" s="8">
        <v>60.057761329810624</v>
      </c>
      <c r="AK48" s="8">
        <v>-0.98264951761559172</v>
      </c>
      <c r="AL48" s="8"/>
      <c r="AM48" s="8"/>
      <c r="AN48" s="69"/>
      <c r="AO48" s="8">
        <v>4.4800000000000004</v>
      </c>
      <c r="AP48" s="8">
        <v>23.821757149071654</v>
      </c>
      <c r="AQ48" s="8">
        <v>27.823504202651954</v>
      </c>
      <c r="AR48" s="8">
        <v>442.5253554523652</v>
      </c>
      <c r="AS48" s="8">
        <v>6.9144586789432063</v>
      </c>
      <c r="AT48" s="8">
        <v>8.8344644404121446</v>
      </c>
      <c r="AU48" s="8">
        <v>977.36862918116628</v>
      </c>
      <c r="AV48" s="8">
        <v>15.271384830955723</v>
      </c>
      <c r="AW48" s="8">
        <v>605.94536713017851</v>
      </c>
      <c r="AX48" s="8"/>
      <c r="AY48" s="8">
        <v>47.310222409841103</v>
      </c>
      <c r="AZ48" s="8"/>
      <c r="BA48" s="8"/>
      <c r="BB48" s="8"/>
      <c r="BC48" s="69"/>
      <c r="BD48" s="8">
        <v>4.6100000000000003</v>
      </c>
      <c r="BE48" s="8">
        <v>22.850511891808448</v>
      </c>
      <c r="BF48" s="8">
        <v>28.268906693878854</v>
      </c>
      <c r="BG48" s="8">
        <v>497.92659355682287</v>
      </c>
      <c r="BH48" s="8">
        <v>7.7801030243253573</v>
      </c>
      <c r="BI48" s="8">
        <v>8.0011435913669224</v>
      </c>
      <c r="BJ48" s="8">
        <v>995.99554325208385</v>
      </c>
      <c r="BK48" s="8">
        <v>15.56243036331381</v>
      </c>
      <c r="BL48" s="8">
        <v>473.18707627991728</v>
      </c>
      <c r="BM48" s="8"/>
      <c r="BN48" s="8">
        <v>57.493967596376649</v>
      </c>
      <c r="BO48" s="8"/>
      <c r="BP48" s="8"/>
      <c r="BQ48" s="8"/>
      <c r="BR48" s="69"/>
      <c r="BS48" s="14">
        <v>4.87</v>
      </c>
      <c r="BT48" s="14">
        <v>22.846053416004896</v>
      </c>
      <c r="BU48" s="14">
        <v>22.846053416004896</v>
      </c>
      <c r="BV48" s="14">
        <v>26.160105202178357</v>
      </c>
      <c r="BW48" s="14">
        <v>344.29342504163367</v>
      </c>
      <c r="BX48" s="14">
        <v>5.3795847662755261</v>
      </c>
      <c r="BY48" s="14">
        <v>9.030238451739887</v>
      </c>
      <c r="BZ48" s="14">
        <v>777.26293137304617</v>
      </c>
      <c r="CA48" s="14">
        <v>12.144733302703846</v>
      </c>
      <c r="CB48" s="14">
        <v>548.85384215898159</v>
      </c>
      <c r="CC48" s="14"/>
      <c r="CD48" s="14">
        <v>40.55916865615076</v>
      </c>
      <c r="CE48" s="14"/>
      <c r="CF48" s="14"/>
      <c r="CG48" s="69"/>
      <c r="CH48" s="14">
        <v>4.87</v>
      </c>
      <c r="CI48" s="14">
        <v>21.295968825345891</v>
      </c>
      <c r="CJ48" s="14">
        <v>25.229489650027766</v>
      </c>
      <c r="CK48" s="14">
        <v>434.67457660326943</v>
      </c>
      <c r="CL48" s="14">
        <v>6.7917902594260848</v>
      </c>
      <c r="CM48" s="14">
        <v>7.4808466670895122</v>
      </c>
      <c r="CN48" s="14">
        <v>812.93346441277822</v>
      </c>
      <c r="CO48" s="14">
        <v>12.70208538144966</v>
      </c>
      <c r="CP48" s="14">
        <v>412.94923775169366</v>
      </c>
      <c r="CQ48" s="14"/>
      <c r="CR48" s="14">
        <v>48.791157160674899</v>
      </c>
      <c r="CS48" s="14"/>
      <c r="CT48" s="14"/>
      <c r="CU48" s="14"/>
      <c r="CV48" s="69"/>
      <c r="CW48" s="8">
        <f>100*((MIN(CH48,BS48,BD48,AO48,Z48,K48)-MAX(CH48,BS48,BD48,AO48,Z48,K48))/(MIN(CH48,BS48,BD48,AO48,Z48,K48)))</f>
        <v>-16.507177033492834</v>
      </c>
      <c r="CX48" s="8">
        <f>100*(((MAX(CK48,BH48,AD48))-MIN(CK48,BH48,AD48))/(MAX(CK48,BH48,AD48)))</f>
        <v>98.210131568972287</v>
      </c>
      <c r="CY48" s="8">
        <f>100*((MAX(CL48,BI48,AE48))-MIN(CL48,BI48,AE48))/(MAX(CL48,BI48,AE48))</f>
        <v>19.633857613542208</v>
      </c>
      <c r="CZ48" s="8">
        <f>100*((MAX(CN48,BK48,AG48))-MIN(CN48,BK48,AG48))/(MAX(CN48,BK48,AG48))</f>
        <v>98.085645253322753</v>
      </c>
      <c r="DA48" s="8">
        <f>((SUM(CH48,BS48,BD48,AO48,Z48,K48)/(MAX(CH48,BS48,BD48,AO48,Z48,K48)*6)-1))*100</f>
        <v>-6.6735112936344816</v>
      </c>
      <c r="DB48" s="8">
        <f>AVERAGE(K48,Z48,AO48,BD48,BS48,CH48)</f>
        <v>4.5450000000000008</v>
      </c>
    </row>
    <row r="49" spans="1:106" ht="15.75" x14ac:dyDescent="0.25">
      <c r="A49" s="10">
        <v>48</v>
      </c>
      <c r="B49" s="6" t="s">
        <v>328</v>
      </c>
      <c r="C49" s="6" t="s">
        <v>329</v>
      </c>
      <c r="D49" s="6">
        <v>68</v>
      </c>
      <c r="E49" s="6">
        <v>168</v>
      </c>
      <c r="F49" s="6">
        <v>27</v>
      </c>
      <c r="G49" s="37" t="s">
        <v>32</v>
      </c>
      <c r="H49" s="37" t="s">
        <v>63</v>
      </c>
      <c r="I49" s="37">
        <v>26</v>
      </c>
      <c r="J49" s="72"/>
      <c r="K49" s="8">
        <v>4.17</v>
      </c>
      <c r="L49" s="8">
        <v>25.456790151954298</v>
      </c>
      <c r="M49" s="8">
        <v>31.459323253380663</v>
      </c>
      <c r="N49" s="8">
        <v>577.34652192290866</v>
      </c>
      <c r="O49" s="8">
        <v>8.4903900282780693</v>
      </c>
      <c r="P49" s="8">
        <v>9.2882951968917311</v>
      </c>
      <c r="Q49" s="8">
        <v>1340.6412316296748</v>
      </c>
      <c r="R49" s="8">
        <v>19.715312229848159</v>
      </c>
      <c r="S49" s="8">
        <v>746.26796966189477</v>
      </c>
      <c r="T49" s="8">
        <v>19.196625952836769</v>
      </c>
      <c r="U49" s="8">
        <v>58.769296628586154</v>
      </c>
      <c r="V49" s="8">
        <v>-0.91409562770133812</v>
      </c>
      <c r="W49" s="8">
        <v>-7.8993527919582478</v>
      </c>
      <c r="X49" s="8">
        <v>27.747770726322035</v>
      </c>
      <c r="Y49" s="69"/>
      <c r="Z49" s="8">
        <v>4.17</v>
      </c>
      <c r="AA49" s="8">
        <v>24.280318272895528</v>
      </c>
      <c r="AB49" s="8">
        <v>29.955222908912837</v>
      </c>
      <c r="AC49" s="8">
        <v>554.3005857369435</v>
      </c>
      <c r="AD49" s="8">
        <v>8.1514792020138742</v>
      </c>
      <c r="AE49" s="8">
        <v>8.7550103295936843</v>
      </c>
      <c r="AF49" s="8">
        <v>1213.2268384566926</v>
      </c>
      <c r="AG49" s="8">
        <v>17.84157115377489</v>
      </c>
      <c r="AH49" s="8">
        <v>658.00973428727082</v>
      </c>
      <c r="AI49" s="8">
        <v>17.856265327952585</v>
      </c>
      <c r="AJ49" s="8">
        <v>56.581654031850583</v>
      </c>
      <c r="AK49" s="8">
        <v>-0.93106448709263601</v>
      </c>
      <c r="AL49" s="8">
        <v>-8.1937650380522893</v>
      </c>
      <c r="AM49" s="8">
        <v>26.600479527535061</v>
      </c>
      <c r="AN49" s="69"/>
      <c r="AO49" s="8">
        <v>4.6399999999999997</v>
      </c>
      <c r="AP49" s="8">
        <v>23.143568058528942</v>
      </c>
      <c r="AQ49" s="8">
        <v>27.705329937114993</v>
      </c>
      <c r="AR49" s="8">
        <v>499.93074169446771</v>
      </c>
      <c r="AS49" s="8">
        <v>7.3519226719774666</v>
      </c>
      <c r="AT49" s="8">
        <v>8.3032767468358273</v>
      </c>
      <c r="AU49" s="8">
        <v>1037.7658256350155</v>
      </c>
      <c r="AV49" s="8">
        <v>15.261262141691404</v>
      </c>
      <c r="AW49" s="8">
        <v>558.19624406317155</v>
      </c>
      <c r="AX49" s="8">
        <v>16.018178043489314</v>
      </c>
      <c r="AY49" s="8">
        <v>52.434129459450673</v>
      </c>
      <c r="AZ49" s="8">
        <v>-0.88542426034144894</v>
      </c>
      <c r="BA49" s="8">
        <v>-7.9674033941870919</v>
      </c>
      <c r="BB49" s="8">
        <v>25.272489347494592</v>
      </c>
      <c r="BC49" s="69"/>
      <c r="BD49" s="8">
        <v>4.63</v>
      </c>
      <c r="BE49" s="8">
        <v>22.45982819275676</v>
      </c>
      <c r="BF49" s="8">
        <v>27.545878124793045</v>
      </c>
      <c r="BG49" s="8">
        <v>513.24228548389942</v>
      </c>
      <c r="BH49" s="8">
        <v>7.547680668880874</v>
      </c>
      <c r="BI49" s="8">
        <v>7.739749670600415</v>
      </c>
      <c r="BJ49" s="8">
        <v>993.09170250305363</v>
      </c>
      <c r="BK49" s="8">
        <v>14.604289742691964</v>
      </c>
      <c r="BL49" s="8">
        <v>455.1435813573504</v>
      </c>
      <c r="BM49" s="8">
        <v>14.060146500863542</v>
      </c>
      <c r="BN49" s="8">
        <v>54.837562006641484</v>
      </c>
      <c r="BO49" s="8">
        <v>-0.97518408089487441</v>
      </c>
      <c r="BP49" s="8">
        <v>-8.8111945271277587</v>
      </c>
      <c r="BQ49" s="8">
        <v>24.311823101381897</v>
      </c>
      <c r="BR49" s="69"/>
      <c r="BS49" s="14">
        <v>4.99</v>
      </c>
      <c r="BT49" s="14">
        <v>21.198985545405268</v>
      </c>
      <c r="BU49" s="14">
        <v>25.316770358784339</v>
      </c>
      <c r="BV49" s="14">
        <v>446.03352811952004</v>
      </c>
      <c r="BW49" s="14">
        <v>6.5593165899929415</v>
      </c>
      <c r="BX49" s="14">
        <v>7.6341406270004013</v>
      </c>
      <c r="BY49" s="14">
        <v>851.27066950538847</v>
      </c>
      <c r="BZ49" s="14">
        <v>12.518686316255712</v>
      </c>
      <c r="CA49" s="14">
        <v>447.37995192040376</v>
      </c>
      <c r="CB49" s="14">
        <v>14.551551011383593</v>
      </c>
      <c r="CC49" s="14">
        <v>50.35927082506155</v>
      </c>
      <c r="CD49" s="14">
        <v>-0.85920824759161152</v>
      </c>
      <c r="CE49" s="14">
        <v>-7.8307379986552963</v>
      </c>
      <c r="CF49" s="14">
        <v>23.517179786385746</v>
      </c>
      <c r="CG49" s="69"/>
      <c r="CH49" s="14">
        <v>4.8</v>
      </c>
      <c r="CI49" s="14">
        <v>21.251700502228786</v>
      </c>
      <c r="CJ49" s="14">
        <v>26.214149511872776</v>
      </c>
      <c r="CK49" s="14">
        <v>479.30166341354379</v>
      </c>
      <c r="CL49" s="14">
        <v>7.0485538737285856</v>
      </c>
      <c r="CM49" s="14">
        <v>7.2092490806040335</v>
      </c>
      <c r="CN49" s="14">
        <v>863.85126907401866</v>
      </c>
      <c r="CO49" s="14">
        <v>12.703695133441451</v>
      </c>
      <c r="CP49" s="14">
        <v>365.73266815996288</v>
      </c>
      <c r="CQ49" s="14">
        <v>12.315409037568596</v>
      </c>
      <c r="CR49" s="14">
        <v>53.540276713187176</v>
      </c>
      <c r="CS49" s="14">
        <v>-0.97770985506551755</v>
      </c>
      <c r="CT49" s="14">
        <v>-8.9548826237499632</v>
      </c>
      <c r="CU49" s="14">
        <v>23.02987334117357</v>
      </c>
      <c r="CV49" s="69"/>
      <c r="CW49" s="8">
        <f t="shared" si="0"/>
        <v>-19.664268585131904</v>
      </c>
      <c r="CX49" s="8">
        <f t="shared" si="1"/>
        <v>13.530370389864995</v>
      </c>
      <c r="CY49" s="8">
        <f t="shared" si="2"/>
        <v>17.655733012269202</v>
      </c>
      <c r="CZ49" s="8">
        <f t="shared" si="3"/>
        <v>28.797217330528515</v>
      </c>
      <c r="DA49" s="8">
        <f t="shared" si="4"/>
        <v>-8.4836339345357494</v>
      </c>
      <c r="DB49" s="8">
        <f t="shared" si="5"/>
        <v>4.5666666666666673</v>
      </c>
    </row>
    <row r="50" spans="1:106" ht="15.75" x14ac:dyDescent="0.25">
      <c r="A50" s="10">
        <v>49</v>
      </c>
      <c r="B50" s="3" t="s">
        <v>331</v>
      </c>
      <c r="C50" s="3" t="s">
        <v>330</v>
      </c>
      <c r="D50" s="3">
        <v>79</v>
      </c>
      <c r="E50" s="3">
        <v>173</v>
      </c>
      <c r="F50" s="3">
        <v>23</v>
      </c>
      <c r="G50" s="12" t="s">
        <v>32</v>
      </c>
      <c r="H50" s="12" t="s">
        <v>63</v>
      </c>
      <c r="I50" s="12">
        <v>26</v>
      </c>
      <c r="J50" s="72"/>
      <c r="K50" s="8">
        <v>4.22</v>
      </c>
      <c r="L50" s="8">
        <v>23.668349093046171</v>
      </c>
      <c r="M50" s="8">
        <v>30.373994536796104</v>
      </c>
      <c r="N50" s="8">
        <v>659.51377000092089</v>
      </c>
      <c r="O50" s="8">
        <v>8.3482755696319106</v>
      </c>
      <c r="P50" s="8">
        <v>8.6972312276317556</v>
      </c>
      <c r="Q50" s="8">
        <v>1433.9859388762891</v>
      </c>
      <c r="R50" s="8">
        <v>18.151720745269483</v>
      </c>
      <c r="S50" s="8">
        <v>746.0445347280122</v>
      </c>
      <c r="T50" s="8">
        <v>19.040176390003779</v>
      </c>
      <c r="U50" s="8">
        <v>62.737376933823008</v>
      </c>
      <c r="V50" s="8">
        <v>-0.95987738524288169</v>
      </c>
      <c r="W50" s="8">
        <v>-8.1463049387114381</v>
      </c>
      <c r="X50" s="8">
        <v>26.571411871065614</v>
      </c>
      <c r="Y50" s="69"/>
      <c r="Z50" s="8">
        <v>4.5</v>
      </c>
      <c r="AA50" s="8">
        <v>23.113946305814327</v>
      </c>
      <c r="AB50" s="8">
        <v>28.726802456934156</v>
      </c>
      <c r="AC50" s="8">
        <v>612.80238255219922</v>
      </c>
      <c r="AD50" s="8">
        <v>7.7569921842050533</v>
      </c>
      <c r="AE50" s="8">
        <v>7.9201286873213457</v>
      </c>
      <c r="AF50" s="8">
        <v>1213.3684324276358</v>
      </c>
      <c r="AG50" s="8">
        <v>15.359094081362478</v>
      </c>
      <c r="AH50" s="8">
        <v>543.19854816318878</v>
      </c>
      <c r="AI50" s="8">
        <v>14.059178018217215</v>
      </c>
      <c r="AJ50" s="8">
        <v>56.123941555739556</v>
      </c>
      <c r="AK50" s="8">
        <v>-0.97940229135702694</v>
      </c>
      <c r="AL50" s="8">
        <v>-8.8193957319519942</v>
      </c>
      <c r="AM50" s="8">
        <v>24.910457661277718</v>
      </c>
      <c r="AN50" s="69"/>
      <c r="AO50" s="8">
        <v>4.59</v>
      </c>
      <c r="AP50" s="8">
        <v>21.134074723340344</v>
      </c>
      <c r="AQ50" s="8">
        <v>27.548318674497136</v>
      </c>
      <c r="AR50" s="8">
        <v>601.25002524374031</v>
      </c>
      <c r="AS50" s="8">
        <v>7.610759813211903</v>
      </c>
      <c r="AT50" s="8">
        <v>7.8435883488226317</v>
      </c>
      <c r="AU50" s="8">
        <v>1178.9894231827786</v>
      </c>
      <c r="AV50" s="8">
        <v>14.923916749149097</v>
      </c>
      <c r="AW50" s="8">
        <v>559.67810617614691</v>
      </c>
      <c r="AX50" s="8">
        <v>17.798699790595318</v>
      </c>
      <c r="AY50" s="8">
        <v>64.167674895891807</v>
      </c>
      <c r="AZ50" s="8">
        <v>-0.97031606896533795</v>
      </c>
      <c r="BA50" s="8">
        <v>-8.2060378863916998</v>
      </c>
      <c r="BB50" s="8">
        <v>24.531928178739861</v>
      </c>
      <c r="BC50" s="69"/>
      <c r="BD50" s="8">
        <v>4.8499999999999996</v>
      </c>
      <c r="BE50" s="8">
        <v>21.251105020174585</v>
      </c>
      <c r="BF50" s="8">
        <v>26.104920688744414</v>
      </c>
      <c r="BG50" s="8">
        <v>557.4698476062382</v>
      </c>
      <c r="BH50" s="8">
        <v>7.0565803494460528</v>
      </c>
      <c r="BI50" s="8">
        <v>7.1952757695015208</v>
      </c>
      <c r="BJ50" s="8">
        <v>1002.7873216772177</v>
      </c>
      <c r="BK50" s="8">
        <v>12.69351040097744</v>
      </c>
      <c r="BL50" s="8">
        <v>420.04677589268226</v>
      </c>
      <c r="BM50" s="8">
        <v>12.220826280980145</v>
      </c>
      <c r="BN50" s="8">
        <v>53.49844749317765</v>
      </c>
      <c r="BO50" s="8">
        <v>-0.98072409946490835</v>
      </c>
      <c r="BP50" s="8">
        <v>-8.9833332293339776</v>
      </c>
      <c r="BQ50" s="8">
        <v>22.992215781158563</v>
      </c>
      <c r="BR50" s="69"/>
      <c r="BS50" s="14">
        <v>5.25</v>
      </c>
      <c r="BT50" s="14">
        <v>19.515200960457722</v>
      </c>
      <c r="BU50" s="14">
        <v>23.796729706874565</v>
      </c>
      <c r="BV50" s="14">
        <v>499.34242387498256</v>
      </c>
      <c r="BW50" s="14">
        <v>6.3207901756326903</v>
      </c>
      <c r="BX50" s="14">
        <v>6.9690550229691546</v>
      </c>
      <c r="BY50" s="14">
        <v>869.98620682188493</v>
      </c>
      <c r="BZ50" s="14">
        <v>11.012483630656771</v>
      </c>
      <c r="CA50" s="14">
        <v>406.50215995943029</v>
      </c>
      <c r="CB50" s="14">
        <v>13.532474384860793</v>
      </c>
      <c r="CC50" s="14">
        <v>53.261373607661021</v>
      </c>
      <c r="CD50" s="14">
        <v>-0.90697951943271193</v>
      </c>
      <c r="CE50" s="14">
        <v>-8.2170937669173139</v>
      </c>
      <c r="CF50" s="14">
        <v>22.027313929429116</v>
      </c>
      <c r="CG50" s="69"/>
      <c r="CH50" s="14">
        <v>5.31</v>
      </c>
      <c r="CI50" s="14">
        <v>18.936620868871763</v>
      </c>
      <c r="CJ50" s="14">
        <v>24.247050933567575</v>
      </c>
      <c r="CK50" s="14">
        <v>526.21912831606608</v>
      </c>
      <c r="CL50" s="14">
        <v>6.6610016242540011</v>
      </c>
      <c r="CM50" s="14">
        <v>6.4189984751543392</v>
      </c>
      <c r="CN50" s="14">
        <v>844.44994556446841</v>
      </c>
      <c r="CO50" s="14">
        <v>10.689239817271751</v>
      </c>
      <c r="CP50" s="14">
        <v>298.26971978923342</v>
      </c>
      <c r="CQ50" s="14">
        <v>11.365495404712339</v>
      </c>
      <c r="CR50" s="14">
        <v>60.351764614612634</v>
      </c>
      <c r="CS50" s="14">
        <v>-1.037701075960116</v>
      </c>
      <c r="CT50" s="14">
        <v>-9.2806507352378098</v>
      </c>
      <c r="CU50" s="14">
        <v>21.066541723873858</v>
      </c>
      <c r="CV50" s="69"/>
      <c r="CW50" s="14">
        <f t="shared" si="0"/>
        <v>-25.829383886255926</v>
      </c>
      <c r="CX50" s="8">
        <f t="shared" si="1"/>
        <v>14.129066188602469</v>
      </c>
      <c r="CY50" s="8">
        <f t="shared" si="2"/>
        <v>18.953356333338839</v>
      </c>
      <c r="CZ50" s="8">
        <f t="shared" si="3"/>
        <v>30.404490260642199</v>
      </c>
      <c r="DA50" s="14">
        <f t="shared" si="4"/>
        <v>-9.8556183301946039</v>
      </c>
      <c r="DB50" s="14">
        <f t="shared" si="5"/>
        <v>4.7866666666666662</v>
      </c>
    </row>
    <row r="51" spans="1:106" ht="15.75" x14ac:dyDescent="0.25">
      <c r="A51" s="10">
        <v>50</v>
      </c>
      <c r="B51" s="3" t="s">
        <v>333</v>
      </c>
      <c r="C51" s="3" t="s">
        <v>332</v>
      </c>
      <c r="D51" s="3">
        <v>75</v>
      </c>
      <c r="E51" s="3">
        <v>186</v>
      </c>
      <c r="F51" s="3">
        <v>24</v>
      </c>
      <c r="G51" s="12" t="s">
        <v>32</v>
      </c>
      <c r="H51" s="12" t="s">
        <v>63</v>
      </c>
      <c r="I51" s="12">
        <v>24</v>
      </c>
      <c r="J51" s="72"/>
      <c r="K51" s="8">
        <v>4.53</v>
      </c>
      <c r="L51" s="8">
        <v>23.499267619591357</v>
      </c>
      <c r="M51" s="8">
        <v>28.558053508328847</v>
      </c>
      <c r="N51" s="8">
        <v>527.1871620675505</v>
      </c>
      <c r="O51" s="8">
        <v>7.0291621609006736</v>
      </c>
      <c r="P51" s="8">
        <v>8.9456555908874176</v>
      </c>
      <c r="Q51" s="8">
        <v>1179.0086959484136</v>
      </c>
      <c r="R51" s="8">
        <v>15.720115945978847</v>
      </c>
      <c r="S51" s="8">
        <v>708.16833251613127</v>
      </c>
      <c r="T51" s="8">
        <v>18.243879429964927</v>
      </c>
      <c r="U51" s="8">
        <v>53.958572404952641</v>
      </c>
      <c r="V51" s="8">
        <v>-0.78576266317037757</v>
      </c>
      <c r="W51" s="8">
        <v>-6.9360839552508535</v>
      </c>
      <c r="X51" s="8">
        <v>26.300786459118278</v>
      </c>
      <c r="Y51" s="69"/>
      <c r="Z51" s="8">
        <v>4.53</v>
      </c>
      <c r="AA51" s="8">
        <v>23.505513740070498</v>
      </c>
      <c r="AB51" s="8">
        <v>29.174752671001297</v>
      </c>
      <c r="AC51" s="8">
        <v>602.5440672005908</v>
      </c>
      <c r="AD51" s="8">
        <v>8.0339208960078778</v>
      </c>
      <c r="AE51" s="8">
        <v>8.2557382328831146</v>
      </c>
      <c r="AF51" s="8">
        <v>1243.6115231462024</v>
      </c>
      <c r="AG51" s="8">
        <v>16.581486975282701</v>
      </c>
      <c r="AH51" s="8">
        <v>597.05054400109361</v>
      </c>
      <c r="AI51" s="8">
        <v>15.95851409346627</v>
      </c>
      <c r="AJ51" s="8">
        <v>58.592968744007081</v>
      </c>
      <c r="AK51" s="8">
        <v>-0.97313173811740727</v>
      </c>
      <c r="AL51" s="8">
        <v>-8.5717258428243195</v>
      </c>
      <c r="AM51" s="8">
        <v>25.575074600722733</v>
      </c>
      <c r="AN51" s="69"/>
      <c r="AO51" s="8">
        <v>4.66</v>
      </c>
      <c r="AP51" s="8">
        <v>22.39339596716021</v>
      </c>
      <c r="AQ51" s="8">
        <v>27.505391917436327</v>
      </c>
      <c r="AR51" s="8">
        <v>541.2583604749733</v>
      </c>
      <c r="AS51" s="8">
        <v>7.2167781396663111</v>
      </c>
      <c r="AT51" s="8">
        <v>8.2265796150012083</v>
      </c>
      <c r="AU51" s="8">
        <v>1113.1762486830978</v>
      </c>
      <c r="AV51" s="8">
        <v>14.842349982441304</v>
      </c>
      <c r="AW51" s="8">
        <v>597.17545015850772</v>
      </c>
      <c r="AX51" s="8">
        <v>16.828714087193681</v>
      </c>
      <c r="AY51" s="8">
        <v>55.900289006462081</v>
      </c>
      <c r="AZ51" s="8">
        <v>-0.87725135808647381</v>
      </c>
      <c r="BA51" s="8">
        <v>-7.7505295172549298</v>
      </c>
      <c r="BB51" s="8">
        <v>25.070178794931</v>
      </c>
      <c r="BC51" s="69"/>
      <c r="BD51" s="8">
        <v>4.91</v>
      </c>
      <c r="BE51" s="8">
        <v>21.799163793221254</v>
      </c>
      <c r="BF51" s="8">
        <v>27.310752493525392</v>
      </c>
      <c r="BG51" s="8">
        <v>569.44872550277228</v>
      </c>
      <c r="BH51" s="8">
        <v>7.5926496733702971</v>
      </c>
      <c r="BI51" s="8">
        <v>7.5863956086086803</v>
      </c>
      <c r="BJ51" s="8">
        <v>1080.0158276205104</v>
      </c>
      <c r="BK51" s="8">
        <v>14.400211034940138</v>
      </c>
      <c r="BL51" s="8">
        <v>467.3322250669699</v>
      </c>
      <c r="BM51" s="8">
        <v>14.48568753854858</v>
      </c>
      <c r="BN51" s="8">
        <v>60.29497102244261</v>
      </c>
      <c r="BO51" s="8">
        <v>-1.0008243789388631</v>
      </c>
      <c r="BP51" s="8">
        <v>-8.8039712178182992</v>
      </c>
      <c r="BQ51" s="8">
        <v>23.968777846430463</v>
      </c>
      <c r="BR51" s="69"/>
      <c r="BS51" s="14">
        <v>5</v>
      </c>
      <c r="BT51" s="14">
        <v>20.9272809488474</v>
      </c>
      <c r="BU51" s="14">
        <v>25.007742486705361</v>
      </c>
      <c r="BV51" s="14">
        <v>499.20189473719773</v>
      </c>
      <c r="BW51" s="14">
        <v>6.6560252631626362</v>
      </c>
      <c r="BX51" s="14">
        <v>7.4141667201477368</v>
      </c>
      <c r="BY51" s="14">
        <v>925.29151864880623</v>
      </c>
      <c r="BZ51" s="14">
        <v>12.33722024865075</v>
      </c>
      <c r="CA51" s="14">
        <v>464.24155661239195</v>
      </c>
      <c r="CB51" s="14">
        <v>13.94733421011143</v>
      </c>
      <c r="CC51" s="14">
        <v>50.477365407803923</v>
      </c>
      <c r="CD51" s="14">
        <v>-0.8977442124514301</v>
      </c>
      <c r="CE51" s="14">
        <v>-8.2085095896738931</v>
      </c>
      <c r="CF51" s="14">
        <v>23.120887163844372</v>
      </c>
      <c r="CG51" s="69"/>
      <c r="CH51" s="14">
        <v>5.15</v>
      </c>
      <c r="CI51" s="14">
        <v>21.195293634090923</v>
      </c>
      <c r="CJ51" s="14">
        <v>25.521074252459119</v>
      </c>
      <c r="CK51" s="14">
        <v>525.57368923498916</v>
      </c>
      <c r="CL51" s="14">
        <v>7.0076491897998556</v>
      </c>
      <c r="CM51" s="14">
        <v>7.3143132258707322</v>
      </c>
      <c r="CN51" s="14">
        <v>961.05264658528881</v>
      </c>
      <c r="CO51" s="14">
        <v>12.814035287803851</v>
      </c>
      <c r="CP51" s="14">
        <v>431.77695254528004</v>
      </c>
      <c r="CQ51" s="14">
        <v>13.182243895397759</v>
      </c>
      <c r="CR51" s="14">
        <v>53.411862692491511</v>
      </c>
      <c r="CS51" s="14">
        <v>-0.95807343401890355</v>
      </c>
      <c r="CT51" s="14">
        <v>-8.7085447191244292</v>
      </c>
      <c r="CU51" s="14">
        <v>23.107728666525247</v>
      </c>
      <c r="CV51" s="69"/>
      <c r="CW51" s="14">
        <f t="shared" si="0"/>
        <v>-13.686534216335541</v>
      </c>
      <c r="CX51" s="8">
        <f t="shared" si="1"/>
        <v>12.774232152546899</v>
      </c>
      <c r="CY51" s="8">
        <f t="shared" si="2"/>
        <v>11.403280729791415</v>
      </c>
      <c r="CZ51" s="8">
        <f t="shared" si="3"/>
        <v>22.720831328908115</v>
      </c>
      <c r="DA51" s="14">
        <f t="shared" si="4"/>
        <v>-6.8608414239482274</v>
      </c>
      <c r="DB51" s="14">
        <f t="shared" si="5"/>
        <v>4.7966666666666669</v>
      </c>
    </row>
    <row r="52" spans="1:106" ht="15.75" x14ac:dyDescent="0.25">
      <c r="A52" s="10">
        <v>51</v>
      </c>
      <c r="B52" s="3" t="s">
        <v>335</v>
      </c>
      <c r="C52" s="3" t="s">
        <v>334</v>
      </c>
      <c r="D52" s="3">
        <v>69</v>
      </c>
      <c r="E52" s="3">
        <v>171</v>
      </c>
      <c r="F52" s="3">
        <v>29</v>
      </c>
      <c r="G52" s="12" t="s">
        <v>32</v>
      </c>
      <c r="H52" s="12" t="s">
        <v>63</v>
      </c>
      <c r="I52" s="12">
        <v>24</v>
      </c>
      <c r="J52" s="72"/>
      <c r="K52" s="8">
        <v>4.8499999999999996</v>
      </c>
      <c r="L52" s="8">
        <v>23.422418307339406</v>
      </c>
      <c r="M52" s="8">
        <v>27.63232856619959</v>
      </c>
      <c r="N52" s="8">
        <v>467.33469465718207</v>
      </c>
      <c r="O52" s="8">
        <v>6.7729665892345228</v>
      </c>
      <c r="P52" s="8">
        <v>8.6760327745072274</v>
      </c>
      <c r="Q52" s="8">
        <v>1013.6527818775098</v>
      </c>
      <c r="R52" s="8">
        <v>14.690620027210286</v>
      </c>
      <c r="S52" s="8">
        <v>595.52662787329314</v>
      </c>
      <c r="T52" s="8">
        <v>16.427765995534166</v>
      </c>
      <c r="U52" s="8">
        <v>50.159318487298613</v>
      </c>
      <c r="V52" s="8">
        <v>-0.78065249005692094</v>
      </c>
      <c r="W52" s="8">
        <v>-7.0456144993224656</v>
      </c>
      <c r="X52" s="8">
        <v>25.704871474417839</v>
      </c>
      <c r="Y52" s="69"/>
      <c r="Z52" s="8">
        <v>4.9800000000000004</v>
      </c>
      <c r="AA52" s="8">
        <v>21.374594393580498</v>
      </c>
      <c r="AB52" s="8">
        <v>26.255315171749803</v>
      </c>
      <c r="AC52" s="8">
        <v>489.08863787948462</v>
      </c>
      <c r="AD52" s="8">
        <v>7.0882411286881828</v>
      </c>
      <c r="AE52" s="8">
        <v>7.2352199926881422</v>
      </c>
      <c r="AF52" s="8">
        <v>884.66597274556455</v>
      </c>
      <c r="AG52" s="8">
        <v>12.821245981819777</v>
      </c>
      <c r="AH52" s="8">
        <v>366.34959681786319</v>
      </c>
      <c r="AI52" s="8">
        <v>12.233008660588112</v>
      </c>
      <c r="AJ52" s="8">
        <v>54.605668510318964</v>
      </c>
      <c r="AK52" s="8">
        <v>-0.97968563994619451</v>
      </c>
      <c r="AL52" s="8">
        <v>-8.9332778854466603</v>
      </c>
      <c r="AM52" s="8">
        <v>23.074343027096599</v>
      </c>
      <c r="AN52" s="69"/>
      <c r="AO52" s="8">
        <v>5.16</v>
      </c>
      <c r="AP52" s="8">
        <v>21.53922854217771</v>
      </c>
      <c r="AQ52" s="8">
        <v>24.829866461744853</v>
      </c>
      <c r="AR52" s="8">
        <v>415.5181416495592</v>
      </c>
      <c r="AS52" s="8">
        <v>6.0220020528921623</v>
      </c>
      <c r="AT52" s="8">
        <v>7.8215997079025286</v>
      </c>
      <c r="AU52" s="8">
        <v>812.50414383859845</v>
      </c>
      <c r="AV52" s="8">
        <v>11.775422374472441</v>
      </c>
      <c r="AW52" s="8">
        <v>468.3158483182242</v>
      </c>
      <c r="AX52" s="8">
        <v>13.912705488259073</v>
      </c>
      <c r="AY52" s="8">
        <v>43.861956305322629</v>
      </c>
      <c r="AZ52" s="8">
        <v>-0.76991948933513621</v>
      </c>
      <c r="BA52" s="8">
        <v>-7.1696608391896035</v>
      </c>
      <c r="BB52" s="8">
        <v>23.570879491023536</v>
      </c>
      <c r="BC52" s="69"/>
      <c r="BD52" s="8">
        <v>5.18</v>
      </c>
      <c r="BE52" s="8">
        <v>20.56126623009353</v>
      </c>
      <c r="BF52" s="8">
        <v>25.688955761231945</v>
      </c>
      <c r="BG52" s="8">
        <v>433.88748331527358</v>
      </c>
      <c r="BH52" s="8">
        <v>6.28822439587353</v>
      </c>
      <c r="BI52" s="8">
        <v>6.8308410465764506</v>
      </c>
      <c r="BJ52" s="8">
        <v>740.95410765643146</v>
      </c>
      <c r="BK52" s="8">
        <v>10.73846532835408</v>
      </c>
      <c r="BL52" s="8">
        <v>274.73566634790529</v>
      </c>
      <c r="BM52" s="8">
        <v>9.9600249084439874</v>
      </c>
      <c r="BN52" s="8">
        <v>53.288028801032503</v>
      </c>
      <c r="BO52" s="8">
        <v>-0.92056371287180294</v>
      </c>
      <c r="BP52" s="8">
        <v>-8.5299635454564946</v>
      </c>
      <c r="BQ52" s="8">
        <v>21.975378771615389</v>
      </c>
      <c r="BR52" s="69"/>
      <c r="BS52" s="14">
        <v>5.4</v>
      </c>
      <c r="BT52" s="14">
        <v>20.134999952473649</v>
      </c>
      <c r="BU52" s="14">
        <v>23.000509917566426</v>
      </c>
      <c r="BV52" s="14">
        <v>416.55257296554828</v>
      </c>
      <c r="BW52" s="14">
        <v>6.0369938110949022</v>
      </c>
      <c r="BX52" s="14">
        <v>6.9631758995525743</v>
      </c>
      <c r="BY52" s="14">
        <v>725.1322092425803</v>
      </c>
      <c r="BZ52" s="14">
        <v>10.509162452791019</v>
      </c>
      <c r="CA52" s="14">
        <v>364.30125813579787</v>
      </c>
      <c r="CB52" s="14">
        <v>11.725338000902852</v>
      </c>
      <c r="CC52" s="14">
        <v>41.93318086404971</v>
      </c>
      <c r="CD52" s="14">
        <v>-0.86698855496136673</v>
      </c>
      <c r="CE52" s="14">
        <v>-8.1963073193728029</v>
      </c>
      <c r="CF52" s="14">
        <v>21.82765143305442</v>
      </c>
      <c r="CG52" s="69"/>
      <c r="CH52" s="14">
        <v>5.45</v>
      </c>
      <c r="CI52" s="14">
        <v>19.131069279864715</v>
      </c>
      <c r="CJ52" s="14">
        <v>23.008340368601864</v>
      </c>
      <c r="CK52" s="14">
        <v>438.11715105183202</v>
      </c>
      <c r="CL52" s="14">
        <v>6.3495239282874207</v>
      </c>
      <c r="CM52" s="14">
        <v>6.4898185731957962</v>
      </c>
      <c r="CN52" s="14">
        <v>710.82520603295188</v>
      </c>
      <c r="CO52" s="14">
        <v>10.301814580187708</v>
      </c>
      <c r="CP52" s="14">
        <v>290.76988725913736</v>
      </c>
      <c r="CQ52" s="14">
        <v>11.162129148982629</v>
      </c>
      <c r="CR52" s="14">
        <v>50.943202036836311</v>
      </c>
      <c r="CS52" s="14">
        <v>-0.97838234716023964</v>
      </c>
      <c r="CT52" s="14">
        <v>-9.0522519106088364</v>
      </c>
      <c r="CU52" s="14">
        <v>20.993076474741919</v>
      </c>
      <c r="CV52" s="69"/>
      <c r="CW52" s="14">
        <f t="shared" si="0"/>
        <v>-12.371134020618568</v>
      </c>
      <c r="CX52" s="8">
        <f t="shared" si="1"/>
        <v>11.286533828212352</v>
      </c>
      <c r="CY52" s="8">
        <f t="shared" si="2"/>
        <v>10.302401588972318</v>
      </c>
      <c r="CZ52" s="8">
        <f t="shared" si="3"/>
        <v>19.650441191164752</v>
      </c>
      <c r="DA52" s="14">
        <f t="shared" si="4"/>
        <v>-5.1376146788990829</v>
      </c>
      <c r="DB52" s="14">
        <f t="shared" si="5"/>
        <v>5.17</v>
      </c>
    </row>
    <row r="53" spans="1:106" ht="15.75" x14ac:dyDescent="0.25">
      <c r="A53" s="10">
        <v>52</v>
      </c>
      <c r="B53" s="3" t="s">
        <v>339</v>
      </c>
      <c r="C53" s="3" t="s">
        <v>336</v>
      </c>
      <c r="D53" s="3">
        <v>54</v>
      </c>
      <c r="E53" s="3">
        <v>165</v>
      </c>
      <c r="F53" s="3">
        <v>34</v>
      </c>
      <c r="G53" s="12" t="s">
        <v>32</v>
      </c>
      <c r="H53" s="12" t="s">
        <v>63</v>
      </c>
      <c r="I53" s="12">
        <v>24</v>
      </c>
      <c r="J53" s="72"/>
      <c r="K53" s="8">
        <v>4.41</v>
      </c>
      <c r="L53" s="8">
        <v>24.474951559992391</v>
      </c>
      <c r="M53" s="8">
        <v>30.164819998412028</v>
      </c>
      <c r="N53" s="8">
        <v>439.5991227650951</v>
      </c>
      <c r="O53" s="8">
        <v>8.1407244956499092</v>
      </c>
      <c r="P53" s="8">
        <v>8.8963748561254299</v>
      </c>
      <c r="Q53" s="8">
        <v>977.70964563554708</v>
      </c>
      <c r="R53" s="8">
        <v>18.105734178436055</v>
      </c>
      <c r="S53" s="8">
        <v>529.61213180266543</v>
      </c>
      <c r="T53" s="8">
        <v>18.223643477939543</v>
      </c>
      <c r="U53" s="8">
        <v>58.472087169909514</v>
      </c>
      <c r="V53" s="8">
        <v>-0.91506086774713269</v>
      </c>
      <c r="W53" s="8">
        <v>-7.9525873492082031</v>
      </c>
      <c r="X53" s="8">
        <v>26.751540308518752</v>
      </c>
      <c r="Y53" s="69"/>
      <c r="Z53" s="8">
        <v>4.3899999999999997</v>
      </c>
      <c r="AA53" s="8">
        <v>22.749430396869865</v>
      </c>
      <c r="AB53" s="8">
        <v>30.260146496192981</v>
      </c>
      <c r="AC53" s="8">
        <v>443.11984713622735</v>
      </c>
      <c r="AD53" s="8">
        <v>8.2059230951153221</v>
      </c>
      <c r="AE53" s="8">
        <v>7.9632888554636994</v>
      </c>
      <c r="AF53" s="8">
        <v>882.17283508367427</v>
      </c>
      <c r="AG53" s="8">
        <v>16.336533983031003</v>
      </c>
      <c r="AH53" s="8">
        <v>380.93009167100683</v>
      </c>
      <c r="AI53" s="8">
        <v>15.717800974470258</v>
      </c>
      <c r="AJ53" s="8">
        <v>65.604943190427051</v>
      </c>
      <c r="AK53" s="8">
        <v>-1.0304690993954273</v>
      </c>
      <c r="AL53" s="8">
        <v>-8.8147583731187673</v>
      </c>
      <c r="AM53" s="8">
        <v>25.052734330657888</v>
      </c>
      <c r="AN53" s="69"/>
      <c r="AO53" s="8">
        <v>4.59</v>
      </c>
      <c r="AP53" s="8">
        <v>22.401749634261105</v>
      </c>
      <c r="AQ53" s="8">
        <v>28.319356055918409</v>
      </c>
      <c r="AR53" s="8">
        <v>409.74240487402318</v>
      </c>
      <c r="AS53" s="8">
        <v>7.5878223124819106</v>
      </c>
      <c r="AT53" s="8">
        <v>7.7099423807151863</v>
      </c>
      <c r="AU53" s="8">
        <v>789.77258312859806</v>
      </c>
      <c r="AV53" s="8">
        <v>14.625418206085149</v>
      </c>
      <c r="AW53" s="8">
        <v>346.3373582685067</v>
      </c>
      <c r="AX53" s="8">
        <v>13.938843960734701</v>
      </c>
      <c r="AY53" s="8">
        <v>58.333788816537378</v>
      </c>
      <c r="AZ53" s="8">
        <v>-0.98416070286870971</v>
      </c>
      <c r="BA53" s="8">
        <v>-8.7892350100742203</v>
      </c>
      <c r="BB53" s="8">
        <v>24.306228496146154</v>
      </c>
      <c r="BC53" s="69"/>
      <c r="BD53" s="8">
        <v>4.74</v>
      </c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69"/>
      <c r="BS53" s="14">
        <v>5.0599999999999996</v>
      </c>
      <c r="BT53" s="14">
        <v>21.49989920096667</v>
      </c>
      <c r="BU53" s="14">
        <v>25.44729259096361</v>
      </c>
      <c r="BV53" s="14">
        <v>364.00277820487548</v>
      </c>
      <c r="BW53" s="14">
        <v>6.7407921889791753</v>
      </c>
      <c r="BX53" s="14">
        <v>7.6127943694557549</v>
      </c>
      <c r="BY53" s="14">
        <v>692.76957509608201</v>
      </c>
      <c r="BZ53" s="14">
        <v>12.829066205483</v>
      </c>
      <c r="CA53" s="14">
        <v>354.8516462585186</v>
      </c>
      <c r="CB53" s="14">
        <v>14.118487576516102</v>
      </c>
      <c r="CC53" s="14">
        <v>49.941867350217713</v>
      </c>
      <c r="CD53" s="14">
        <v>-0.88545570283951869</v>
      </c>
      <c r="CE53" s="14">
        <v>-8.1003954837363281</v>
      </c>
      <c r="CF53" s="14">
        <v>23.52444899577716</v>
      </c>
      <c r="CG53" s="69"/>
      <c r="CH53" s="14">
        <v>4.91</v>
      </c>
      <c r="CI53" s="14">
        <v>20.640011205923319</v>
      </c>
      <c r="CJ53" s="14">
        <v>25.965503245324776</v>
      </c>
      <c r="CK53" s="14">
        <v>345.31009307002188</v>
      </c>
      <c r="CL53" s="14">
        <v>6.3946313531485535</v>
      </c>
      <c r="CM53" s="14">
        <v>6.9190443451768395</v>
      </c>
      <c r="CN53" s="14">
        <v>597.30396169715573</v>
      </c>
      <c r="CO53" s="14">
        <v>11.061184475873254</v>
      </c>
      <c r="CP53" s="14">
        <v>235.20926417073144</v>
      </c>
      <c r="CQ53" s="14">
        <v>10.601872563696528</v>
      </c>
      <c r="CR53" s="14">
        <v>53.001599821589508</v>
      </c>
      <c r="CS53" s="14">
        <v>-0.92420730871686807</v>
      </c>
      <c r="CT53" s="14">
        <v>-8.5555616471322633</v>
      </c>
      <c r="CU53" s="14">
        <v>22.253510721057779</v>
      </c>
      <c r="CV53" s="69"/>
      <c r="CW53" s="14">
        <f t="shared" si="0"/>
        <v>-15.261958997722095</v>
      </c>
      <c r="CX53" s="8">
        <f t="shared" si="1"/>
        <v>22.072979736368264</v>
      </c>
      <c r="CY53" s="8">
        <f t="shared" si="2"/>
        <v>13.11323159614375</v>
      </c>
      <c r="CZ53" s="8">
        <f t="shared" si="3"/>
        <v>32.291730379512153</v>
      </c>
      <c r="DA53" s="14">
        <f t="shared" si="4"/>
        <v>-7.4440052700922354</v>
      </c>
      <c r="DB53" s="14">
        <f t="shared" si="5"/>
        <v>4.6833333333333336</v>
      </c>
    </row>
    <row r="54" spans="1:106" ht="15.75" x14ac:dyDescent="0.25">
      <c r="A54" s="10">
        <v>53</v>
      </c>
      <c r="B54" s="3" t="s">
        <v>338</v>
      </c>
      <c r="C54" s="3" t="s">
        <v>337</v>
      </c>
      <c r="D54" s="3">
        <v>72</v>
      </c>
      <c r="E54" s="3">
        <v>179</v>
      </c>
      <c r="F54" s="3">
        <v>23</v>
      </c>
      <c r="G54" s="12" t="s">
        <v>32</v>
      </c>
      <c r="H54" s="12" t="s">
        <v>63</v>
      </c>
      <c r="I54" s="12">
        <v>25</v>
      </c>
      <c r="J54" s="72"/>
      <c r="K54" s="8">
        <v>4.24</v>
      </c>
      <c r="L54" s="8">
        <v>25.448746811752198</v>
      </c>
      <c r="M54" s="8">
        <v>30.389889282880993</v>
      </c>
      <c r="N54" s="8">
        <v>492.9599068736332</v>
      </c>
      <c r="O54" s="8">
        <v>6.8466653732449059</v>
      </c>
      <c r="P54" s="8">
        <v>10.17985818873383</v>
      </c>
      <c r="Q54" s="8">
        <v>1254.5654861762553</v>
      </c>
      <c r="R54" s="8">
        <v>17.42452064133688</v>
      </c>
      <c r="S54" s="8">
        <v>871.44585950564931</v>
      </c>
      <c r="T54" s="8">
        <v>20.210109099596615</v>
      </c>
      <c r="U54" s="8">
        <v>50.614620015734523</v>
      </c>
      <c r="V54" s="8">
        <v>-0.67256981839120211</v>
      </c>
      <c r="W54" s="8">
        <v>-5.9483354848991254</v>
      </c>
      <c r="X54" s="8">
        <v>28.325722639595451</v>
      </c>
      <c r="Y54" s="69"/>
      <c r="Z54" s="8">
        <v>4.21</v>
      </c>
      <c r="AA54" s="8">
        <v>24.964768392524103</v>
      </c>
      <c r="AB54" s="8">
        <v>30.767218448229833</v>
      </c>
      <c r="AC54" s="8">
        <v>606.93575051725725</v>
      </c>
      <c r="AD54" s="8">
        <v>8.4296632016285731</v>
      </c>
      <c r="AE54" s="8">
        <v>8.8776283622000509</v>
      </c>
      <c r="AF54" s="8">
        <v>1347.0375082062942</v>
      </c>
      <c r="AG54" s="8">
        <v>18.708854280642974</v>
      </c>
      <c r="AH54" s="8">
        <v>705.62077718547891</v>
      </c>
      <c r="AI54" s="8">
        <v>17.565005232204051</v>
      </c>
      <c r="AJ54" s="8">
        <v>57.481028205078758</v>
      </c>
      <c r="AK54" s="8">
        <v>-0.94953999623605967</v>
      </c>
      <c r="AL54" s="8">
        <v>-8.3409993297657667</v>
      </c>
      <c r="AM54" s="8">
        <v>26.993364017553667</v>
      </c>
      <c r="AN54" s="69"/>
      <c r="AO54" s="8">
        <v>4.51</v>
      </c>
      <c r="AP54" s="8">
        <v>22.218407515200674</v>
      </c>
      <c r="AQ54" s="8">
        <v>26.084701395346293</v>
      </c>
      <c r="AR54" s="8">
        <v>516.33518221575889</v>
      </c>
      <c r="AS54" s="8">
        <v>7.1713219752188735</v>
      </c>
      <c r="AT54" s="8">
        <v>7.6970093488881393</v>
      </c>
      <c r="AU54" s="8">
        <v>993.55918116863927</v>
      </c>
      <c r="AV54" s="8">
        <v>13.799433071786657</v>
      </c>
      <c r="AW54" s="8">
        <v>508.71934187510846</v>
      </c>
      <c r="AX54" s="8">
        <v>13.904451949172417</v>
      </c>
      <c r="AY54" s="8">
        <v>46.458652887661287</v>
      </c>
      <c r="AZ54" s="8">
        <v>-0.93170238597342991</v>
      </c>
      <c r="BA54" s="8">
        <v>-8.6567292542356569</v>
      </c>
      <c r="BB54" s="8">
        <v>23.998067835909875</v>
      </c>
      <c r="BC54" s="69"/>
      <c r="BD54" s="8">
        <v>4.58</v>
      </c>
      <c r="BE54" s="8">
        <v>22.804735975516433</v>
      </c>
      <c r="BF54" s="8">
        <v>28.807636321112383</v>
      </c>
      <c r="BG54" s="8">
        <v>548.05358249820154</v>
      </c>
      <c r="BH54" s="8">
        <v>7.6118553124750212</v>
      </c>
      <c r="BI54" s="8">
        <v>7.790045593469392</v>
      </c>
      <c r="BJ54" s="8">
        <v>1067.3405988313073</v>
      </c>
      <c r="BK54" s="8">
        <v>14.824174983768156</v>
      </c>
      <c r="BL54" s="8">
        <v>457.72303700954421</v>
      </c>
      <c r="BM54" s="8">
        <v>13.553929230568702</v>
      </c>
      <c r="BN54" s="8">
        <v>57.963030777804434</v>
      </c>
      <c r="BO54" s="8">
        <v>-0.97712590011748435</v>
      </c>
      <c r="BP54" s="8">
        <v>-8.7600455745835841</v>
      </c>
      <c r="BQ54" s="8">
        <v>24.546224984505606</v>
      </c>
      <c r="BR54" s="69"/>
      <c r="BS54" s="14">
        <v>4.8099999999999996</v>
      </c>
      <c r="BT54" s="14">
        <v>22.030430222214747</v>
      </c>
      <c r="BU54" s="14">
        <v>26.037098740355599</v>
      </c>
      <c r="BV54" s="14">
        <v>488.03105643391723</v>
      </c>
      <c r="BW54" s="14">
        <v>6.778209117137739</v>
      </c>
      <c r="BX54" s="14">
        <v>7.9064192294608011</v>
      </c>
      <c r="BY54" s="14">
        <v>964.64453229079811</v>
      </c>
      <c r="BZ54" s="14">
        <v>13.397840726261085</v>
      </c>
      <c r="CA54" s="14">
        <v>524.42453912197004</v>
      </c>
      <c r="CB54" s="14">
        <v>14.906877837188789</v>
      </c>
      <c r="CC54" s="14">
        <v>48.930253764698563</v>
      </c>
      <c r="CD54" s="14">
        <v>-0.85730454209673856</v>
      </c>
      <c r="CE54" s="14">
        <v>-7.8437486682585309</v>
      </c>
      <c r="CF54" s="14">
        <v>24.180373565187413</v>
      </c>
      <c r="CG54" s="69"/>
      <c r="CH54" s="14">
        <v>4.78</v>
      </c>
      <c r="CI54" s="14">
        <v>21.800698169320686</v>
      </c>
      <c r="CJ54" s="14">
        <v>26.251635695198303</v>
      </c>
      <c r="CK54" s="14">
        <v>504.06956349682184</v>
      </c>
      <c r="CL54" s="14">
        <v>7.0009661596780814</v>
      </c>
      <c r="CM54" s="14">
        <v>7.7871672555174953</v>
      </c>
      <c r="CN54" s="14">
        <v>981.31849984136204</v>
      </c>
      <c r="CO54" s="14">
        <v>13.629423608907807</v>
      </c>
      <c r="CP54" s="14">
        <v>506.47846644276569</v>
      </c>
      <c r="CQ54" s="14">
        <v>15.037213110838756</v>
      </c>
      <c r="CR54" s="14">
        <v>52.226085768305552</v>
      </c>
      <c r="CS54" s="14">
        <v>-0.89903888409712007</v>
      </c>
      <c r="CT54" s="14">
        <v>-8.1340232937963108</v>
      </c>
      <c r="CU54" s="14">
        <v>24.054344836978206</v>
      </c>
      <c r="CV54" s="69"/>
      <c r="CW54" s="14">
        <f t="shared" si="0"/>
        <v>-14.251781472684078</v>
      </c>
      <c r="CX54" s="8">
        <f t="shared" si="1"/>
        <v>16.948447497575867</v>
      </c>
      <c r="CY54" s="8">
        <f t="shared" si="2"/>
        <v>12.283247982373501</v>
      </c>
      <c r="CZ54" s="8">
        <f t="shared" si="3"/>
        <v>27.149875644659737</v>
      </c>
      <c r="DA54" s="14">
        <f t="shared" si="4"/>
        <v>-5.9944559944559828</v>
      </c>
      <c r="DB54" s="14">
        <f t="shared" si="5"/>
        <v>4.5216666666666665</v>
      </c>
    </row>
    <row r="55" spans="1:106" ht="15.75" x14ac:dyDescent="0.25">
      <c r="A55" s="10">
        <v>54</v>
      </c>
      <c r="B55" s="3" t="s">
        <v>341</v>
      </c>
      <c r="C55" s="3" t="s">
        <v>340</v>
      </c>
      <c r="D55" s="3">
        <v>80</v>
      </c>
      <c r="E55" s="3">
        <v>186</v>
      </c>
      <c r="F55" s="3">
        <v>28</v>
      </c>
      <c r="G55" s="12" t="s">
        <v>32</v>
      </c>
      <c r="H55" s="12" t="s">
        <v>63</v>
      </c>
      <c r="I55" s="12">
        <v>24</v>
      </c>
      <c r="J55" s="72"/>
      <c r="K55" s="8">
        <v>4.4000000000000004</v>
      </c>
      <c r="L55" s="8">
        <v>24.130536224829516</v>
      </c>
      <c r="M55" s="8">
        <v>30.598053660708313</v>
      </c>
      <c r="N55" s="8">
        <v>670.58194244060508</v>
      </c>
      <c r="O55" s="8">
        <v>8.3822742805075627</v>
      </c>
      <c r="P55" s="8">
        <v>8.8074069740441896</v>
      </c>
      <c r="Q55" s="8">
        <v>1476.5220191298711</v>
      </c>
      <c r="R55" s="8">
        <v>18.456525239123387</v>
      </c>
      <c r="S55" s="8">
        <v>756.0109254093702</v>
      </c>
      <c r="T55" s="8">
        <v>18.716760336518337</v>
      </c>
      <c r="U55" s="8">
        <v>62.966613800224479</v>
      </c>
      <c r="V55" s="8">
        <v>-0.95173009549921894</v>
      </c>
      <c r="W55" s="8">
        <v>-8.0688048628532361</v>
      </c>
      <c r="X55" s="8">
        <v>26.812828628006262</v>
      </c>
      <c r="Y55" s="69"/>
      <c r="Z55" s="8">
        <v>4.33</v>
      </c>
      <c r="AA55" s="8">
        <v>24.094918193575467</v>
      </c>
      <c r="AB55" s="8">
        <v>29.385820694048828</v>
      </c>
      <c r="AC55" s="8">
        <v>642.25156229373295</v>
      </c>
      <c r="AD55" s="8">
        <v>8.0281445286716622</v>
      </c>
      <c r="AE55" s="8">
        <v>8.5529170239940449</v>
      </c>
      <c r="AF55" s="8">
        <v>1373.2810802072102</v>
      </c>
      <c r="AG55" s="8">
        <v>17.166013502590125</v>
      </c>
      <c r="AH55" s="8">
        <v>718.23696751480759</v>
      </c>
      <c r="AI55" s="8">
        <v>16.727313315068955</v>
      </c>
      <c r="AJ55" s="8">
        <v>55.215195699693133</v>
      </c>
      <c r="AK55" s="8">
        <v>-0.93864403292464949</v>
      </c>
      <c r="AL55" s="8">
        <v>-8.3527233519175645</v>
      </c>
      <c r="AM55" s="8">
        <v>26.131514732063184</v>
      </c>
      <c r="AN55" s="69"/>
      <c r="AO55" s="8">
        <v>4.68</v>
      </c>
      <c r="AP55" s="8">
        <v>22.94848140762635</v>
      </c>
      <c r="AQ55" s="8">
        <v>28.10271409948049</v>
      </c>
      <c r="AR55" s="8">
        <v>607.66916683663567</v>
      </c>
      <c r="AS55" s="8">
        <v>7.5958645854579459</v>
      </c>
      <c r="AT55" s="8">
        <v>8.2184522447874429</v>
      </c>
      <c r="AU55" s="8">
        <v>1248.5250070691659</v>
      </c>
      <c r="AV55" s="8">
        <v>15.606562588364573</v>
      </c>
      <c r="AW55" s="8">
        <v>633.1749480670826</v>
      </c>
      <c r="AX55" s="8">
        <v>16.263833153923262</v>
      </c>
      <c r="AY55" s="8">
        <v>56.754499560774718</v>
      </c>
      <c r="AZ55" s="8">
        <v>-0.92424514485384102</v>
      </c>
      <c r="BA55" s="8">
        <v>-8.1688712811573296</v>
      </c>
      <c r="BB55" s="8">
        <v>25.242005932535598</v>
      </c>
      <c r="BC55" s="69"/>
      <c r="BD55" s="8">
        <v>4.5599999999999996</v>
      </c>
      <c r="BE55" s="8">
        <v>22.394733162115571</v>
      </c>
      <c r="BF55" s="8">
        <v>28.854923167867323</v>
      </c>
      <c r="BG55" s="8">
        <v>638.51826506217753</v>
      </c>
      <c r="BH55" s="8">
        <v>7.9814783132772193</v>
      </c>
      <c r="BI55" s="8">
        <v>7.817924787306076</v>
      </c>
      <c r="BJ55" s="8">
        <v>1247.9719428943172</v>
      </c>
      <c r="BK55" s="8">
        <v>15.599649286178964</v>
      </c>
      <c r="BL55" s="8">
        <v>543.17675113515418</v>
      </c>
      <c r="BM55" s="8">
        <v>15.281893577863816</v>
      </c>
      <c r="BN55" s="8">
        <v>62.660988425661259</v>
      </c>
      <c r="BO55" s="8">
        <v>-1.0209203248203034</v>
      </c>
      <c r="BP55" s="8">
        <v>-8.8695904655588702</v>
      </c>
      <c r="BQ55" s="8">
        <v>24.637551248261509</v>
      </c>
      <c r="BR55" s="69"/>
      <c r="BS55" s="14">
        <v>4.83</v>
      </c>
      <c r="BT55" s="14">
        <v>22.366814867607573</v>
      </c>
      <c r="BU55" s="14">
        <v>26.715628383253627</v>
      </c>
      <c r="BV55" s="14">
        <v>568.18689662996962</v>
      </c>
      <c r="BW55" s="14">
        <v>7.1023362078746199</v>
      </c>
      <c r="BX55" s="14">
        <v>7.9612173366152161</v>
      </c>
      <c r="BY55" s="14">
        <v>1130.8648429720279</v>
      </c>
      <c r="BZ55" s="14">
        <v>14.135810537150348</v>
      </c>
      <c r="CA55" s="14">
        <v>586.19502889729938</v>
      </c>
      <c r="CB55" s="14">
        <v>15.078205293021197</v>
      </c>
      <c r="CC55" s="14">
        <v>51.879987061296404</v>
      </c>
      <c r="CD55" s="14">
        <v>-0.89211685946690189</v>
      </c>
      <c r="CE55" s="14">
        <v>-8.0756610967560345</v>
      </c>
      <c r="CF55" s="14">
        <v>24.50283478855431</v>
      </c>
      <c r="CG55" s="69"/>
      <c r="CH55" s="14">
        <v>4.76</v>
      </c>
      <c r="CI55" s="14">
        <v>22.00099178875119</v>
      </c>
      <c r="CJ55" s="14">
        <v>26.606472017471287</v>
      </c>
      <c r="CK55" s="14">
        <v>560.10072995083829</v>
      </c>
      <c r="CL55" s="14">
        <v>7.0012591243854789</v>
      </c>
      <c r="CM55" s="14">
        <v>7.3580775468724529</v>
      </c>
      <c r="CN55" s="14">
        <v>1030.3161512595336</v>
      </c>
      <c r="CO55" s="14">
        <v>12.878951890744171</v>
      </c>
      <c r="CP55" s="14">
        <v>434.48394708008709</v>
      </c>
      <c r="CQ55" s="14">
        <v>11.547781330294017</v>
      </c>
      <c r="CR55" s="14">
        <v>49.79385314065938</v>
      </c>
      <c r="CS55" s="14">
        <v>-0.95150656945187528</v>
      </c>
      <c r="CT55" s="14">
        <v>-8.8571011486906954</v>
      </c>
      <c r="CU55" s="14">
        <v>23.396424888509415</v>
      </c>
      <c r="CV55" s="69"/>
      <c r="CW55" s="14">
        <f t="shared" si="0"/>
        <v>-11.547344110854503</v>
      </c>
      <c r="CX55" s="8">
        <f t="shared" si="1"/>
        <v>12.791067732011694</v>
      </c>
      <c r="CY55" s="8">
        <f t="shared" si="2"/>
        <v>13.969964560273791</v>
      </c>
      <c r="CZ55" s="8">
        <f t="shared" si="3"/>
        <v>24.974124663242829</v>
      </c>
      <c r="DA55" s="14">
        <f t="shared" si="4"/>
        <v>-4.899930986887524</v>
      </c>
      <c r="DB55" s="14">
        <f t="shared" si="5"/>
        <v>4.5933333333333328</v>
      </c>
    </row>
    <row r="56" spans="1:106" s="55" customFormat="1" ht="15.75" x14ac:dyDescent="0.25">
      <c r="A56" s="10">
        <v>55</v>
      </c>
      <c r="B56" s="3" t="s">
        <v>343</v>
      </c>
      <c r="C56" s="3" t="s">
        <v>342</v>
      </c>
      <c r="D56" s="3">
        <v>77</v>
      </c>
      <c r="E56" s="3">
        <v>183</v>
      </c>
      <c r="F56" s="3">
        <v>21</v>
      </c>
      <c r="G56" s="12" t="s">
        <v>32</v>
      </c>
      <c r="H56" s="12" t="s">
        <v>63</v>
      </c>
      <c r="I56" s="12">
        <v>25</v>
      </c>
      <c r="J56" s="72"/>
      <c r="K56" s="8">
        <v>4.1900000000000004</v>
      </c>
      <c r="L56" s="8">
        <v>24.309194333502074</v>
      </c>
      <c r="M56" s="8">
        <v>31.313759006395795</v>
      </c>
      <c r="N56" s="8">
        <v>666.21835051067239</v>
      </c>
      <c r="O56" s="8">
        <v>8.6521863702684723</v>
      </c>
      <c r="P56" s="8">
        <v>8.9112562115966885</v>
      </c>
      <c r="Q56" s="8">
        <v>1484.2106035669824</v>
      </c>
      <c r="R56" s="8">
        <v>19.275462383986785</v>
      </c>
      <c r="S56" s="8">
        <v>768.93524547293237</v>
      </c>
      <c r="T56" s="8">
        <v>19.489329249846456</v>
      </c>
      <c r="U56" s="8">
        <v>64.155976502904096</v>
      </c>
      <c r="V56" s="8">
        <v>-0.97092779792471084</v>
      </c>
      <c r="W56" s="8">
        <v>-8.1585272235136017</v>
      </c>
      <c r="X56" s="8">
        <v>27.087899902798807</v>
      </c>
      <c r="Y56" s="69"/>
      <c r="Z56" s="8">
        <v>4.4400000000000004</v>
      </c>
      <c r="AA56" s="8">
        <v>21.609608933418304</v>
      </c>
      <c r="AB56" s="8">
        <v>29.871541124154572</v>
      </c>
      <c r="AC56" s="8">
        <v>675.35387338279952</v>
      </c>
      <c r="AD56" s="8">
        <v>8.7708295244519423</v>
      </c>
      <c r="AE56" s="8">
        <v>7.7730753302253701</v>
      </c>
      <c r="AF56" s="8">
        <v>1312.3941330909968</v>
      </c>
      <c r="AG56" s="8">
        <v>17.044079650532424</v>
      </c>
      <c r="AH56" s="8">
        <v>530.26465683048912</v>
      </c>
      <c r="AI56" s="8">
        <v>17.84396206878775</v>
      </c>
      <c r="AJ56" s="8">
        <v>72.734787567223179</v>
      </c>
      <c r="AK56" s="8">
        <v>-1.1283602887967432</v>
      </c>
      <c r="AL56" s="8">
        <v>-9.0741072218732288</v>
      </c>
      <c r="AM56" s="8">
        <v>24.860724278913683</v>
      </c>
      <c r="AN56" s="69"/>
      <c r="AO56" s="8">
        <v>4.7699999999999996</v>
      </c>
      <c r="AP56" s="8">
        <v>21.484180627523244</v>
      </c>
      <c r="AQ56" s="8">
        <v>27.159954240190746</v>
      </c>
      <c r="AR56" s="8">
        <v>574.29288021615707</v>
      </c>
      <c r="AS56" s="8">
        <v>7.4583490937163255</v>
      </c>
      <c r="AT56" s="8">
        <v>7.7788065588361706</v>
      </c>
      <c r="AU56" s="8">
        <v>1116.8283058295895</v>
      </c>
      <c r="AV56" s="8">
        <v>14.504263712072591</v>
      </c>
      <c r="AW56" s="8">
        <v>530.76376599942989</v>
      </c>
      <c r="AX56" s="8">
        <v>16.361735558333812</v>
      </c>
      <c r="AY56" s="8">
        <v>60.796554136030153</v>
      </c>
      <c r="AZ56" s="8">
        <v>-0.95880377501406988</v>
      </c>
      <c r="BA56" s="8">
        <v>-8.3154084486107109</v>
      </c>
      <c r="BB56" s="8">
        <v>24.259927743724642</v>
      </c>
      <c r="BC56" s="69"/>
      <c r="BD56" s="8">
        <v>5.04</v>
      </c>
      <c r="BE56" s="8">
        <v>20.239703924630437</v>
      </c>
      <c r="BF56" s="8">
        <v>25.905364362626578</v>
      </c>
      <c r="BG56" s="8">
        <v>555.43620834709736</v>
      </c>
      <c r="BH56" s="8">
        <v>7.2134572512610049</v>
      </c>
      <c r="BI56" s="8">
        <v>6.963085248465263</v>
      </c>
      <c r="BJ56" s="8">
        <v>966.88741720128803</v>
      </c>
      <c r="BK56" s="8">
        <v>12.556979444172573</v>
      </c>
      <c r="BL56" s="8">
        <v>375.17686574335443</v>
      </c>
      <c r="BM56" s="8">
        <v>13.071904367014385</v>
      </c>
      <c r="BN56" s="8">
        <v>61.661857262479103</v>
      </c>
      <c r="BO56" s="8">
        <v>-1.0359570497648189</v>
      </c>
      <c r="BP56" s="8">
        <v>-9.1319395878934682</v>
      </c>
      <c r="BQ56" s="8">
        <v>22.461293405320372</v>
      </c>
      <c r="BR56" s="69"/>
      <c r="BS56" s="14">
        <v>4.88</v>
      </c>
      <c r="BT56" s="14">
        <v>21.033916733609242</v>
      </c>
      <c r="BU56" s="14">
        <v>25.787839837650381</v>
      </c>
      <c r="BV56" s="14">
        <v>521.8979616425421</v>
      </c>
      <c r="BW56" s="14">
        <v>6.7778956057473003</v>
      </c>
      <c r="BX56" s="14">
        <v>7.6598768258973706</v>
      </c>
      <c r="BY56" s="14">
        <v>999.41852546719576</v>
      </c>
      <c r="BZ56" s="14">
        <v>12.979461369703841</v>
      </c>
      <c r="CA56" s="14">
        <v>511.59902704194189</v>
      </c>
      <c r="CB56" s="14">
        <v>15.436857009394723</v>
      </c>
      <c r="CC56" s="14">
        <v>54.558620864132244</v>
      </c>
      <c r="CD56" s="14">
        <v>-0.88485699702530884</v>
      </c>
      <c r="CE56" s="14">
        <v>-7.9116955391866064</v>
      </c>
      <c r="CF56" s="14">
        <v>23.666169087361631</v>
      </c>
      <c r="CG56" s="69"/>
      <c r="CH56" s="14">
        <v>4.95</v>
      </c>
      <c r="CI56" s="14">
        <v>19.826777255989203</v>
      </c>
      <c r="CJ56" s="14">
        <v>26.118560305113839</v>
      </c>
      <c r="CK56" s="14">
        <v>578.84024667800361</v>
      </c>
      <c r="CL56" s="14">
        <v>7.5174058010130338</v>
      </c>
      <c r="CM56" s="14">
        <v>6.944191514913447</v>
      </c>
      <c r="CN56" s="14">
        <v>1004.8943823679498</v>
      </c>
      <c r="CO56" s="14">
        <v>13.050576394388958</v>
      </c>
      <c r="CP56" s="14">
        <v>382.28092105381796</v>
      </c>
      <c r="CQ56" s="14">
        <v>14.364715987274408</v>
      </c>
      <c r="CR56" s="14">
        <v>66.260580273339656</v>
      </c>
      <c r="CS56" s="14">
        <v>-1.0825458636716088</v>
      </c>
      <c r="CT56" s="14">
        <v>-9.2517223274112244</v>
      </c>
      <c r="CU56" s="14">
        <v>22.558343338657306</v>
      </c>
      <c r="CV56" s="69"/>
      <c r="CW56" s="14">
        <f t="shared" si="0"/>
        <v>-20.286396181384241</v>
      </c>
      <c r="CX56" s="8">
        <f t="shared" si="1"/>
        <v>17.756271158265978</v>
      </c>
      <c r="CY56" s="8">
        <f t="shared" si="2"/>
        <v>10.663524796792245</v>
      </c>
      <c r="CZ56" s="8">
        <f t="shared" si="3"/>
        <v>26.326444714893618</v>
      </c>
      <c r="DA56" s="14">
        <f t="shared" si="4"/>
        <v>-6.5145502645502562</v>
      </c>
      <c r="DB56" s="14">
        <f t="shared" si="5"/>
        <v>4.7116666666666669</v>
      </c>
    </row>
    <row r="57" spans="1:106" ht="15.75" x14ac:dyDescent="0.25">
      <c r="A57" s="10">
        <v>56</v>
      </c>
      <c r="B57" s="3" t="s">
        <v>345</v>
      </c>
      <c r="C57" s="3" t="s">
        <v>344</v>
      </c>
      <c r="D57" s="3">
        <v>75</v>
      </c>
      <c r="E57" s="3">
        <v>189</v>
      </c>
      <c r="F57" s="3">
        <v>34</v>
      </c>
      <c r="G57" s="12" t="s">
        <v>32</v>
      </c>
      <c r="H57" s="12" t="s">
        <v>63</v>
      </c>
      <c r="I57" s="12">
        <v>25</v>
      </c>
      <c r="J57" s="72"/>
      <c r="K57" s="8">
        <v>4.26</v>
      </c>
      <c r="L57" s="8">
        <v>24.041721778931059</v>
      </c>
      <c r="M57" s="8">
        <v>31.536867662845445</v>
      </c>
      <c r="N57" s="8">
        <v>663.47634489494783</v>
      </c>
      <c r="O57" s="8">
        <v>8.8463512652659713</v>
      </c>
      <c r="P57" s="8">
        <v>8.6514645406152102</v>
      </c>
      <c r="Q57" s="8">
        <v>1435.0105178489071</v>
      </c>
      <c r="R57" s="8">
        <v>19.13347357131876</v>
      </c>
      <c r="S57" s="8">
        <v>684.91375671657022</v>
      </c>
      <c r="T57" s="8">
        <v>18.589874532474774</v>
      </c>
      <c r="U57" s="8">
        <v>66.701749001657333</v>
      </c>
      <c r="V57" s="8">
        <v>-1.0225264432092216</v>
      </c>
      <c r="W57" s="8">
        <v>-8.5267845190118514</v>
      </c>
      <c r="X57" s="8">
        <v>26.680681727434113</v>
      </c>
      <c r="Y57" s="69"/>
      <c r="Z57" s="8">
        <v>4.2699999999999996</v>
      </c>
      <c r="AA57" s="8">
        <v>24.03622727649709</v>
      </c>
      <c r="AB57" s="8">
        <v>31.364098884450424</v>
      </c>
      <c r="AC57" s="8">
        <v>554.67268779190601</v>
      </c>
      <c r="AD57" s="8">
        <v>7.3956358372254138</v>
      </c>
      <c r="AE57" s="8">
        <v>8.1703610376720697</v>
      </c>
      <c r="AF57" s="8">
        <v>1132.9690292489583</v>
      </c>
      <c r="AG57" s="8">
        <v>15.106253723319444</v>
      </c>
      <c r="AH57" s="8">
        <v>483.57959089830632</v>
      </c>
      <c r="AI57" s="8">
        <v>12.912872470934674</v>
      </c>
      <c r="AJ57" s="8">
        <v>57.700496774356267</v>
      </c>
      <c r="AK57" s="8">
        <v>-0.90517858429088571</v>
      </c>
      <c r="AL57" s="8">
        <v>-8.1734240255190969</v>
      </c>
      <c r="AM57" s="8">
        <v>25.540776737304526</v>
      </c>
      <c r="AN57" s="69"/>
      <c r="AO57" s="8">
        <v>4.7300000000000004</v>
      </c>
      <c r="AP57" s="8">
        <v>22.052452992928306</v>
      </c>
      <c r="AQ57" s="8">
        <v>27.633331977004211</v>
      </c>
      <c r="AR57" s="8">
        <v>573.54061750741084</v>
      </c>
      <c r="AS57" s="8">
        <v>7.6472082334321447</v>
      </c>
      <c r="AT57" s="8">
        <v>7.8295914263694497</v>
      </c>
      <c r="AU57" s="8">
        <v>1122.6471753776659</v>
      </c>
      <c r="AV57" s="8">
        <v>14.968629005035545</v>
      </c>
      <c r="AW57" s="8">
        <v>526.29561666700147</v>
      </c>
      <c r="AX57" s="8">
        <v>15.746911959711836</v>
      </c>
      <c r="AY57" s="8">
        <v>59.763514027394471</v>
      </c>
      <c r="AZ57" s="8">
        <v>-0.97670591184067979</v>
      </c>
      <c r="BA57" s="8">
        <v>-8.5533589407613508</v>
      </c>
      <c r="BB57" s="8">
        <v>24.479503493085261</v>
      </c>
      <c r="BC57" s="69"/>
      <c r="BD57" s="8">
        <v>4.75</v>
      </c>
      <c r="BE57" s="8">
        <v>22.729152376724141</v>
      </c>
      <c r="BF57" s="8">
        <v>27.069401066284609</v>
      </c>
      <c r="BG57" s="8">
        <v>506.95880890308996</v>
      </c>
      <c r="BH57" s="8">
        <v>6.7594507853745327</v>
      </c>
      <c r="BI57" s="8">
        <v>7.4849799797183465</v>
      </c>
      <c r="BJ57" s="8">
        <v>948.64413379537189</v>
      </c>
      <c r="BK57" s="8">
        <v>12.648588450604958</v>
      </c>
      <c r="BL57" s="8">
        <v>392.01236288250465</v>
      </c>
      <c r="BM57" s="8">
        <v>10.400144287769882</v>
      </c>
      <c r="BN57" s="8">
        <v>45.311636047512124</v>
      </c>
      <c r="BO57" s="8">
        <v>-0.90306865264706904</v>
      </c>
      <c r="BP57" s="8">
        <v>-8.5605151471214818</v>
      </c>
      <c r="BQ57" s="8">
        <v>23.74771673572905</v>
      </c>
      <c r="BR57" s="69"/>
      <c r="BS57" s="14">
        <v>5.05</v>
      </c>
      <c r="BT57" s="14">
        <v>21.222410680016793</v>
      </c>
      <c r="BU57" s="14">
        <v>23.506801483062294</v>
      </c>
      <c r="BV57" s="14">
        <v>517.16542860855907</v>
      </c>
      <c r="BW57" s="14">
        <v>6.895539048114121</v>
      </c>
      <c r="BX57" s="14">
        <v>6.9736484114517809</v>
      </c>
      <c r="BY57" s="14">
        <v>901.63246741846433</v>
      </c>
      <c r="BZ57" s="14">
        <v>12.021766232246192</v>
      </c>
      <c r="CA57" s="14">
        <v>408.526004151976</v>
      </c>
      <c r="CB57" s="14">
        <v>10.624226749025313</v>
      </c>
      <c r="CC57" s="14">
        <v>35.940598913453023</v>
      </c>
      <c r="CD57" s="14">
        <v>-0.98879935455171597</v>
      </c>
      <c r="CE57" s="14">
        <v>-9.5429192130956384</v>
      </c>
      <c r="CF57" s="14">
        <v>22.32596963371185</v>
      </c>
      <c r="CG57" s="69"/>
      <c r="CH57" s="14">
        <v>4.88</v>
      </c>
      <c r="CI57" s="14">
        <v>21.027034595966306</v>
      </c>
      <c r="CJ57" s="14">
        <v>25.105142158495191</v>
      </c>
      <c r="CK57" s="14">
        <v>517.24748804553747</v>
      </c>
      <c r="CL57" s="14">
        <v>6.8966331739404998</v>
      </c>
      <c r="CM57" s="14">
        <v>7.2282414001267492</v>
      </c>
      <c r="CN57" s="14">
        <v>934.69742680057993</v>
      </c>
      <c r="CO57" s="14">
        <v>12.462632357341066</v>
      </c>
      <c r="CP57" s="14">
        <v>436.29104999531461</v>
      </c>
      <c r="CQ57" s="14">
        <v>12.880692067790951</v>
      </c>
      <c r="CR57" s="14">
        <v>49.515345007325578</v>
      </c>
      <c r="CS57" s="14">
        <v>-0.95412324964957107</v>
      </c>
      <c r="CT57" s="14">
        <v>-8.8152198174158656</v>
      </c>
      <c r="CU57" s="14">
        <v>22.902124281668215</v>
      </c>
      <c r="CV57" s="69"/>
      <c r="CW57" s="14">
        <f t="shared" si="0"/>
        <v>-18.544600938967136</v>
      </c>
      <c r="CX57" s="8">
        <f t="shared" si="1"/>
        <v>8.6021684389689437</v>
      </c>
      <c r="CY57" s="8">
        <f t="shared" si="2"/>
        <v>11.530942552004444</v>
      </c>
      <c r="CZ57" s="8">
        <f t="shared" si="3"/>
        <v>17.50017849824297</v>
      </c>
      <c r="DA57" s="14">
        <f t="shared" si="4"/>
        <v>-7.7887788778877916</v>
      </c>
      <c r="DB57" s="14">
        <f t="shared" si="5"/>
        <v>4.6566666666666663</v>
      </c>
    </row>
    <row r="58" spans="1:106" ht="15.75" x14ac:dyDescent="0.25">
      <c r="A58" s="38">
        <v>57</v>
      </c>
      <c r="B58" s="6" t="s">
        <v>346</v>
      </c>
      <c r="C58" s="6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72"/>
      <c r="K58" s="8">
        <v>4.13</v>
      </c>
      <c r="L58" s="8">
        <v>24.070258580267911</v>
      </c>
      <c r="M58" s="8">
        <v>32.840617004545486</v>
      </c>
      <c r="N58" s="8">
        <v>519.84823275562371</v>
      </c>
      <c r="O58" s="8">
        <v>6.225727338390703</v>
      </c>
      <c r="P58" s="8">
        <v>8.1397369373077062</v>
      </c>
      <c r="Q58" s="8">
        <v>1057.856965488771</v>
      </c>
      <c r="R58" s="8">
        <v>12.668945694476299</v>
      </c>
      <c r="S58" s="8">
        <v>439.20232422517228</v>
      </c>
      <c r="T58" s="8">
        <v>10.732553260759987</v>
      </c>
      <c r="U58" s="8">
        <v>54.227766067605863</v>
      </c>
      <c r="V58" s="8">
        <v>-0.76485608642408065</v>
      </c>
      <c r="W58" s="8">
        <v>-7.0744997425552993</v>
      </c>
      <c r="X58" s="8">
        <v>25.416628715338557</v>
      </c>
      <c r="Y58" s="69"/>
      <c r="Z58" s="8">
        <v>4.26</v>
      </c>
      <c r="AA58" s="8">
        <v>24.795260239369298</v>
      </c>
      <c r="AB58" s="8">
        <v>33.249354315026558</v>
      </c>
      <c r="AC58" s="8">
        <v>479.45666552277095</v>
      </c>
      <c r="AD58" s="8">
        <v>5.7419959942846823</v>
      </c>
      <c r="AE58" s="8">
        <v>8.332296384664355</v>
      </c>
      <c r="AF58" s="8">
        <v>998.74376018465284</v>
      </c>
      <c r="AG58" s="8">
        <v>11.961003115983866</v>
      </c>
      <c r="AH58" s="8">
        <v>416.03226766812151</v>
      </c>
      <c r="AI58" s="8">
        <v>9.7066293772318186</v>
      </c>
      <c r="AJ58" s="8">
        <v>50.512721963978059</v>
      </c>
      <c r="AK58" s="8">
        <v>-0.68912526981791766</v>
      </c>
      <c r="AL58" s="8">
        <v>-6.4741673544360614</v>
      </c>
      <c r="AM58" s="8">
        <v>25.690194181961903</v>
      </c>
      <c r="AN58" s="69"/>
      <c r="AO58" s="8">
        <v>4.5</v>
      </c>
      <c r="AP58" s="8">
        <v>23.019569234017901</v>
      </c>
      <c r="AQ58" s="8">
        <v>28.753415175263488</v>
      </c>
      <c r="AR58" s="8">
        <v>661.77049840205052</v>
      </c>
      <c r="AS58" s="8">
        <v>7.9253951904437185</v>
      </c>
      <c r="AT58" s="8">
        <v>8.1764186671098482</v>
      </c>
      <c r="AU58" s="8">
        <v>1352.7281641192785</v>
      </c>
      <c r="AV58" s="8">
        <v>16.20033729484166</v>
      </c>
      <c r="AW58" s="8">
        <v>660.65520266567842</v>
      </c>
      <c r="AX58" s="8">
        <v>16.377290339478989</v>
      </c>
      <c r="AY58" s="8">
        <v>58.949510483275006</v>
      </c>
      <c r="AZ58" s="8">
        <v>-0.96929909207366216</v>
      </c>
      <c r="BA58" s="8">
        <v>-8.50233875557422</v>
      </c>
      <c r="BB58" s="8">
        <v>25.374441130131437</v>
      </c>
      <c r="BC58" s="69"/>
      <c r="BD58" s="8">
        <v>4.5</v>
      </c>
      <c r="BE58" s="8">
        <v>18.88040003119265</v>
      </c>
      <c r="BF58" s="8">
        <v>20.638742693993375</v>
      </c>
      <c r="BG58" s="8">
        <v>482.05868876315219</v>
      </c>
      <c r="BH58" s="8">
        <v>5.7731579492593079</v>
      </c>
      <c r="BI58" s="8">
        <v>6.4414639094930521</v>
      </c>
      <c r="BJ58" s="8">
        <v>776.29091148134717</v>
      </c>
      <c r="BK58" s="8">
        <v>9.2968971434891881</v>
      </c>
      <c r="BL58" s="8">
        <v>425.00449908894495</v>
      </c>
      <c r="BM58" s="8">
        <v>10.763677000881998</v>
      </c>
      <c r="BN58" s="8">
        <v>29.045954155661697</v>
      </c>
      <c r="BO58" s="8">
        <v>-0.89624936666200483</v>
      </c>
      <c r="BP58" s="8">
        <v>-8.7613521605268527</v>
      </c>
      <c r="BQ58" s="8">
        <v>20.185166256405882</v>
      </c>
      <c r="BR58" s="69"/>
      <c r="BS58" s="14">
        <v>4.5999999999999996</v>
      </c>
      <c r="BT58" s="14">
        <v>21.419967217989257</v>
      </c>
      <c r="BU58" s="14">
        <v>27.13666840608257</v>
      </c>
      <c r="BV58" s="14">
        <v>616.04195988391257</v>
      </c>
      <c r="BW58" s="14">
        <v>7.3777480225618275</v>
      </c>
      <c r="BX58" s="14">
        <v>7.3717090003337225</v>
      </c>
      <c r="BY58" s="14">
        <v>1135.320515064866</v>
      </c>
      <c r="BZ58" s="14">
        <v>13.596652875028335</v>
      </c>
      <c r="CA58" s="14">
        <v>487.62648128021527</v>
      </c>
      <c r="CB58" s="14">
        <v>13.561752933501246</v>
      </c>
      <c r="CC58" s="14">
        <v>57.615776570284638</v>
      </c>
      <c r="CD58" s="14">
        <v>-1.000819216036313</v>
      </c>
      <c r="CE58" s="14">
        <v>-8.9792721359398087</v>
      </c>
      <c r="CF58" s="14">
        <v>23.515567315853112</v>
      </c>
      <c r="CG58" s="69"/>
      <c r="CH58" s="14">
        <v>4.8099999999999996</v>
      </c>
      <c r="CI58" s="14">
        <v>21.956613997109962</v>
      </c>
      <c r="CJ58" s="14">
        <v>27.756542420850582</v>
      </c>
      <c r="CK58" s="14">
        <v>561.48119900233485</v>
      </c>
      <c r="CL58" s="14">
        <v>6.7243257365549081</v>
      </c>
      <c r="CM58" s="14">
        <v>7.343027929250769</v>
      </c>
      <c r="CN58" s="14">
        <v>1030.7430315058384</v>
      </c>
      <c r="CO58" s="14">
        <v>12.34422792222561</v>
      </c>
      <c r="CP58" s="14">
        <v>402.38396139149211</v>
      </c>
      <c r="CQ58" s="14">
        <v>10.970680571167655</v>
      </c>
      <c r="CR58" s="14">
        <v>54.615956013310885</v>
      </c>
      <c r="CS58" s="14">
        <v>-0.91574290624290333</v>
      </c>
      <c r="CT58" s="14">
        <v>-8.420032894084212</v>
      </c>
      <c r="CU58" s="14">
        <v>23.346012696071178</v>
      </c>
      <c r="CV58" s="69"/>
      <c r="CW58" s="8">
        <f t="shared" si="0"/>
        <v>-16.464891041162222</v>
      </c>
      <c r="CX58" s="8">
        <f t="shared" si="1"/>
        <v>14.608598404596403</v>
      </c>
      <c r="CY58" s="8">
        <f t="shared" si="2"/>
        <v>22.692813455980659</v>
      </c>
      <c r="CZ58" s="8">
        <f t="shared" si="3"/>
        <v>24.686280891247524</v>
      </c>
      <c r="DA58" s="8">
        <f t="shared" si="4"/>
        <v>-7.1379071379071295</v>
      </c>
      <c r="DB58" s="8">
        <f t="shared" si="5"/>
        <v>4.4666666666666668</v>
      </c>
    </row>
    <row r="59" spans="1:106" ht="15.75" x14ac:dyDescent="0.25">
      <c r="A59" s="10">
        <v>58</v>
      </c>
      <c r="B59" s="3" t="s">
        <v>349</v>
      </c>
      <c r="C59" s="3" t="s">
        <v>350</v>
      </c>
      <c r="D59" s="3">
        <v>68</v>
      </c>
      <c r="E59" s="3">
        <v>179</v>
      </c>
      <c r="F59" s="3">
        <v>26</v>
      </c>
      <c r="G59" s="12" t="s">
        <v>32</v>
      </c>
      <c r="H59" s="12" t="s">
        <v>63</v>
      </c>
      <c r="I59" s="12">
        <v>24</v>
      </c>
      <c r="J59" s="72"/>
      <c r="K59" s="8">
        <v>4.21</v>
      </c>
      <c r="L59" s="8">
        <v>24.666189469676393</v>
      </c>
      <c r="M59" s="8">
        <v>31.275956791457531</v>
      </c>
      <c r="N59" s="8">
        <v>520.25321264626905</v>
      </c>
      <c r="O59" s="8">
        <v>7.6507825389157214</v>
      </c>
      <c r="P59" s="8">
        <v>8.3753007786451779</v>
      </c>
      <c r="Q59" s="8">
        <v>1089.3192842422382</v>
      </c>
      <c r="R59" s="8">
        <v>16.019401238856442</v>
      </c>
      <c r="S59" s="8">
        <v>486.56354449192821</v>
      </c>
      <c r="T59" s="8">
        <v>13.388019565069937</v>
      </c>
      <c r="U59" s="8">
        <v>55.022609770333567</v>
      </c>
      <c r="V59" s="8">
        <v>-0.9134934662195312</v>
      </c>
      <c r="W59" s="8">
        <v>-8.3129392319779747</v>
      </c>
      <c r="X59" s="8">
        <v>26.000145496685231</v>
      </c>
      <c r="Y59" s="69"/>
      <c r="Z59" s="8">
        <v>4.25</v>
      </c>
      <c r="AA59" s="8">
        <v>24.717540180748024</v>
      </c>
      <c r="AB59" s="8">
        <v>31.217915476531253</v>
      </c>
      <c r="AC59" s="8">
        <v>580.67886919860666</v>
      </c>
      <c r="AD59" s="8">
        <v>8.5393951352736277</v>
      </c>
      <c r="AE59" s="8">
        <v>8.6866907617502225</v>
      </c>
      <c r="AF59" s="8">
        <v>1261.0444421527757</v>
      </c>
      <c r="AG59" s="8">
        <v>18.544771208129053</v>
      </c>
      <c r="AH59" s="8">
        <v>613.23810352328928</v>
      </c>
      <c r="AI59" s="8">
        <v>16.894790132752192</v>
      </c>
      <c r="AJ59" s="8">
        <v>60.606532155117691</v>
      </c>
      <c r="AK59" s="8">
        <v>-0.98304352825299424</v>
      </c>
      <c r="AL59" s="8">
        <v>-8.5586307326915527</v>
      </c>
      <c r="AM59" s="8">
        <v>26.678084512213132</v>
      </c>
      <c r="AN59" s="69"/>
      <c r="AO59" s="8">
        <v>4.5199999999999996</v>
      </c>
      <c r="AP59" s="8">
        <v>22.527077046230854</v>
      </c>
      <c r="AQ59" s="8">
        <v>28.477941033234298</v>
      </c>
      <c r="AR59" s="8">
        <v>499.77630346733935</v>
      </c>
      <c r="AS59" s="8">
        <v>7.3496515215785196</v>
      </c>
      <c r="AT59" s="8">
        <v>7.6642955290169086</v>
      </c>
      <c r="AU59" s="8">
        <v>957.60832204333167</v>
      </c>
      <c r="AV59" s="8">
        <v>14.082475324166642</v>
      </c>
      <c r="AW59" s="8">
        <v>410.75924898565137</v>
      </c>
      <c r="AX59" s="8">
        <v>12.935695316789053</v>
      </c>
      <c r="AY59" s="8">
        <v>55.982559700948308</v>
      </c>
      <c r="AZ59" s="8">
        <v>-0.95894678039917025</v>
      </c>
      <c r="BA59" s="8">
        <v>-8.6978902540333571</v>
      </c>
      <c r="BB59" s="8">
        <v>24.231326388028982</v>
      </c>
      <c r="BC59" s="69"/>
      <c r="BD59" s="8">
        <v>4.5599999999999996</v>
      </c>
      <c r="BE59" s="8">
        <v>23.529149955978575</v>
      </c>
      <c r="BF59" s="8">
        <v>28.299960980726414</v>
      </c>
      <c r="BG59" s="8">
        <v>504.49267890632188</v>
      </c>
      <c r="BH59" s="8">
        <v>7.4190099839164985</v>
      </c>
      <c r="BI59" s="8">
        <v>7.8904102315508986</v>
      </c>
      <c r="BJ59" s="8">
        <v>995.16354884624116</v>
      </c>
      <c r="BK59" s="8">
        <v>14.634758071268251</v>
      </c>
      <c r="BL59" s="8">
        <v>440.85382077981296</v>
      </c>
      <c r="BM59" s="8">
        <v>12.407721473265772</v>
      </c>
      <c r="BN59" s="8">
        <v>49.545992333656116</v>
      </c>
      <c r="BO59" s="8">
        <v>-0.94025656033073635</v>
      </c>
      <c r="BP59" s="8">
        <v>-8.7332547714905377</v>
      </c>
      <c r="BQ59" s="8">
        <v>24.780999955274929</v>
      </c>
      <c r="BR59" s="69"/>
      <c r="BS59" s="14">
        <v>4.6100000000000003</v>
      </c>
      <c r="BT59" s="14">
        <v>21.718828423548892</v>
      </c>
      <c r="BU59" s="14">
        <v>25.731819753554081</v>
      </c>
      <c r="BV59" s="14">
        <v>467.57144285633422</v>
      </c>
      <c r="BW59" s="14">
        <v>6.8760506302402087</v>
      </c>
      <c r="BX59" s="14">
        <v>7.7154371133902151</v>
      </c>
      <c r="BY59" s="14">
        <v>901.87951584379334</v>
      </c>
      <c r="BZ59" s="14">
        <v>13.262934056526372</v>
      </c>
      <c r="CA59" s="14">
        <v>483.58709913471159</v>
      </c>
      <c r="CB59" s="14">
        <v>14.620059826416153</v>
      </c>
      <c r="CC59" s="14">
        <v>48.034550226210101</v>
      </c>
      <c r="CD59" s="14">
        <v>-0.89120687903822771</v>
      </c>
      <c r="CE59" s="14">
        <v>-8.2031384605105995</v>
      </c>
      <c r="CF59" s="14">
        <v>23.832082943565709</v>
      </c>
      <c r="CG59" s="69"/>
      <c r="CH59" s="14">
        <v>4.95</v>
      </c>
      <c r="CI59" s="14">
        <v>21.040056142076271</v>
      </c>
      <c r="CJ59" s="14">
        <v>24.310192342223189</v>
      </c>
      <c r="CK59" s="14">
        <v>457.23174684849653</v>
      </c>
      <c r="CL59" s="14">
        <v>6.7239962771837725</v>
      </c>
      <c r="CM59" s="14">
        <v>6.9739749001897291</v>
      </c>
      <c r="CN59" s="14">
        <v>797.18068152282979</v>
      </c>
      <c r="CO59" s="14">
        <v>11.723245316512203</v>
      </c>
      <c r="CP59" s="14">
        <v>346.95672732624007</v>
      </c>
      <c r="CQ59" s="14">
        <v>10.749568570929194</v>
      </c>
      <c r="CR59" s="14">
        <v>42.490752007166691</v>
      </c>
      <c r="CS59" s="14">
        <v>-0.96415550291138075</v>
      </c>
      <c r="CT59" s="14">
        <v>-9.1734957964893109</v>
      </c>
      <c r="CU59" s="14">
        <v>22.329725053392092</v>
      </c>
      <c r="CV59" s="69"/>
      <c r="CW59" s="14">
        <f t="shared" si="0"/>
        <v>-17.577197149643712</v>
      </c>
      <c r="CX59" s="8">
        <f t="shared" si="1"/>
        <v>21.259103593777951</v>
      </c>
      <c r="CY59" s="8">
        <f t="shared" si="2"/>
        <v>19.716551544600051</v>
      </c>
      <c r="CZ59" s="8">
        <f t="shared" si="3"/>
        <v>36.784093020390841</v>
      </c>
      <c r="DA59" s="14">
        <f t="shared" si="4"/>
        <v>-8.7542087542087579</v>
      </c>
      <c r="DB59" s="14">
        <f t="shared" si="5"/>
        <v>4.5166666666666666</v>
      </c>
    </row>
    <row r="60" spans="1:106" ht="15.75" x14ac:dyDescent="0.25">
      <c r="A60" s="10">
        <v>59</v>
      </c>
      <c r="B60" s="3" t="s">
        <v>370</v>
      </c>
      <c r="C60" s="3" t="s">
        <v>371</v>
      </c>
      <c r="D60" s="3">
        <v>85</v>
      </c>
      <c r="E60" s="3">
        <v>186</v>
      </c>
      <c r="F60" s="3">
        <v>24</v>
      </c>
      <c r="G60" s="37" t="s">
        <v>32</v>
      </c>
      <c r="H60" s="37" t="s">
        <v>63</v>
      </c>
      <c r="I60" s="37">
        <v>25</v>
      </c>
      <c r="J60" s="72"/>
      <c r="K60" s="8">
        <v>4.18</v>
      </c>
      <c r="L60" s="8">
        <v>25.899920300151745</v>
      </c>
      <c r="M60" s="8">
        <v>35.446249920549036</v>
      </c>
      <c r="N60" s="8">
        <v>670.87318157999744</v>
      </c>
      <c r="O60" s="8">
        <v>7.8926256656470288</v>
      </c>
      <c r="P60" s="8">
        <v>8.8460754117996387</v>
      </c>
      <c r="Q60" s="8">
        <v>1483.6486890026524</v>
      </c>
      <c r="R60" s="8">
        <v>17.454690458854735</v>
      </c>
      <c r="S60" s="8">
        <v>599.96365085509058</v>
      </c>
      <c r="T60" s="8">
        <v>13.694932286761164</v>
      </c>
      <c r="U60" s="8">
        <v>65.847110350775353</v>
      </c>
      <c r="V60" s="8">
        <v>-0.89221776869765124</v>
      </c>
      <c r="W60" s="8">
        <v>-7.7280832643489248</v>
      </c>
      <c r="X60" s="8">
        <v>26.996285510591598</v>
      </c>
      <c r="Y60" s="69"/>
      <c r="Z60" s="8">
        <v>4.3099999999999996</v>
      </c>
      <c r="AA60" s="8">
        <v>25.899920300151745</v>
      </c>
      <c r="AB60" s="8">
        <v>35.446249920549036</v>
      </c>
      <c r="AC60" s="8">
        <v>670.87318157999744</v>
      </c>
      <c r="AD60" s="8">
        <v>7.8926256656470288</v>
      </c>
      <c r="AE60" s="8">
        <v>8.8460754117996387</v>
      </c>
      <c r="AF60" s="8">
        <v>1483.6486890026524</v>
      </c>
      <c r="AG60" s="8">
        <v>17.454690458854735</v>
      </c>
      <c r="AH60" s="8">
        <v>599.96365085509058</v>
      </c>
      <c r="AI60" s="8">
        <v>13.694932286761164</v>
      </c>
      <c r="AJ60" s="8">
        <v>65.847110350775353</v>
      </c>
      <c r="AK60" s="8">
        <v>-0.89221776869765124</v>
      </c>
      <c r="AL60" s="8">
        <v>-7.7280832643489248</v>
      </c>
      <c r="AM60" s="8">
        <v>26.996285510591598</v>
      </c>
      <c r="AN60" s="69"/>
      <c r="AO60" s="8">
        <v>4.4000000000000004</v>
      </c>
      <c r="AP60" s="8">
        <v>24.720189260768596</v>
      </c>
      <c r="AQ60" s="8">
        <v>32.700356323977914</v>
      </c>
      <c r="AR60" s="8">
        <v>705.21692624469881</v>
      </c>
      <c r="AS60" s="8">
        <v>8.2966697205258679</v>
      </c>
      <c r="AT60" s="8">
        <v>8.4849021941569376</v>
      </c>
      <c r="AU60" s="8">
        <v>1495.9241612125641</v>
      </c>
      <c r="AV60" s="8">
        <v>17.599107778971341</v>
      </c>
      <c r="AW60" s="8">
        <v>620.2470170040375</v>
      </c>
      <c r="AX60" s="8">
        <v>14.716185989652335</v>
      </c>
      <c r="AY60" s="8">
        <v>65.13580992415811</v>
      </c>
      <c r="AZ60" s="8">
        <v>-0.97781559889273784</v>
      </c>
      <c r="BA60" s="8">
        <v>-8.4397754534096556</v>
      </c>
      <c r="BB60" s="8">
        <v>26.347894429221643</v>
      </c>
      <c r="BC60" s="69"/>
      <c r="BD60" s="8">
        <v>4.67</v>
      </c>
      <c r="BE60" s="8">
        <v>24.873884953256102</v>
      </c>
      <c r="BF60" s="8">
        <v>29.233143737856658</v>
      </c>
      <c r="BG60" s="8">
        <v>684.50738002029789</v>
      </c>
      <c r="BH60" s="8">
        <v>8.0530280002387986</v>
      </c>
      <c r="BI60" s="8">
        <v>8.554275521513258</v>
      </c>
      <c r="BJ60" s="8">
        <v>1463.8661813007018</v>
      </c>
      <c r="BK60" s="8">
        <v>17.221955074125905</v>
      </c>
      <c r="BL60" s="8">
        <v>723.20144253794513</v>
      </c>
      <c r="BM60" s="8">
        <v>14.988975964530324</v>
      </c>
      <c r="BN60" s="8">
        <v>51.552749208365668</v>
      </c>
      <c r="BO60" s="8">
        <v>-0.94140386055910064</v>
      </c>
      <c r="BP60" s="8">
        <v>-8.5522821441271866</v>
      </c>
      <c r="BQ60" s="8">
        <v>26.256736069653694</v>
      </c>
      <c r="BR60" s="69"/>
      <c r="BS60" s="14">
        <v>4.7300000000000004</v>
      </c>
      <c r="BT60" s="14">
        <v>22.72652560213638</v>
      </c>
      <c r="BU60" s="14">
        <v>28.825623481257285</v>
      </c>
      <c r="BV60" s="14">
        <v>641.08831742065229</v>
      </c>
      <c r="BW60" s="14">
        <v>7.5422154990664971</v>
      </c>
      <c r="BX60" s="14">
        <v>7.7156574190394158</v>
      </c>
      <c r="BY60" s="14">
        <v>1236.6044581415379</v>
      </c>
      <c r="BZ60" s="14">
        <v>14.548287742841621</v>
      </c>
      <c r="CA60" s="14">
        <v>503.9180908853437</v>
      </c>
      <c r="CB60" s="14">
        <v>13.019628928448894</v>
      </c>
      <c r="CC60" s="14">
        <v>59.209407444171717</v>
      </c>
      <c r="CD60" s="14">
        <v>-0.97752078526128861</v>
      </c>
      <c r="CE60" s="14">
        <v>-8.7371776313692564</v>
      </c>
      <c r="CF60" s="14">
        <v>24.32788097501507</v>
      </c>
      <c r="CG60" s="69"/>
      <c r="CH60" s="14">
        <v>4.84</v>
      </c>
      <c r="CI60" s="14">
        <v>21.422134646860723</v>
      </c>
      <c r="CJ60" s="14">
        <v>24.782205139795877</v>
      </c>
      <c r="CK60" s="14">
        <v>586.5318593188673</v>
      </c>
      <c r="CL60" s="14">
        <v>6.900374815516086</v>
      </c>
      <c r="CM60" s="14">
        <v>7.2177341959697658</v>
      </c>
      <c r="CN60" s="14">
        <v>1058.3577645078792</v>
      </c>
      <c r="CO60" s="14">
        <v>12.451267817739755</v>
      </c>
      <c r="CP60" s="14">
        <v>492.49470927183239</v>
      </c>
      <c r="CQ60" s="14">
        <v>11.921319948500118</v>
      </c>
      <c r="CR60" s="14">
        <v>43.760849902865573</v>
      </c>
      <c r="CS60" s="14">
        <v>-0.95603060852103883</v>
      </c>
      <c r="CT60" s="14">
        <v>-9.0198705838255684</v>
      </c>
      <c r="CU60" s="14">
        <v>22.92248232967334</v>
      </c>
      <c r="CV60" s="69"/>
      <c r="CW60" s="14">
        <f t="shared" si="0"/>
        <v>-15.789473684210531</v>
      </c>
      <c r="CX60" s="8">
        <f t="shared" si="1"/>
        <v>14.313289171334468</v>
      </c>
      <c r="CY60" s="8">
        <f t="shared" si="2"/>
        <v>18.407498693238072</v>
      </c>
      <c r="CZ60" s="8">
        <f t="shared" si="3"/>
        <v>28.665204077433252</v>
      </c>
      <c r="DA60" s="14">
        <f t="shared" si="4"/>
        <v>-6.5771349862258965</v>
      </c>
      <c r="DB60" s="14">
        <f t="shared" si="5"/>
        <v>4.5216666666666665</v>
      </c>
    </row>
    <row r="61" spans="1:106" ht="15.75" x14ac:dyDescent="0.25">
      <c r="A61" s="10">
        <v>60</v>
      </c>
      <c r="B61" s="3" t="s">
        <v>372</v>
      </c>
      <c r="C61" s="3" t="s">
        <v>373</v>
      </c>
      <c r="D61" s="3">
        <v>60.8</v>
      </c>
      <c r="E61" s="3">
        <v>160</v>
      </c>
      <c r="F61" s="3">
        <v>29</v>
      </c>
      <c r="G61" s="12" t="s">
        <v>45</v>
      </c>
      <c r="H61" s="12" t="s">
        <v>33</v>
      </c>
      <c r="I61" s="12">
        <v>25</v>
      </c>
      <c r="J61" s="72"/>
      <c r="K61" s="8">
        <v>4.6100000000000003</v>
      </c>
      <c r="L61" s="8">
        <v>23.290906575062063</v>
      </c>
      <c r="M61" s="8">
        <v>27.528422868527489</v>
      </c>
      <c r="N61" s="8">
        <v>443.0999559618333</v>
      </c>
      <c r="O61" s="8">
        <v>7.2878282230564695</v>
      </c>
      <c r="P61" s="8">
        <v>8.3282364228947099</v>
      </c>
      <c r="Q61" s="8">
        <v>922.56029805609546</v>
      </c>
      <c r="R61" s="8">
        <v>15.173689112764729</v>
      </c>
      <c r="S61" s="8">
        <v>506.57211216714785</v>
      </c>
      <c r="T61" s="8">
        <v>15.781027651702809</v>
      </c>
      <c r="U61" s="8">
        <v>50.134897570912294</v>
      </c>
      <c r="V61" s="8">
        <v>-0.87507460799526415</v>
      </c>
      <c r="W61" s="8">
        <v>-7.9486245124165471</v>
      </c>
      <c r="X61" s="8">
        <v>25.323421798643285</v>
      </c>
      <c r="Y61" s="69"/>
      <c r="Z61" s="8">
        <v>4.62</v>
      </c>
      <c r="AA61" s="8">
        <v>20.262586858010547</v>
      </c>
      <c r="AB61" s="8">
        <v>23.371263024514779</v>
      </c>
      <c r="AC61" s="8">
        <v>342.37296904594388</v>
      </c>
      <c r="AD61" s="8">
        <v>5.6311343593082874</v>
      </c>
      <c r="AE61" s="8">
        <v>7.49649476591651</v>
      </c>
      <c r="AF61" s="8">
        <v>641.6492926110534</v>
      </c>
      <c r="AG61" s="8">
        <v>10.553442312681799</v>
      </c>
      <c r="AH61" s="8">
        <v>399.47855581386978</v>
      </c>
      <c r="AI61" s="8">
        <v>13.884750486370473</v>
      </c>
      <c r="AJ61" s="8">
        <v>39.460338704765192</v>
      </c>
      <c r="AK61" s="8">
        <v>-0.75116898432461343</v>
      </c>
      <c r="AL61" s="8">
        <v>-7.0961235264771423</v>
      </c>
      <c r="AM61" s="8">
        <v>22.441698668109694</v>
      </c>
      <c r="AN61" s="69"/>
      <c r="AO61" s="8">
        <v>4.97</v>
      </c>
      <c r="AP61" s="8">
        <v>20.073949260863905</v>
      </c>
      <c r="AQ61" s="8">
        <v>24.352887445717851</v>
      </c>
      <c r="AR61" s="8">
        <v>379.35598679712444</v>
      </c>
      <c r="AS61" s="8">
        <v>6.2394076775842837</v>
      </c>
      <c r="AT61" s="8">
        <v>7.351614922621974</v>
      </c>
      <c r="AU61" s="8">
        <v>697.21978338093118</v>
      </c>
      <c r="AV61" s="8">
        <v>11.467430647712684</v>
      </c>
      <c r="AW61" s="8">
        <v>367.4521454234075</v>
      </c>
      <c r="AX61" s="8">
        <v>14.600443380510102</v>
      </c>
      <c r="AY61" s="8">
        <v>50.925605567321661</v>
      </c>
      <c r="AZ61" s="8">
        <v>-0.84871252687416043</v>
      </c>
      <c r="BA61" s="8">
        <v>-7.7191217595690267</v>
      </c>
      <c r="BB61" s="8">
        <v>22.731733276139387</v>
      </c>
      <c r="BC61" s="69"/>
      <c r="BD61" s="8">
        <v>5.0199999999999996</v>
      </c>
      <c r="BE61" s="8">
        <v>20.382576997193301</v>
      </c>
      <c r="BF61" s="8">
        <v>24.209873786167801</v>
      </c>
      <c r="BG61" s="8">
        <v>402.13120048542902</v>
      </c>
      <c r="BH61" s="8">
        <v>6.6140000079840302</v>
      </c>
      <c r="BI61" s="8">
        <v>7.0367212168360815</v>
      </c>
      <c r="BJ61" s="8">
        <v>707.42128760189564</v>
      </c>
      <c r="BK61" s="8">
        <v>11.635218546083811</v>
      </c>
      <c r="BL61" s="8">
        <v>332.8178197821714</v>
      </c>
      <c r="BM61" s="8">
        <v>12.601677590322454</v>
      </c>
      <c r="BN61" s="8">
        <v>48.483172991065814</v>
      </c>
      <c r="BO61" s="8">
        <v>-0.93992639528753164</v>
      </c>
      <c r="BP61" s="8">
        <v>-8.7139412145387105</v>
      </c>
      <c r="BQ61" s="8">
        <v>22.320196897590289</v>
      </c>
      <c r="BR61" s="69"/>
      <c r="BS61" s="14">
        <v>5.31</v>
      </c>
      <c r="BT61" s="14">
        <v>19.862536239513496</v>
      </c>
      <c r="BU61" s="14">
        <v>22.355077558855172</v>
      </c>
      <c r="BV61" s="14">
        <v>304.29965402753794</v>
      </c>
      <c r="BW61" s="14">
        <v>5.0049285201897691</v>
      </c>
      <c r="BX61" s="14">
        <v>7.3108518994510279</v>
      </c>
      <c r="BY61" s="14">
        <v>556.17242591237914</v>
      </c>
      <c r="BZ61" s="14">
        <v>9.1475727946114986</v>
      </c>
      <c r="CA61" s="14">
        <v>346.34654456316872</v>
      </c>
      <c r="CB61" s="14">
        <v>12.221202443146183</v>
      </c>
      <c r="CC61" s="14">
        <v>35.784915394538849</v>
      </c>
      <c r="CD61" s="14">
        <v>-0.68458896295869287</v>
      </c>
      <c r="CE61" s="14">
        <v>-6.5496528318129021</v>
      </c>
      <c r="CF61" s="14">
        <v>21.726736590736195</v>
      </c>
      <c r="CG61" s="69"/>
      <c r="CH61" s="14">
        <v>5.34</v>
      </c>
      <c r="CI61" s="14">
        <v>18.316729550835706</v>
      </c>
      <c r="CJ61" s="14">
        <v>20.119416881280276</v>
      </c>
      <c r="CK61" s="14">
        <v>298.54591588069121</v>
      </c>
      <c r="CL61" s="14">
        <v>4.910294669090316</v>
      </c>
      <c r="CM61" s="14">
        <v>6.4234609037919501</v>
      </c>
      <c r="CN61" s="14">
        <v>479.42450466159505</v>
      </c>
      <c r="CO61" s="14">
        <v>7.8852714582499193</v>
      </c>
      <c r="CP61" s="14">
        <v>276.16940505403039</v>
      </c>
      <c r="CQ61" s="14">
        <v>10.235401157377453</v>
      </c>
      <c r="CR61" s="14">
        <v>30.133059843048965</v>
      </c>
      <c r="CS61" s="14">
        <v>-0.76443131555321375</v>
      </c>
      <c r="CT61" s="14">
        <v>-7.4540530357839483</v>
      </c>
      <c r="CU61" s="14">
        <v>19.740314227776707</v>
      </c>
      <c r="CV61" s="69"/>
      <c r="CW61" s="14">
        <f t="shared" si="0"/>
        <v>-15.835140997830791</v>
      </c>
      <c r="CX61" s="8">
        <f t="shared" si="1"/>
        <v>25.759076758952247</v>
      </c>
      <c r="CY61" s="8">
        <f t="shared" si="2"/>
        <v>14.313807927982625</v>
      </c>
      <c r="CZ61" s="8">
        <f t="shared" si="3"/>
        <v>32.229279346850355</v>
      </c>
      <c r="DA61" s="14">
        <f t="shared" si="4"/>
        <v>-6.7727840199750418</v>
      </c>
      <c r="DB61" s="14">
        <f t="shared" si="5"/>
        <v>4.9783333333333326</v>
      </c>
    </row>
    <row r="62" spans="1:106" ht="15.75" x14ac:dyDescent="0.25">
      <c r="A62" s="10">
        <v>61</v>
      </c>
      <c r="B62" s="3" t="s">
        <v>374</v>
      </c>
      <c r="C62" s="3" t="s">
        <v>375</v>
      </c>
      <c r="D62" s="3">
        <v>84.5</v>
      </c>
      <c r="E62" s="3">
        <v>192</v>
      </c>
      <c r="F62" s="3">
        <v>34</v>
      </c>
      <c r="G62" s="12" t="s">
        <v>32</v>
      </c>
      <c r="H62" s="12" t="s">
        <v>33</v>
      </c>
      <c r="I62" s="12">
        <v>25</v>
      </c>
      <c r="J62" s="72"/>
      <c r="K62" s="8">
        <v>5.48</v>
      </c>
      <c r="L62" s="8">
        <v>18.846851538723286</v>
      </c>
      <c r="M62" s="8">
        <v>21.50712600373981</v>
      </c>
      <c r="N62" s="8">
        <v>427.73727457319649</v>
      </c>
      <c r="O62" s="8">
        <v>5.0619795807478871</v>
      </c>
      <c r="P62" s="8">
        <v>6.7980541618706871</v>
      </c>
      <c r="Q62" s="8">
        <v>726.94528989988578</v>
      </c>
      <c r="R62" s="8">
        <v>8.602902839051902</v>
      </c>
      <c r="S62" s="8">
        <v>411.58278738867352</v>
      </c>
      <c r="T62" s="8">
        <v>11.550783044893681</v>
      </c>
      <c r="U62" s="8">
        <v>38.115149864911835</v>
      </c>
      <c r="V62" s="8">
        <v>-0.74462183739867882</v>
      </c>
      <c r="W62" s="8">
        <v>-7.1038261403158005</v>
      </c>
      <c r="X62" s="8">
        <v>20.803371365544699</v>
      </c>
      <c r="Y62" s="69"/>
      <c r="Z62" s="8">
        <v>5.78</v>
      </c>
      <c r="AA62" s="8">
        <v>17.848992684186516</v>
      </c>
      <c r="AB62" s="8">
        <v>21.760042328295121</v>
      </c>
      <c r="AC62" s="8">
        <v>513.52408345639572</v>
      </c>
      <c r="AD62" s="8">
        <v>6.0772080882413695</v>
      </c>
      <c r="AE62" s="8">
        <v>6.0545238267524004</v>
      </c>
      <c r="AF62" s="8">
        <v>777.285949724484</v>
      </c>
      <c r="AG62" s="8">
        <v>9.1986502925974438</v>
      </c>
      <c r="AH62" s="8">
        <v>290.30956886668173</v>
      </c>
      <c r="AI62" s="8">
        <v>10.613351359910572</v>
      </c>
      <c r="AJ62" s="8">
        <v>53.461937455060784</v>
      </c>
      <c r="AK62" s="8">
        <v>-1.0037466631791483</v>
      </c>
      <c r="AL62" s="8">
        <v>-9.2213864177605149</v>
      </c>
      <c r="AM62" s="8">
        <v>19.893341228661196</v>
      </c>
      <c r="AN62" s="69"/>
      <c r="AO62" s="8">
        <v>6.08</v>
      </c>
      <c r="AP62" s="8">
        <v>17.612830864445375</v>
      </c>
      <c r="AQ62" s="8">
        <v>19.906670128900601</v>
      </c>
      <c r="AR62" s="8">
        <v>362.44244718204482</v>
      </c>
      <c r="AS62" s="8">
        <v>4.2892597299650275</v>
      </c>
      <c r="AT62" s="8">
        <v>6.4157470618096619</v>
      </c>
      <c r="AU62" s="8">
        <v>581.33476639582693</v>
      </c>
      <c r="AV62" s="8">
        <v>6.8797013774654072</v>
      </c>
      <c r="AW62" s="8">
        <v>333.91195559631723</v>
      </c>
      <c r="AX62" s="8">
        <v>10.1602088342235</v>
      </c>
      <c r="AY62" s="8">
        <v>34.656462725796494</v>
      </c>
      <c r="AZ62" s="8">
        <v>-0.66855187535326144</v>
      </c>
      <c r="BA62" s="8">
        <v>-6.4499596465027569</v>
      </c>
      <c r="BB62" s="8">
        <v>19.48535319692596</v>
      </c>
      <c r="BC62" s="69"/>
      <c r="BD62" s="8">
        <v>6.47</v>
      </c>
      <c r="BE62" s="8">
        <v>15.346376959775499</v>
      </c>
      <c r="BF62" s="8">
        <v>17.387744632665591</v>
      </c>
      <c r="BG62" s="8">
        <v>372.80218870892742</v>
      </c>
      <c r="BH62" s="8">
        <v>4.4118602214074247</v>
      </c>
      <c r="BI62" s="8">
        <v>4.8293344590133209</v>
      </c>
      <c r="BJ62" s="8">
        <v>450.09661408190249</v>
      </c>
      <c r="BK62" s="8">
        <v>5.3265871488982546</v>
      </c>
      <c r="BL62" s="8">
        <v>139.63517777904013</v>
      </c>
      <c r="BM62" s="8">
        <v>5.1896038515517473</v>
      </c>
      <c r="BN62" s="8">
        <v>31.658831329219623</v>
      </c>
      <c r="BO62" s="8">
        <v>-0.9135544988343608</v>
      </c>
      <c r="BP62" s="8">
        <v>-9.0324143906619607</v>
      </c>
      <c r="BQ62" s="8">
        <v>16.385245665427547</v>
      </c>
      <c r="BR62" s="69"/>
      <c r="BS62" s="14">
        <v>6.53</v>
      </c>
      <c r="BT62" s="14">
        <v>15.823753113733641</v>
      </c>
      <c r="BU62" s="14">
        <v>17.350306501349916</v>
      </c>
      <c r="BV62" s="14">
        <v>322.67277418702338</v>
      </c>
      <c r="BW62" s="14">
        <v>3.8186127122724662</v>
      </c>
      <c r="BX62" s="14">
        <v>5.5369384303114293</v>
      </c>
      <c r="BY62" s="14">
        <v>446.65482095283289</v>
      </c>
      <c r="BZ62" s="14">
        <v>5.285855869264295</v>
      </c>
      <c r="CA62" s="14">
        <v>244.62696147651801</v>
      </c>
      <c r="CB62" s="14">
        <v>7.9195742506851037</v>
      </c>
      <c r="CC62" s="14">
        <v>27.448561423226764</v>
      </c>
      <c r="CD62" s="14">
        <v>-0.68966140048945535</v>
      </c>
      <c r="CE62" s="14">
        <v>-6.7908471422245755</v>
      </c>
      <c r="CF62" s="14">
        <v>17.163294945028028</v>
      </c>
      <c r="CG62" s="69"/>
      <c r="CH62" s="14">
        <v>6.87</v>
      </c>
      <c r="CI62" s="14">
        <v>15.459242537162547</v>
      </c>
      <c r="CJ62" s="14">
        <v>17.215584799656654</v>
      </c>
      <c r="CK62" s="14">
        <v>400.59062877961952</v>
      </c>
      <c r="CL62" s="14">
        <v>4.7407175003505273</v>
      </c>
      <c r="CM62" s="14">
        <v>4.8649251885694476</v>
      </c>
      <c r="CN62" s="14">
        <v>487.21086006371104</v>
      </c>
      <c r="CO62" s="14">
        <v>5.7658089948368172</v>
      </c>
      <c r="CP62" s="14">
        <v>153.74328157022899</v>
      </c>
      <c r="CQ62" s="14">
        <v>5.5728309931372486</v>
      </c>
      <c r="CR62" s="14">
        <v>32.202475340567723</v>
      </c>
      <c r="CS62" s="14">
        <v>-0.97446873622830676</v>
      </c>
      <c r="CT62" s="14">
        <v>-9.6053646092527725</v>
      </c>
      <c r="CU62" s="14">
        <v>16.450663882998803</v>
      </c>
      <c r="CV62" s="69"/>
      <c r="CW62" s="14">
        <f t="shared" si="0"/>
        <v>-25.36496350364963</v>
      </c>
      <c r="CX62" s="8">
        <f t="shared" si="1"/>
        <v>27.403173342972782</v>
      </c>
      <c r="CY62" s="8">
        <f t="shared" si="2"/>
        <v>20.23593271407211</v>
      </c>
      <c r="CZ62" s="8">
        <f t="shared" si="3"/>
        <v>42.093818337840368</v>
      </c>
      <c r="DA62" s="14">
        <f t="shared" si="4"/>
        <v>-9.7282872392042474</v>
      </c>
      <c r="DB62" s="14">
        <f t="shared" si="5"/>
        <v>6.2016666666666671</v>
      </c>
    </row>
    <row r="63" spans="1:106" ht="15.75" x14ac:dyDescent="0.25">
      <c r="A63" s="10">
        <v>62</v>
      </c>
      <c r="B63" s="3" t="s">
        <v>376</v>
      </c>
      <c r="C63" s="3" t="s">
        <v>377</v>
      </c>
      <c r="D63" s="3">
        <v>64</v>
      </c>
      <c r="E63" s="3">
        <v>171</v>
      </c>
      <c r="F63" s="3">
        <v>27</v>
      </c>
      <c r="G63" s="12" t="s">
        <v>32</v>
      </c>
      <c r="H63" s="12" t="s">
        <v>33</v>
      </c>
      <c r="I63" s="12">
        <v>25</v>
      </c>
      <c r="J63" s="72"/>
      <c r="K63" s="8">
        <v>4.9400000000000004</v>
      </c>
      <c r="L63" s="8">
        <v>20.923400294367191</v>
      </c>
      <c r="M63" s="8">
        <v>26.114679505432086</v>
      </c>
      <c r="N63" s="8">
        <v>464.54814060191217</v>
      </c>
      <c r="O63" s="8">
        <v>7.2585646969048776</v>
      </c>
      <c r="P63" s="8">
        <v>7.33221072739883</v>
      </c>
      <c r="Q63" s="8">
        <v>851.54121497863014</v>
      </c>
      <c r="R63" s="8">
        <v>13.305331484041096</v>
      </c>
      <c r="S63" s="8">
        <v>376.76695982403874</v>
      </c>
      <c r="T63" s="8">
        <v>14.304206876681977</v>
      </c>
      <c r="U63" s="8">
        <v>58.495009880610347</v>
      </c>
      <c r="V63" s="8">
        <v>-0.98995582188892173</v>
      </c>
      <c r="W63" s="8">
        <v>-8.7820109518619933</v>
      </c>
      <c r="X63" s="8">
        <v>23.261796875568098</v>
      </c>
      <c r="Y63" s="69"/>
      <c r="Z63" s="8">
        <v>5.18</v>
      </c>
      <c r="AA63" s="8">
        <v>19.942100054286797</v>
      </c>
      <c r="AB63" s="8">
        <v>23.698911967363721</v>
      </c>
      <c r="AC63" s="8">
        <v>396.49733646940467</v>
      </c>
      <c r="AD63" s="8">
        <v>6.195270882334448</v>
      </c>
      <c r="AE63" s="8">
        <v>6.5721972281242103</v>
      </c>
      <c r="AF63" s="8">
        <v>651.46467392571344</v>
      </c>
      <c r="AG63" s="8">
        <v>10.179135530089273</v>
      </c>
      <c r="AH63" s="8">
        <v>257.46646127281997</v>
      </c>
      <c r="AI63" s="8">
        <v>9.5720173711092027</v>
      </c>
      <c r="AJ63" s="8">
        <v>45.085322197193328</v>
      </c>
      <c r="AK63" s="8">
        <v>-0.94264835142548786</v>
      </c>
      <c r="AL63" s="8">
        <v>-8.955164627244832</v>
      </c>
      <c r="AM63" s="8">
        <v>21.315194130608283</v>
      </c>
      <c r="AN63" s="69"/>
      <c r="AO63" s="8">
        <v>5.26</v>
      </c>
      <c r="AP63" s="8">
        <v>19.877659109966601</v>
      </c>
      <c r="AQ63" s="8">
        <v>23.722352124983054</v>
      </c>
      <c r="AR63" s="8">
        <v>413.48310289594843</v>
      </c>
      <c r="AS63" s="8">
        <v>6.4606734827491943</v>
      </c>
      <c r="AT63" s="8">
        <v>6.6565211583993413</v>
      </c>
      <c r="AU63" s="8">
        <v>688.08975576687317</v>
      </c>
      <c r="AV63" s="8">
        <v>10.751402433857393</v>
      </c>
      <c r="AW63" s="8">
        <v>282.46769044853602</v>
      </c>
      <c r="AX63" s="8">
        <v>10.75155943195243</v>
      </c>
      <c r="AY63" s="8">
        <v>48.563179796311296</v>
      </c>
      <c r="AZ63" s="8">
        <v>-0.97057807359283732</v>
      </c>
      <c r="BA63" s="8">
        <v>-9.076980209334927</v>
      </c>
      <c r="BB63" s="8">
        <v>21.496225212669607</v>
      </c>
      <c r="BC63" s="69"/>
      <c r="BD63" s="8">
        <v>5.51</v>
      </c>
      <c r="BE63" s="8">
        <v>19.428211150502225</v>
      </c>
      <c r="BF63" s="8">
        <v>22.545865330254248</v>
      </c>
      <c r="BG63" s="8">
        <v>355.14387373947278</v>
      </c>
      <c r="BH63" s="8">
        <v>5.5491230271792622</v>
      </c>
      <c r="BI63" s="8">
        <v>6.2478680183055273</v>
      </c>
      <c r="BJ63" s="8">
        <v>554.72301265849705</v>
      </c>
      <c r="BK63" s="8">
        <v>8.6675470727890165</v>
      </c>
      <c r="BL63" s="8">
        <v>201.28318007089518</v>
      </c>
      <c r="BM63" s="8">
        <v>7.5174363189855207</v>
      </c>
      <c r="BN63" s="8">
        <v>38.602653506671786</v>
      </c>
      <c r="BO63" s="8">
        <v>-0.88816265179113529</v>
      </c>
      <c r="BP63" s="8">
        <v>-8.62573165111076</v>
      </c>
      <c r="BQ63" s="8">
        <v>20.41466157420022</v>
      </c>
      <c r="BR63" s="69"/>
      <c r="BS63" s="14">
        <v>5.63</v>
      </c>
      <c r="BT63" s="14">
        <v>18.715244169538426</v>
      </c>
      <c r="BU63" s="14">
        <v>21.818143928622291</v>
      </c>
      <c r="BV63" s="14">
        <v>377.95231524004555</v>
      </c>
      <c r="BW63" s="14">
        <v>5.9055049256257117</v>
      </c>
      <c r="BX63" s="14">
        <v>6.1350874403347211</v>
      </c>
      <c r="BY63" s="14">
        <v>579.69262556865817</v>
      </c>
      <c r="BZ63" s="14">
        <v>9.0576972745102839</v>
      </c>
      <c r="CA63" s="14">
        <v>222.53863193363551</v>
      </c>
      <c r="CB63" s="14">
        <v>8.893593580363552</v>
      </c>
      <c r="CC63" s="14">
        <v>43.062938702059363</v>
      </c>
      <c r="CD63" s="14">
        <v>-0.96257877056492547</v>
      </c>
      <c r="CE63" s="14">
        <v>-9.1988498160126078</v>
      </c>
      <c r="CF63" s="14">
        <v>20.067982315335723</v>
      </c>
      <c r="CG63" s="69"/>
      <c r="CH63" s="14">
        <v>5.6</v>
      </c>
      <c r="CI63" s="14">
        <v>18.443707321469908</v>
      </c>
      <c r="CJ63" s="14">
        <v>21.541655196851739</v>
      </c>
      <c r="CK63" s="14">
        <v>326.62375352770033</v>
      </c>
      <c r="CL63" s="14">
        <v>5.1034961488703177</v>
      </c>
      <c r="CM63" s="14">
        <v>5.919738924060824</v>
      </c>
      <c r="CN63" s="14">
        <v>483.38183682019411</v>
      </c>
      <c r="CO63" s="14">
        <v>7.552841200315533</v>
      </c>
      <c r="CP63" s="14">
        <v>170.34240457933191</v>
      </c>
      <c r="CQ63" s="14">
        <v>6.8404125099971242</v>
      </c>
      <c r="CR63" s="14">
        <v>37.390942980138618</v>
      </c>
      <c r="CS63" s="14">
        <v>-0.86211507202236892</v>
      </c>
      <c r="CT63" s="14">
        <v>-8.411628399755477</v>
      </c>
      <c r="CU63" s="14">
        <v>19.488865758336736</v>
      </c>
      <c r="CV63" s="69"/>
      <c r="CW63" s="14">
        <f t="shared" si="0"/>
        <v>-13.967611336032377</v>
      </c>
      <c r="CX63" s="8">
        <f t="shared" si="1"/>
        <v>17.622711810346818</v>
      </c>
      <c r="CY63" s="8">
        <f t="shared" si="2"/>
        <v>9.9275521019262882</v>
      </c>
      <c r="CZ63" s="8">
        <f t="shared" si="3"/>
        <v>25.80076001552861</v>
      </c>
      <c r="DA63" s="14">
        <f t="shared" si="4"/>
        <v>-4.9141503848431078</v>
      </c>
      <c r="DB63" s="14">
        <f t="shared" si="5"/>
        <v>5.3533333333333326</v>
      </c>
    </row>
    <row r="64" spans="1:106" s="55" customFormat="1" ht="15.75" x14ac:dyDescent="0.25">
      <c r="A64" s="10">
        <v>63</v>
      </c>
      <c r="B64" s="3" t="s">
        <v>378</v>
      </c>
      <c r="C64" s="3" t="s">
        <v>379</v>
      </c>
      <c r="D64" s="3">
        <v>70</v>
      </c>
      <c r="E64" s="3">
        <v>182</v>
      </c>
      <c r="F64" s="3">
        <v>23</v>
      </c>
      <c r="G64" s="12" t="s">
        <v>45</v>
      </c>
      <c r="H64" s="12" t="s">
        <v>33</v>
      </c>
      <c r="I64" s="12">
        <v>26</v>
      </c>
      <c r="J64" s="72"/>
      <c r="K64" s="8">
        <v>5.66</v>
      </c>
      <c r="L64" s="8">
        <v>18.921454437869542</v>
      </c>
      <c r="M64" s="8">
        <v>21.257917079592414</v>
      </c>
      <c r="N64" s="8">
        <v>345.98774050370093</v>
      </c>
      <c r="O64" s="8">
        <v>4.942682007195728</v>
      </c>
      <c r="P64" s="8">
        <v>6.7745661583744043</v>
      </c>
      <c r="Q64" s="8">
        <v>585.97920950719936</v>
      </c>
      <c r="R64" s="8">
        <v>8.3711315643885627</v>
      </c>
      <c r="S64" s="8">
        <v>335.38370349998394</v>
      </c>
      <c r="T64" s="8">
        <v>11.036162969951683</v>
      </c>
      <c r="U64" s="8">
        <v>35.705986458312097</v>
      </c>
      <c r="V64" s="8">
        <v>-0.72959387976244261</v>
      </c>
      <c r="W64" s="8">
        <v>-7.0083737915353748</v>
      </c>
      <c r="X64" s="8">
        <v>20.675782726405473</v>
      </c>
      <c r="Y64" s="69"/>
      <c r="Z64" s="8">
        <v>5.64</v>
      </c>
      <c r="AA64" s="8">
        <v>18.616634325709079</v>
      </c>
      <c r="AB64" s="8">
        <v>21.849998734355019</v>
      </c>
      <c r="AC64" s="8">
        <v>380.1702828221247</v>
      </c>
      <c r="AD64" s="8">
        <v>5.4310040403160675</v>
      </c>
      <c r="AE64" s="8">
        <v>6.0161099594050915</v>
      </c>
      <c r="AF64" s="8">
        <v>571.78655618900871</v>
      </c>
      <c r="AG64" s="8">
        <v>8.1683793741286959</v>
      </c>
      <c r="AH64" s="8">
        <v>204.11138397852454</v>
      </c>
      <c r="AI64" s="8">
        <v>7.557987862548166</v>
      </c>
      <c r="AJ64" s="8">
        <v>40.789845820191509</v>
      </c>
      <c r="AK64" s="8">
        <v>-0.90274347991689907</v>
      </c>
      <c r="AL64" s="8">
        <v>-8.7232163978656789</v>
      </c>
      <c r="AM64" s="8">
        <v>19.745703639552691</v>
      </c>
      <c r="AN64" s="69"/>
      <c r="AO64" s="8">
        <v>5.81</v>
      </c>
      <c r="AP64" s="8">
        <v>17.051651668719948</v>
      </c>
      <c r="AQ64" s="8">
        <v>18.648668959350442</v>
      </c>
      <c r="AR64" s="8">
        <v>265.559127723578</v>
      </c>
      <c r="AS64" s="8">
        <v>3.7937018246225427</v>
      </c>
      <c r="AT64" s="8">
        <v>6.263424761386629</v>
      </c>
      <c r="AU64" s="8">
        <v>415.82740404902324</v>
      </c>
      <c r="AV64" s="8">
        <v>5.9403914864146179</v>
      </c>
      <c r="AW64" s="8">
        <v>268.87729566281143</v>
      </c>
      <c r="AX64" s="8">
        <v>9.3084709738109943</v>
      </c>
      <c r="AY64" s="8">
        <v>26.300891089326971</v>
      </c>
      <c r="AZ64" s="8">
        <v>-0.60569129017248313</v>
      </c>
      <c r="BA64" s="8">
        <v>-5.9562154777075591</v>
      </c>
      <c r="BB64" s="8">
        <v>18.477279990816644</v>
      </c>
      <c r="BC64" s="69"/>
      <c r="BD64" s="8">
        <v>5.74</v>
      </c>
      <c r="BE64" s="8">
        <v>17.922755069609948</v>
      </c>
      <c r="BF64" s="8">
        <v>21.174375195009176</v>
      </c>
      <c r="BG64" s="8">
        <v>399.60278972473412</v>
      </c>
      <c r="BH64" s="8">
        <v>5.7086112817819163</v>
      </c>
      <c r="BI64" s="8">
        <v>5.8933913087289529</v>
      </c>
      <c r="BJ64" s="8">
        <v>588.75390197689785</v>
      </c>
      <c r="BK64" s="8">
        <v>8.410770028241398</v>
      </c>
      <c r="BL64" s="8">
        <v>217.996504378471</v>
      </c>
      <c r="BM64" s="8">
        <v>8.7129112680633121</v>
      </c>
      <c r="BN64" s="8">
        <v>45.000028656721618</v>
      </c>
      <c r="BO64" s="8">
        <v>-0.96864623147060491</v>
      </c>
      <c r="BP64" s="8">
        <v>-9.2166495210953343</v>
      </c>
      <c r="BQ64" s="8">
        <v>19.417580881109213</v>
      </c>
      <c r="BR64" s="69"/>
      <c r="BS64" s="14">
        <v>5.66</v>
      </c>
      <c r="BT64" s="14">
        <v>18.77881962299935</v>
      </c>
      <c r="BU64" s="14">
        <v>21.59587264740086</v>
      </c>
      <c r="BV64" s="14">
        <v>370.60962677149337</v>
      </c>
      <c r="BW64" s="14">
        <v>5.2944232395927626</v>
      </c>
      <c r="BX64" s="14">
        <v>6.6687905561145016</v>
      </c>
      <c r="BY64" s="14">
        <v>617.87949475471373</v>
      </c>
      <c r="BZ64" s="14">
        <v>8.8268499250673393</v>
      </c>
      <c r="CA64" s="14">
        <v>324.42455087700461</v>
      </c>
      <c r="CB64" s="14">
        <v>11.400471653930307</v>
      </c>
      <c r="CC64" s="14">
        <v>40.964387065604832</v>
      </c>
      <c r="CD64" s="14">
        <v>-0.79391055920003306</v>
      </c>
      <c r="CE64" s="14">
        <v>-7.5242227006181928</v>
      </c>
      <c r="CF64" s="14">
        <v>20.728490453093524</v>
      </c>
      <c r="CG64" s="69"/>
      <c r="CH64" s="14">
        <v>5.41</v>
      </c>
      <c r="CI64" s="14">
        <v>18.295041199579625</v>
      </c>
      <c r="CJ64" s="14">
        <v>21.426871703190955</v>
      </c>
      <c r="CK64" s="14">
        <v>401.46374173937272</v>
      </c>
      <c r="CL64" s="14">
        <v>5.7351963105624675</v>
      </c>
      <c r="CM64" s="14">
        <v>6.3204899856019061</v>
      </c>
      <c r="CN64" s="14">
        <v>634.36188981149382</v>
      </c>
      <c r="CO64" s="14">
        <v>9.0623127115927691</v>
      </c>
      <c r="CP64" s="14">
        <v>297.04289455700206</v>
      </c>
      <c r="CQ64" s="14">
        <v>11.059610838780992</v>
      </c>
      <c r="CR64" s="14">
        <v>43.83872668837833</v>
      </c>
      <c r="CS64" s="14">
        <v>-0.90739742071061857</v>
      </c>
      <c r="CT64" s="14">
        <v>-8.5669616397087989</v>
      </c>
      <c r="CU64" s="14">
        <v>20.255195179222031</v>
      </c>
      <c r="CV64" s="69"/>
      <c r="CW64" s="14">
        <f t="shared" si="0"/>
        <v>-7.3937153419593242</v>
      </c>
      <c r="CX64" s="8">
        <f t="shared" si="1"/>
        <v>5.303955676044974</v>
      </c>
      <c r="CY64" s="8">
        <f t="shared" si="2"/>
        <v>6.7573665624957115</v>
      </c>
      <c r="CZ64" s="8">
        <f t="shared" si="3"/>
        <v>9.8642958581701574</v>
      </c>
      <c r="DA64" s="14">
        <f t="shared" si="4"/>
        <v>-2.6965002868617249</v>
      </c>
      <c r="DB64" s="14">
        <f t="shared" si="5"/>
        <v>5.6533333333333333</v>
      </c>
    </row>
    <row r="65" spans="1:106" ht="15.75" x14ac:dyDescent="0.25">
      <c r="A65" s="10">
        <v>64</v>
      </c>
      <c r="B65" s="3" t="s">
        <v>380</v>
      </c>
      <c r="C65" s="3" t="s">
        <v>381</v>
      </c>
      <c r="D65" s="3">
        <v>72</v>
      </c>
      <c r="E65" s="3">
        <v>184</v>
      </c>
      <c r="F65" s="3">
        <v>21</v>
      </c>
      <c r="G65" s="12" t="s">
        <v>32</v>
      </c>
      <c r="H65" s="12" t="s">
        <v>33</v>
      </c>
      <c r="I65" s="12">
        <v>27</v>
      </c>
      <c r="J65" s="72"/>
      <c r="K65" s="8">
        <v>4.84</v>
      </c>
      <c r="L65" s="8">
        <v>21.245126445118977</v>
      </c>
      <c r="M65" s="8">
        <v>25.639958158965189</v>
      </c>
      <c r="N65" s="8">
        <v>450.51999573635442</v>
      </c>
      <c r="O65" s="8">
        <v>6.2572221630049221</v>
      </c>
      <c r="P65" s="8">
        <v>7.993771370351789</v>
      </c>
      <c r="Q65" s="8">
        <v>900.33846092207</v>
      </c>
      <c r="R65" s="8">
        <v>12.504700846139862</v>
      </c>
      <c r="S65" s="8">
        <v>518.38015068423738</v>
      </c>
      <c r="T65" s="8">
        <v>15.876321108616459</v>
      </c>
      <c r="U65" s="8">
        <v>50.449690311238207</v>
      </c>
      <c r="V65" s="8">
        <v>-0.78276221236604537</v>
      </c>
      <c r="W65" s="8">
        <v>-7.0822311857363411</v>
      </c>
      <c r="X65" s="8">
        <v>23.980061536841784</v>
      </c>
      <c r="Y65" s="69"/>
      <c r="Z65" s="8">
        <v>5.07</v>
      </c>
      <c r="AA65" s="8">
        <v>20.982781438921062</v>
      </c>
      <c r="AB65" s="8">
        <v>24.697381621545105</v>
      </c>
      <c r="AC65" s="8">
        <v>489.38134412422829</v>
      </c>
      <c r="AD65" s="8">
        <v>6.7969631128365045</v>
      </c>
      <c r="AE65" s="8">
        <v>7.0684962304471588</v>
      </c>
      <c r="AF65" s="8">
        <v>864.79754654831788</v>
      </c>
      <c r="AG65" s="8">
        <v>12.011077035393305</v>
      </c>
      <c r="AH65" s="8">
        <v>381.57668202704144</v>
      </c>
      <c r="AI65" s="8">
        <v>11.662555804462173</v>
      </c>
      <c r="AJ65" s="8">
        <v>47.29894532990523</v>
      </c>
      <c r="AK65" s="8">
        <v>-0.96158544777302957</v>
      </c>
      <c r="AL65" s="8">
        <v>-8.9906194833061388</v>
      </c>
      <c r="AM65" s="8">
        <v>22.517637173069371</v>
      </c>
      <c r="AN65" s="69"/>
      <c r="AO65" s="8">
        <v>5.0999999999999996</v>
      </c>
      <c r="AP65" s="8">
        <v>19.926388134253276</v>
      </c>
      <c r="AQ65" s="8">
        <v>23.08442120904791</v>
      </c>
      <c r="AR65" s="8">
        <v>348.17001313370457</v>
      </c>
      <c r="AS65" s="8">
        <v>4.8356946268570082</v>
      </c>
      <c r="AT65" s="8">
        <v>7.7458324465817068</v>
      </c>
      <c r="AU65" s="8">
        <v>674.21664616445696</v>
      </c>
      <c r="AV65" s="8">
        <v>9.3641200856174578</v>
      </c>
      <c r="AW65" s="8">
        <v>443.71753086503304</v>
      </c>
      <c r="AX65" s="8">
        <v>13.664899546407053</v>
      </c>
      <c r="AY65" s="8">
        <v>39.211566970382187</v>
      </c>
      <c r="AZ65" s="8">
        <v>-0.62429631162381216</v>
      </c>
      <c r="BA65" s="8">
        <v>-5.8911026320191002</v>
      </c>
      <c r="BB65" s="8">
        <v>22.366959905263073</v>
      </c>
      <c r="BC65" s="69"/>
      <c r="BD65" s="8">
        <v>5.25</v>
      </c>
      <c r="BE65" s="8">
        <v>19.511097835338283</v>
      </c>
      <c r="BF65" s="8">
        <v>23.250828096305618</v>
      </c>
      <c r="BG65" s="8">
        <v>454.88257200287762</v>
      </c>
      <c r="BH65" s="8">
        <v>6.3178135000399669</v>
      </c>
      <c r="BI65" s="8">
        <v>6.7547908848688856</v>
      </c>
      <c r="BJ65" s="8">
        <v>768.15916276268808</v>
      </c>
      <c r="BK65" s="8">
        <v>10.66887726059289</v>
      </c>
      <c r="BL65" s="8">
        <v>351.98485340748687</v>
      </c>
      <c r="BM65" s="8">
        <v>12.165319949442837</v>
      </c>
      <c r="BN65" s="8">
        <v>48.946385484532698</v>
      </c>
      <c r="BO65" s="8">
        <v>-0.93530852512284701</v>
      </c>
      <c r="BP65" s="8">
        <v>-8.6658502304090614</v>
      </c>
      <c r="BQ65" s="8">
        <v>21.534565670352141</v>
      </c>
      <c r="BR65" s="69"/>
      <c r="BS65" s="14">
        <v>5.16</v>
      </c>
      <c r="BT65" s="14">
        <v>19.345872879242119</v>
      </c>
      <c r="BU65" s="14">
        <v>22.965073045264202</v>
      </c>
      <c r="BV65" s="14">
        <v>420.31288509948558</v>
      </c>
      <c r="BW65" s="14">
        <v>5.8376789597150776</v>
      </c>
      <c r="BX65" s="14">
        <v>6.9744391963112697</v>
      </c>
      <c r="BY65" s="14">
        <v>732.8616651381318</v>
      </c>
      <c r="BZ65" s="14">
        <v>10.178634238029609</v>
      </c>
      <c r="CA65" s="14">
        <v>384.50858503841079</v>
      </c>
      <c r="CB65" s="14">
        <v>13.110376442695781</v>
      </c>
      <c r="CC65" s="14">
        <v>46.436105730984231</v>
      </c>
      <c r="CD65" s="14">
        <v>-0.83701051731909604</v>
      </c>
      <c r="CE65" s="14">
        <v>-7.7732284729837939</v>
      </c>
      <c r="CF65" s="14">
        <v>21.706590929567941</v>
      </c>
      <c r="CG65" s="69"/>
      <c r="CH65" s="14">
        <v>5.31</v>
      </c>
      <c r="CI65" s="14">
        <v>19.7788516047531</v>
      </c>
      <c r="CJ65" s="14">
        <v>22.914406858815337</v>
      </c>
      <c r="CK65" s="14">
        <v>456.30035137183387</v>
      </c>
      <c r="CL65" s="14">
        <v>6.3375048801643592</v>
      </c>
      <c r="CM65" s="14">
        <v>6.5758817889165311</v>
      </c>
      <c r="CN65" s="14">
        <v>750.14429271556412</v>
      </c>
      <c r="CO65" s="14">
        <v>10.418670732160614</v>
      </c>
      <c r="CP65" s="14">
        <v>318.49282660219126</v>
      </c>
      <c r="CQ65" s="14">
        <v>10.277311009423462</v>
      </c>
      <c r="CR65" s="14">
        <v>43.237058378116991</v>
      </c>
      <c r="CS65" s="14">
        <v>-0.96374981844199981</v>
      </c>
      <c r="CT65" s="14">
        <v>-9.1572092140750403</v>
      </c>
      <c r="CU65" s="14">
        <v>21.202500781054642</v>
      </c>
      <c r="CV65" s="69"/>
      <c r="CW65" s="14">
        <f t="shared" si="0"/>
        <v>-9.7107438016528889</v>
      </c>
      <c r="CX65" s="8">
        <f t="shared" si="1"/>
        <v>7.0494661342450495</v>
      </c>
      <c r="CY65" s="8">
        <f t="shared" si="2"/>
        <v>6.9691547603678146</v>
      </c>
      <c r="CZ65" s="8">
        <f t="shared" si="3"/>
        <v>13.257814420308124</v>
      </c>
      <c r="DA65" s="14">
        <f t="shared" si="4"/>
        <v>-3.5467671060891326</v>
      </c>
      <c r="DB65" s="14">
        <f t="shared" si="5"/>
        <v>5.1216666666666661</v>
      </c>
    </row>
    <row r="66" spans="1:106" ht="15.75" x14ac:dyDescent="0.25">
      <c r="A66" s="10">
        <v>65</v>
      </c>
      <c r="B66" s="3" t="s">
        <v>382</v>
      </c>
      <c r="C66" s="3" t="s">
        <v>383</v>
      </c>
      <c r="D66" s="3">
        <v>60</v>
      </c>
      <c r="E66" s="3">
        <v>173</v>
      </c>
      <c r="F66" s="3">
        <v>21</v>
      </c>
      <c r="G66" s="12" t="s">
        <v>45</v>
      </c>
      <c r="H66" s="12" t="s">
        <v>33</v>
      </c>
      <c r="I66" s="12">
        <v>27</v>
      </c>
      <c r="J66" s="72"/>
      <c r="K66" s="8">
        <v>4.93</v>
      </c>
      <c r="L66" s="8">
        <v>21.854678668354939</v>
      </c>
      <c r="M66" s="8">
        <v>25.248246152767916</v>
      </c>
      <c r="N66" s="8">
        <v>327.63387632096402</v>
      </c>
      <c r="O66" s="8">
        <v>5.4605646053494006</v>
      </c>
      <c r="P66" s="8">
        <v>8.4550268570535696</v>
      </c>
      <c r="Q66" s="8">
        <v>692.5383058935796</v>
      </c>
      <c r="R66" s="8">
        <v>11.542305098226327</v>
      </c>
      <c r="S66" s="8">
        <v>461.3743447355223</v>
      </c>
      <c r="T66" s="8">
        <v>15.175317894363458</v>
      </c>
      <c r="U66" s="8">
        <v>41.812841422688898</v>
      </c>
      <c r="V66" s="8">
        <v>-0.64583645891011554</v>
      </c>
      <c r="W66" s="8">
        <v>-6.0144976827722791</v>
      </c>
      <c r="X66" s="8">
        <v>24.242192814239733</v>
      </c>
      <c r="Y66" s="69"/>
      <c r="Z66" s="8">
        <v>5.36</v>
      </c>
      <c r="AA66" s="8">
        <v>19.640147441720057</v>
      </c>
      <c r="AB66" s="8">
        <v>22.84676119333713</v>
      </c>
      <c r="AC66" s="8">
        <v>378.13574117733566</v>
      </c>
      <c r="AD66" s="8">
        <v>6.3022623529555943</v>
      </c>
      <c r="AE66" s="8">
        <v>6.5887967999107238</v>
      </c>
      <c r="AF66" s="8">
        <v>622.86489035027478</v>
      </c>
      <c r="AG66" s="8">
        <v>10.381081505837914</v>
      </c>
      <c r="AH66" s="8">
        <v>270.40718560392213</v>
      </c>
      <c r="AI66" s="8">
        <v>10.661887700687844</v>
      </c>
      <c r="AJ66" s="8">
        <v>44.486625906971987</v>
      </c>
      <c r="AK66" s="8">
        <v>-0.95651187073199584</v>
      </c>
      <c r="AL66" s="8">
        <v>-9.0408985978629115</v>
      </c>
      <c r="AM66" s="8">
        <v>21.184602203654077</v>
      </c>
      <c r="AN66" s="69"/>
      <c r="AO66" s="8">
        <v>5.76</v>
      </c>
      <c r="AP66" s="8">
        <v>19.38313500311871</v>
      </c>
      <c r="AQ66" s="8">
        <v>21.510365738328964</v>
      </c>
      <c r="AR66" s="8">
        <v>259.8520278522177</v>
      </c>
      <c r="AS66" s="8">
        <v>4.3308671308702946</v>
      </c>
      <c r="AT66" s="8">
        <v>7.2756200399723125</v>
      </c>
      <c r="AU66" s="8">
        <v>472.64615531725968</v>
      </c>
      <c r="AV66" s="8">
        <v>7.8774359219543282</v>
      </c>
      <c r="AW66" s="8">
        <v>311.39866584422202</v>
      </c>
      <c r="AX66" s="8">
        <v>11.261307982002405</v>
      </c>
      <c r="AY66" s="8">
        <v>32.059201596474409</v>
      </c>
      <c r="AZ66" s="8">
        <v>-0.59525746356688203</v>
      </c>
      <c r="BA66" s="8">
        <v>-5.7535394280267935</v>
      </c>
      <c r="BB66" s="8">
        <v>21.129194816257336</v>
      </c>
      <c r="BC66" s="69"/>
      <c r="BD66" s="8">
        <v>5.62</v>
      </c>
      <c r="BE66" s="8">
        <v>18.507659502587124</v>
      </c>
      <c r="BF66" s="8">
        <v>21.897260494944398</v>
      </c>
      <c r="BG66" s="8">
        <v>361.46521572702909</v>
      </c>
      <c r="BH66" s="8">
        <v>6.0244202621171512</v>
      </c>
      <c r="BI66" s="8">
        <v>6.2079131955755278</v>
      </c>
      <c r="BJ66" s="8">
        <v>560.98617061334471</v>
      </c>
      <c r="BK66" s="8">
        <v>9.3497695102224121</v>
      </c>
      <c r="BL66" s="8">
        <v>226.84729242150433</v>
      </c>
      <c r="BM66" s="8">
        <v>10.134792816049183</v>
      </c>
      <c r="BN66" s="8">
        <v>47.141121167161138</v>
      </c>
      <c r="BO66" s="8">
        <v>-0.97044209097685907</v>
      </c>
      <c r="BP66" s="8">
        <v>-9.1217267249215919</v>
      </c>
      <c r="BQ66" s="8">
        <v>20.192280230983954</v>
      </c>
      <c r="BR66" s="69"/>
      <c r="BS66" s="14">
        <v>5.74</v>
      </c>
      <c r="BT66" s="14">
        <v>19.153246132036568</v>
      </c>
      <c r="BU66" s="14">
        <v>21.449351352025932</v>
      </c>
      <c r="BV66" s="14">
        <v>291.84639662224191</v>
      </c>
      <c r="BW66" s="14">
        <v>4.8641066103706985</v>
      </c>
      <c r="BX66" s="14">
        <v>6.9065077122695842</v>
      </c>
      <c r="BY66" s="14">
        <v>503.90984726740044</v>
      </c>
      <c r="BZ66" s="14">
        <v>8.3984974544566739</v>
      </c>
      <c r="CA66" s="14">
        <v>295.50414143353464</v>
      </c>
      <c r="CB66" s="14">
        <v>11.132590401507011</v>
      </c>
      <c r="CC66" s="14">
        <v>35.336560523209251</v>
      </c>
      <c r="CD66" s="14">
        <v>-0.70427874882836827</v>
      </c>
      <c r="CE66" s="14">
        <v>-6.7658330120167092</v>
      </c>
      <c r="CF66" s="14">
        <v>20.892589819426586</v>
      </c>
      <c r="CG66" s="69"/>
      <c r="CH66" s="14">
        <v>5.61</v>
      </c>
      <c r="CI66" s="14">
        <v>18.722208132292813</v>
      </c>
      <c r="CJ66" s="14">
        <v>22.324026891130526</v>
      </c>
      <c r="CK66" s="14">
        <v>338.95011896371454</v>
      </c>
      <c r="CL66" s="14">
        <v>5.649168649395242</v>
      </c>
      <c r="CM66" s="14">
        <v>6.1186805625137426</v>
      </c>
      <c r="CN66" s="14">
        <v>518.48187614125027</v>
      </c>
      <c r="CO66" s="14">
        <v>8.6413646023541713</v>
      </c>
      <c r="CP66" s="14">
        <v>188.79994833961845</v>
      </c>
      <c r="CQ66" s="14">
        <v>8.3421648269317021</v>
      </c>
      <c r="CR66" s="14">
        <v>44.874356098626421</v>
      </c>
      <c r="CS66" s="14">
        <v>-0.92326582368182797</v>
      </c>
      <c r="CT66" s="14">
        <v>-8.8113517654222875</v>
      </c>
      <c r="CU66" s="14">
        <v>20.04543745410637</v>
      </c>
      <c r="CV66" s="69"/>
      <c r="CW66" s="14">
        <f t="shared" ref="CW66:CW109" si="10">100*((MIN(CH66,BS66,BD66,AO66,Z66,K66)-MAX(CH66,BS66,BD66,AO66,Z66,K66))/(MIN(CH66,BS66,BD66,AO66,Z66,K66)))</f>
        <v>-16.835699797160245</v>
      </c>
      <c r="CX66" s="8">
        <f t="shared" si="1"/>
        <v>10.362845387641926</v>
      </c>
      <c r="CY66" s="8">
        <f t="shared" si="2"/>
        <v>7.1350847760755212</v>
      </c>
      <c r="CZ66" s="8">
        <f t="shared" si="3"/>
        <v>16.758532360095561</v>
      </c>
      <c r="DA66" s="14">
        <f t="shared" si="4"/>
        <v>-4.4560185185185119</v>
      </c>
      <c r="DB66" s="14">
        <f t="shared" si="5"/>
        <v>5.503333333333333</v>
      </c>
    </row>
    <row r="67" spans="1:106" ht="15.75" x14ac:dyDescent="0.25">
      <c r="A67" s="10">
        <v>66</v>
      </c>
      <c r="B67" s="3" t="s">
        <v>384</v>
      </c>
      <c r="C67" s="3" t="s">
        <v>385</v>
      </c>
      <c r="D67" s="3">
        <v>70</v>
      </c>
      <c r="E67" s="3">
        <v>171</v>
      </c>
      <c r="F67" s="3">
        <v>22</v>
      </c>
      <c r="G67" s="12" t="s">
        <v>32</v>
      </c>
      <c r="H67" s="12" t="s">
        <v>33</v>
      </c>
      <c r="I67" s="12">
        <v>27</v>
      </c>
      <c r="J67" s="72"/>
      <c r="K67" s="8">
        <v>4.93</v>
      </c>
      <c r="L67" s="8">
        <v>21.31370573917232</v>
      </c>
      <c r="M67" s="8">
        <v>26.810709389570832</v>
      </c>
      <c r="N67" s="8">
        <v>457.95791124902479</v>
      </c>
      <c r="O67" s="8">
        <v>6.5422558749860684</v>
      </c>
      <c r="P67" s="8">
        <v>7.1129154793706437</v>
      </c>
      <c r="Q67" s="8">
        <v>814.35397895585902</v>
      </c>
      <c r="R67" s="8">
        <v>11.633628270797987</v>
      </c>
      <c r="S67" s="8">
        <v>312.67802609788771</v>
      </c>
      <c r="T67" s="8">
        <v>10.581846615567407</v>
      </c>
      <c r="U67" s="8">
        <v>53.935214334568961</v>
      </c>
      <c r="V67" s="8">
        <v>-0.91977135029375212</v>
      </c>
      <c r="W67" s="8">
        <v>-8.4875844557564548</v>
      </c>
      <c r="X67" s="8">
        <v>22.746156021013569</v>
      </c>
      <c r="Y67" s="69"/>
      <c r="Z67" s="8">
        <v>4.95</v>
      </c>
      <c r="AA67" s="8">
        <v>21.5234102496727</v>
      </c>
      <c r="AB67" s="8">
        <v>26.664672652174385</v>
      </c>
      <c r="AC67" s="8">
        <v>416.79275417113001</v>
      </c>
      <c r="AD67" s="8">
        <v>5.9541822024447146</v>
      </c>
      <c r="AE67" s="8">
        <v>7.0902157395523542</v>
      </c>
      <c r="AF67" s="8">
        <v>738.78763643888033</v>
      </c>
      <c r="AG67" s="8">
        <v>10.554109091984005</v>
      </c>
      <c r="AH67" s="8">
        <v>281.54115509508438</v>
      </c>
      <c r="AI67" s="8">
        <v>9.1345724304006968</v>
      </c>
      <c r="AJ67" s="8">
        <v>48.048253665762758</v>
      </c>
      <c r="AK67" s="8">
        <v>-0.83977447529976523</v>
      </c>
      <c r="AL67" s="8">
        <v>-7.9427722009708948</v>
      </c>
      <c r="AM67" s="8">
        <v>22.652410696305488</v>
      </c>
      <c r="AN67" s="69"/>
      <c r="AO67" s="8">
        <v>5.3</v>
      </c>
      <c r="AP67" s="8">
        <v>20.589680338513734</v>
      </c>
      <c r="AQ67" s="8">
        <v>23.201754134361575</v>
      </c>
      <c r="AR67" s="8">
        <v>407.02193311607533</v>
      </c>
      <c r="AS67" s="8">
        <v>5.8145990445153615</v>
      </c>
      <c r="AT67" s="8">
        <v>7.2463510721147699</v>
      </c>
      <c r="AU67" s="8">
        <v>737.35595535247467</v>
      </c>
      <c r="AV67" s="8">
        <v>10.533656505035353</v>
      </c>
      <c r="AW67" s="8">
        <v>407.06212986437612</v>
      </c>
      <c r="AX67" s="8">
        <v>12.146846431466889</v>
      </c>
      <c r="AY67" s="8">
        <v>38.881889441776337</v>
      </c>
      <c r="AZ67" s="8">
        <v>-0.80241751836879094</v>
      </c>
      <c r="BA67" s="8">
        <v>-7.6277963960090496</v>
      </c>
      <c r="BB67" s="8">
        <v>22.258892565340233</v>
      </c>
      <c r="BC67" s="69"/>
      <c r="BD67" s="8">
        <v>5.28</v>
      </c>
      <c r="BE67" s="8">
        <v>20.574065996848024</v>
      </c>
      <c r="BF67" s="8">
        <v>24.334963593204971</v>
      </c>
      <c r="BG67" s="8">
        <v>387.64948442916102</v>
      </c>
      <c r="BH67" s="8">
        <v>5.5378497775594431</v>
      </c>
      <c r="BI67" s="8">
        <v>6.6425355714799625</v>
      </c>
      <c r="BJ67" s="8">
        <v>643.74387239664247</v>
      </c>
      <c r="BK67" s="8">
        <v>9.196341034237749</v>
      </c>
      <c r="BL67" s="8">
        <v>235.81003726993026</v>
      </c>
      <c r="BM67" s="8">
        <v>7.6724263015276524</v>
      </c>
      <c r="BN67" s="8">
        <v>40.268194535338395</v>
      </c>
      <c r="BO67" s="8">
        <v>-0.83369516323502413</v>
      </c>
      <c r="BP67" s="8">
        <v>-8.0712327572579028</v>
      </c>
      <c r="BQ67" s="8">
        <v>21.449268746299563</v>
      </c>
      <c r="BR67" s="69"/>
      <c r="BS67" s="14">
        <v>5.38</v>
      </c>
      <c r="BT67" s="14">
        <v>20.599493878770847</v>
      </c>
      <c r="BU67" s="14">
        <v>22.813390697195423</v>
      </c>
      <c r="BV67" s="14">
        <v>425.33231158579832</v>
      </c>
      <c r="BW67" s="14">
        <v>6.0761758797971188</v>
      </c>
      <c r="BX67" s="14">
        <v>7.0183887705505272</v>
      </c>
      <c r="BY67" s="14">
        <v>746.28687984651617</v>
      </c>
      <c r="BZ67" s="14">
        <v>10.661241140664517</v>
      </c>
      <c r="CA67" s="14">
        <v>383.61486335190637</v>
      </c>
      <c r="CB67" s="14">
        <v>11.169433086976861</v>
      </c>
      <c r="CC67" s="14">
        <v>36.340128884186406</v>
      </c>
      <c r="CD67" s="14">
        <v>-0.86575082664172487</v>
      </c>
      <c r="CE67" s="14">
        <v>-8.3108401048474168</v>
      </c>
      <c r="CF67" s="14">
        <v>21.946239083132625</v>
      </c>
      <c r="CG67" s="69"/>
      <c r="CH67" s="14">
        <v>5.31</v>
      </c>
      <c r="CI67" s="14">
        <v>20.226945164035691</v>
      </c>
      <c r="CJ67" s="14">
        <v>23.298110354047317</v>
      </c>
      <c r="CK67" s="14">
        <v>412.60690229020099</v>
      </c>
      <c r="CL67" s="14">
        <v>5.8943843184314426</v>
      </c>
      <c r="CM67" s="14">
        <v>6.4993641473337833</v>
      </c>
      <c r="CN67" s="14">
        <v>670.42062692184641</v>
      </c>
      <c r="CO67" s="14">
        <v>9.5774375274549488</v>
      </c>
      <c r="CP67" s="14">
        <v>249.00521157255471</v>
      </c>
      <c r="CQ67" s="14">
        <v>7.9475609957583204</v>
      </c>
      <c r="CR67" s="14">
        <v>38.016789972916669</v>
      </c>
      <c r="CS67" s="14">
        <v>-0.90691707447250514</v>
      </c>
      <c r="CT67" s="14">
        <v>-8.8077438669255006</v>
      </c>
      <c r="CU67" s="14">
        <v>21.169739057046737</v>
      </c>
      <c r="CV67" s="69"/>
      <c r="CW67" s="14">
        <f t="shared" si="10"/>
        <v>-9.1277890466531488</v>
      </c>
      <c r="CX67" s="8">
        <f t="shared" ref="CX67:CX100" si="11">100*(((MAX(CL67,BH67,AD67))-MIN(CL67,BH67,AD67))/(MAX(CL67,BH67,AD67)))</f>
        <v>6.9922688075338124</v>
      </c>
      <c r="CY67" s="8">
        <f t="shared" ref="CY67:CY100" si="12">100*((MAX(CM67,BI67,AE67))-MIN(CM67,BI67,AE67))/(MAX(CM67,BI67,AE67))</f>
        <v>8.3333372907475827</v>
      </c>
      <c r="CZ67" s="8">
        <f t="shared" ref="CZ67:CZ100" si="13">100*((MAX(CO67,BK67,AG67))-MIN(CO67,BK67,AG67))/(MAX(CO67,BK67,AG67))</f>
        <v>12.864828721331865</v>
      </c>
      <c r="DA67" s="14">
        <f t="shared" ref="DA67:DA100" si="14">((SUM(CH67,BS67,BD67,AO67,Z67,K67)/(MAX(CH67,BS67,BD67,AO67,Z67,K67)*6)-1))*100</f>
        <v>-3.5006195786865035</v>
      </c>
      <c r="DB67" s="14">
        <f t="shared" ref="DB67:DB100" si="15">AVERAGE(K67,Z67,AO67,BD67,BS67,CH67)</f>
        <v>5.1916666666666664</v>
      </c>
    </row>
    <row r="68" spans="1:106" ht="15.75" x14ac:dyDescent="0.25">
      <c r="A68" s="10">
        <v>67</v>
      </c>
      <c r="B68" s="3" t="s">
        <v>386</v>
      </c>
      <c r="C68" s="3" t="s">
        <v>387</v>
      </c>
      <c r="D68" s="3">
        <v>68</v>
      </c>
      <c r="E68" s="3">
        <v>175</v>
      </c>
      <c r="F68" s="3">
        <v>18</v>
      </c>
      <c r="G68" s="12" t="s">
        <v>32</v>
      </c>
      <c r="H68" s="12" t="s">
        <v>33</v>
      </c>
      <c r="I68" s="12">
        <v>27</v>
      </c>
      <c r="J68" s="72"/>
      <c r="K68" s="8">
        <v>4.67</v>
      </c>
      <c r="L68" s="8">
        <v>21.036840610463091</v>
      </c>
      <c r="M68" s="8">
        <v>26.018951694864878</v>
      </c>
      <c r="N68" s="8">
        <v>460.55440842457165</v>
      </c>
      <c r="O68" s="8">
        <v>6.772858947420171</v>
      </c>
      <c r="P68" s="8">
        <v>7.7962815887155505</v>
      </c>
      <c r="Q68" s="8">
        <v>897.65296375056755</v>
      </c>
      <c r="R68" s="8">
        <v>13.200778878684817</v>
      </c>
      <c r="S68" s="8">
        <v>481.62774530214875</v>
      </c>
      <c r="T68" s="8">
        <v>16.277542299220524</v>
      </c>
      <c r="U68" s="8">
        <v>54.592097039133883</v>
      </c>
      <c r="V68" s="8">
        <v>-0.86872938981877001</v>
      </c>
      <c r="W68" s="8">
        <v>-7.7401425590760891</v>
      </c>
      <c r="X68" s="8">
        <v>23.934498666617724</v>
      </c>
      <c r="Y68" s="69"/>
      <c r="Z68" s="8">
        <v>4.91</v>
      </c>
      <c r="AA68" s="8">
        <v>20.29457757228661</v>
      </c>
      <c r="AB68" s="8">
        <v>24.750112668177891</v>
      </c>
      <c r="AC68" s="8">
        <v>463.7525927689934</v>
      </c>
      <c r="AD68" s="8">
        <v>6.8198910701322557</v>
      </c>
      <c r="AE68" s="8">
        <v>7.0165355491674681</v>
      </c>
      <c r="AF68" s="8">
        <v>813.48413829555659</v>
      </c>
      <c r="AG68" s="8">
        <v>11.963002033758185</v>
      </c>
      <c r="AH68" s="8">
        <v>366.12931072475374</v>
      </c>
      <c r="AI68" s="8">
        <v>12.952379042471685</v>
      </c>
      <c r="AJ68" s="8">
        <v>52.530915587604113</v>
      </c>
      <c r="AK68" s="8">
        <v>-0.97197413486224771</v>
      </c>
      <c r="AL68" s="8">
        <v>-8.8883616631889311</v>
      </c>
      <c r="AM68" s="8">
        <v>22.417153075239145</v>
      </c>
      <c r="AN68" s="69"/>
      <c r="AO68" s="8">
        <v>5.52</v>
      </c>
      <c r="AP68" s="8">
        <v>18.890303314659221</v>
      </c>
      <c r="AQ68" s="8">
        <v>21.119445547219591</v>
      </c>
      <c r="AR68" s="8">
        <v>296.60668349714615</v>
      </c>
      <c r="AS68" s="8">
        <v>4.36186299260509</v>
      </c>
      <c r="AT68" s="8">
        <v>7.0875188744141511</v>
      </c>
      <c r="AU68" s="8">
        <v>525.55136689085191</v>
      </c>
      <c r="AV68" s="8">
        <v>7.728696571924293</v>
      </c>
      <c r="AW68" s="8">
        <v>342.80714805842399</v>
      </c>
      <c r="AX68" s="8">
        <v>11.322256704723694</v>
      </c>
      <c r="AY68" s="8">
        <v>32.413615007576773</v>
      </c>
      <c r="AZ68" s="8">
        <v>-0.61542876567868576</v>
      </c>
      <c r="BA68" s="8">
        <v>-5.9468023363837093</v>
      </c>
      <c r="BB68" s="8">
        <v>20.726260525289547</v>
      </c>
      <c r="BC68" s="69"/>
      <c r="BD68" s="8">
        <v>5.45</v>
      </c>
      <c r="BE68" s="8">
        <v>19.418571924986736</v>
      </c>
      <c r="BF68" s="8">
        <v>22.631915061935537</v>
      </c>
      <c r="BG68" s="8">
        <v>424.38777163576856</v>
      </c>
      <c r="BH68" s="8">
        <v>6.2409966417024787</v>
      </c>
      <c r="BI68" s="8">
        <v>6.4959892879630017</v>
      </c>
      <c r="BJ68" s="8">
        <v>689.20460462211031</v>
      </c>
      <c r="BK68" s="8">
        <v>10.135361832678093</v>
      </c>
      <c r="BL68" s="8">
        <v>291.36326810988572</v>
      </c>
      <c r="BM68" s="8">
        <v>10.405216948138964</v>
      </c>
      <c r="BN68" s="8">
        <v>44.884679433503166</v>
      </c>
      <c r="BO68" s="8">
        <v>-0.96074614120238433</v>
      </c>
      <c r="BP68" s="8">
        <v>-9.0785028817592366</v>
      </c>
      <c r="BQ68" s="8">
        <v>20.985525453315855</v>
      </c>
      <c r="BR68" s="69"/>
      <c r="BS68" s="14">
        <v>5.68</v>
      </c>
      <c r="BT68" s="14">
        <v>17.264116249529206</v>
      </c>
      <c r="BU68" s="14">
        <v>19.322696085310092</v>
      </c>
      <c r="BV68" s="14">
        <v>278.07156868703527</v>
      </c>
      <c r="BW68" s="14">
        <v>4.0892877748093426</v>
      </c>
      <c r="BX68" s="14">
        <v>6.3677089018314366</v>
      </c>
      <c r="BY68" s="14">
        <v>442.66970081866657</v>
      </c>
      <c r="BZ68" s="14">
        <v>6.509848541450979</v>
      </c>
      <c r="CA68" s="14">
        <v>274.81748153858524</v>
      </c>
      <c r="CB68" s="14">
        <v>10.115218839729724</v>
      </c>
      <c r="CC68" s="14">
        <v>30.882288082311792</v>
      </c>
      <c r="CD68" s="14">
        <v>-0.64219138120984254</v>
      </c>
      <c r="CE68" s="14">
        <v>-6.249905717217894</v>
      </c>
      <c r="CF68" s="14">
        <v>19.014145594509742</v>
      </c>
      <c r="CG68" s="69"/>
      <c r="CH68" s="14">
        <v>5.46</v>
      </c>
      <c r="CI68" s="14">
        <v>18.557926521313757</v>
      </c>
      <c r="CJ68" s="14">
        <v>20.692343682826436</v>
      </c>
      <c r="CK68" s="14">
        <v>363.31843837555317</v>
      </c>
      <c r="CL68" s="14">
        <v>5.3429182114051939</v>
      </c>
      <c r="CM68" s="14">
        <v>6.3917008549061398</v>
      </c>
      <c r="CN68" s="14">
        <v>580.55569329204673</v>
      </c>
      <c r="CO68" s="14">
        <v>8.5375837248830404</v>
      </c>
      <c r="CP68" s="14">
        <v>303.85173351438607</v>
      </c>
      <c r="CQ68" s="14">
        <v>10.317123754423418</v>
      </c>
      <c r="CR68" s="14">
        <v>34.359786015621943</v>
      </c>
      <c r="CS68" s="14">
        <v>-0.83591493605400435</v>
      </c>
      <c r="CT68" s="14">
        <v>-8.0836115631384526</v>
      </c>
      <c r="CU68" s="14">
        <v>20.072450510013848</v>
      </c>
      <c r="CV68" s="69"/>
      <c r="CW68" s="14">
        <f t="shared" si="10"/>
        <v>-21.627408993576015</v>
      </c>
      <c r="CX68" s="8">
        <f t="shared" si="11"/>
        <v>21.656839435390271</v>
      </c>
      <c r="CY68" s="8">
        <f t="shared" si="12"/>
        <v>8.9051739264039877</v>
      </c>
      <c r="CZ68" s="8">
        <f t="shared" si="13"/>
        <v>28.633434143110712</v>
      </c>
      <c r="DA68" s="14">
        <f t="shared" si="14"/>
        <v>-7.0129107981220624</v>
      </c>
      <c r="DB68" s="14">
        <f t="shared" si="15"/>
        <v>5.2816666666666672</v>
      </c>
    </row>
    <row r="69" spans="1:106" ht="15.75" x14ac:dyDescent="0.25">
      <c r="A69" s="10">
        <v>68</v>
      </c>
      <c r="B69" s="3" t="s">
        <v>388</v>
      </c>
      <c r="C69" s="3" t="s">
        <v>389</v>
      </c>
      <c r="D69" s="3">
        <v>73</v>
      </c>
      <c r="E69" s="3">
        <v>180</v>
      </c>
      <c r="F69" s="3">
        <v>26</v>
      </c>
      <c r="G69" s="12" t="s">
        <v>45</v>
      </c>
      <c r="H69" s="12" t="s">
        <v>33</v>
      </c>
      <c r="I69" s="12">
        <v>26</v>
      </c>
      <c r="J69" s="72"/>
      <c r="K69" s="8">
        <v>5.08</v>
      </c>
      <c r="L69" s="8">
        <v>19.96812255201916</v>
      </c>
      <c r="M69" s="8">
        <v>24.018417428303099</v>
      </c>
      <c r="N69" s="8">
        <v>475.51402828526079</v>
      </c>
      <c r="O69" s="8">
        <v>6.5138907984282302</v>
      </c>
      <c r="P69" s="8">
        <v>6.9841165827922858</v>
      </c>
      <c r="Q69" s="8">
        <v>830.26135257436249</v>
      </c>
      <c r="R69" s="8">
        <v>11.373443185950171</v>
      </c>
      <c r="S69" s="8">
        <v>390.4954789575109</v>
      </c>
      <c r="T69" s="8">
        <v>13.007810659153289</v>
      </c>
      <c r="U69" s="8">
        <v>50.64663296604153</v>
      </c>
      <c r="V69" s="8">
        <v>-0.9326721169685781</v>
      </c>
      <c r="W69" s="8">
        <v>-8.5649772876752994</v>
      </c>
      <c r="X69" s="8">
        <v>22.128534283162608</v>
      </c>
      <c r="Y69" s="69"/>
      <c r="Z69" s="8">
        <v>5.42</v>
      </c>
      <c r="AA69" s="8">
        <v>20.199691327704517</v>
      </c>
      <c r="AB69" s="8">
        <v>23.332087928448509</v>
      </c>
      <c r="AC69" s="8">
        <v>422.99819328909518</v>
      </c>
      <c r="AD69" s="8">
        <v>5.7944957984807557</v>
      </c>
      <c r="AE69" s="8">
        <v>6.4869008799336232</v>
      </c>
      <c r="AF69" s="8">
        <v>685.9868380643411</v>
      </c>
      <c r="AG69" s="8">
        <v>9.397079973484125</v>
      </c>
      <c r="AH69" s="8">
        <v>250.90120809492507</v>
      </c>
      <c r="AI69" s="8">
        <v>7.7789850966465268</v>
      </c>
      <c r="AJ69" s="8">
        <v>38.660930769432319</v>
      </c>
      <c r="AK69" s="8">
        <v>-0.89326103569815074</v>
      </c>
      <c r="AL69" s="8">
        <v>-8.6673985902526205</v>
      </c>
      <c r="AM69" s="8">
        <v>21.101130418273318</v>
      </c>
      <c r="AN69" s="69"/>
      <c r="AO69" s="8">
        <v>5.56</v>
      </c>
      <c r="AP69" s="8">
        <v>18.057681352290697</v>
      </c>
      <c r="AQ69" s="8">
        <v>22.305010357762185</v>
      </c>
      <c r="AR69" s="8">
        <v>453.8734542411994</v>
      </c>
      <c r="AS69" s="8">
        <v>6.2174445786465675</v>
      </c>
      <c r="AT69" s="8">
        <v>6.1224131366470411</v>
      </c>
      <c r="AU69" s="8">
        <v>694.70019965542224</v>
      </c>
      <c r="AV69" s="8">
        <v>9.5164410911701669</v>
      </c>
      <c r="AW69" s="8">
        <v>258.53349937500496</v>
      </c>
      <c r="AX69" s="8">
        <v>10.800515981086352</v>
      </c>
      <c r="AY69" s="8">
        <v>54.740828498475288</v>
      </c>
      <c r="AZ69" s="8">
        <v>-1.0155218930638144</v>
      </c>
      <c r="BA69" s="8">
        <v>-9.2931546718899547</v>
      </c>
      <c r="BB69" s="8">
        <v>20.115561913928584</v>
      </c>
      <c r="BC69" s="69"/>
      <c r="BD69" s="8">
        <v>5.74</v>
      </c>
      <c r="BE69" s="8">
        <v>18.639635085921785</v>
      </c>
      <c r="BF69" s="8">
        <v>21.887815884741059</v>
      </c>
      <c r="BG69" s="8">
        <v>427.33041918395946</v>
      </c>
      <c r="BH69" s="8">
        <v>5.8538413586843765</v>
      </c>
      <c r="BI69" s="8">
        <v>6.0960175575730462</v>
      </c>
      <c r="BJ69" s="8">
        <v>651.25343455761663</v>
      </c>
      <c r="BK69" s="8">
        <v>8.9212799254468038</v>
      </c>
      <c r="BL69" s="8">
        <v>239.82439831570116</v>
      </c>
      <c r="BM69" s="8">
        <v>8.6770006784543519</v>
      </c>
      <c r="BN69" s="8">
        <v>44.67080628655259</v>
      </c>
      <c r="BO69" s="8">
        <v>-0.96027304767391697</v>
      </c>
      <c r="BP69" s="8">
        <v>-9.1466025501046246</v>
      </c>
      <c r="BQ69" s="8">
        <v>19.988072955797357</v>
      </c>
      <c r="BR69" s="69"/>
      <c r="BS69" s="14">
        <v>5.8</v>
      </c>
      <c r="BT69" s="14">
        <v>18.164746341994579</v>
      </c>
      <c r="BU69" s="14">
        <v>20.207685715511648</v>
      </c>
      <c r="BV69" s="14">
        <v>406.68003054028333</v>
      </c>
      <c r="BW69" s="14">
        <v>5.5709593224696343</v>
      </c>
      <c r="BX69" s="14">
        <v>6.0310138159219804</v>
      </c>
      <c r="BY69" s="14">
        <v>613.17322071200545</v>
      </c>
      <c r="BZ69" s="14">
        <v>8.3996331604384302</v>
      </c>
      <c r="CA69" s="14">
        <v>275.26225752774661</v>
      </c>
      <c r="CB69" s="14">
        <v>9.0811359738379949</v>
      </c>
      <c r="CC69" s="14">
        <v>34.936216362231399</v>
      </c>
      <c r="CD69" s="14">
        <v>-0.9237185475785531</v>
      </c>
      <c r="CE69" s="14">
        <v>-8.959784917325365</v>
      </c>
      <c r="CF69" s="14">
        <v>19.482308890542921</v>
      </c>
      <c r="CG69" s="69"/>
      <c r="CH69" s="14">
        <v>5.77</v>
      </c>
      <c r="CI69" s="14">
        <v>18.206705414843182</v>
      </c>
      <c r="CJ69" s="14">
        <v>20.897195192500458</v>
      </c>
      <c r="CK69" s="14">
        <v>420.13342683273441</v>
      </c>
      <c r="CL69" s="14">
        <v>5.7552524223662251</v>
      </c>
      <c r="CM69" s="14">
        <v>6.0645573205433516</v>
      </c>
      <c r="CN69" s="14">
        <v>636.98081232585605</v>
      </c>
      <c r="CO69" s="14">
        <v>8.7257645524089877</v>
      </c>
      <c r="CP69" s="14">
        <v>267.04056280014066</v>
      </c>
      <c r="CQ69" s="14">
        <v>9.4520222865025936</v>
      </c>
      <c r="CR69" s="14">
        <v>41.280042869585444</v>
      </c>
      <c r="CS69" s="14">
        <v>-0.94899794299422791</v>
      </c>
      <c r="CT69" s="14">
        <v>-9.0721767582918549</v>
      </c>
      <c r="CU69" s="14">
        <v>19.719874744163643</v>
      </c>
      <c r="CV69" s="69"/>
      <c r="CW69" s="14">
        <f t="shared" si="10"/>
        <v>-14.173228346456687</v>
      </c>
      <c r="CX69" s="8">
        <f t="shared" si="11"/>
        <v>1.684175061763354</v>
      </c>
      <c r="CY69" s="8">
        <f t="shared" si="12"/>
        <v>6.5107139326999111</v>
      </c>
      <c r="CZ69" s="8">
        <f t="shared" si="13"/>
        <v>7.1438725962681762</v>
      </c>
      <c r="DA69" s="14">
        <f t="shared" si="14"/>
        <v>-4.1091954022988482</v>
      </c>
      <c r="DB69" s="14">
        <f t="shared" si="15"/>
        <v>5.5616666666666665</v>
      </c>
    </row>
    <row r="70" spans="1:106" ht="15.75" x14ac:dyDescent="0.25">
      <c r="A70" s="10">
        <v>69</v>
      </c>
      <c r="B70" s="3" t="s">
        <v>390</v>
      </c>
      <c r="C70" s="3" t="s">
        <v>391</v>
      </c>
      <c r="D70" s="3">
        <v>65</v>
      </c>
      <c r="E70" s="3">
        <v>173</v>
      </c>
      <c r="F70" s="3">
        <v>24</v>
      </c>
      <c r="G70" s="12" t="s">
        <v>32</v>
      </c>
      <c r="H70" s="12" t="s">
        <v>33</v>
      </c>
      <c r="I70" s="12">
        <v>25</v>
      </c>
      <c r="J70" s="72"/>
      <c r="K70" s="8">
        <v>4.82</v>
      </c>
      <c r="L70" s="8">
        <v>22.711672830887132</v>
      </c>
      <c r="M70" s="8">
        <v>25.66710064805666</v>
      </c>
      <c r="N70" s="8">
        <v>337.18162685822733</v>
      </c>
      <c r="O70" s="8">
        <v>5.1874096439727282</v>
      </c>
      <c r="P70" s="8">
        <v>8.9673509790818358</v>
      </c>
      <c r="Q70" s="8">
        <v>755.90649793388275</v>
      </c>
      <c r="R70" s="8">
        <v>11.62933073744435</v>
      </c>
      <c r="S70" s="8">
        <v>547.27390528885701</v>
      </c>
      <c r="T70" s="8">
        <v>15.246055037766213</v>
      </c>
      <c r="U70" s="8">
        <v>37.499197342219652</v>
      </c>
      <c r="V70" s="8">
        <v>-0.57847737376103736</v>
      </c>
      <c r="W70" s="8">
        <v>-5.4472913826108176</v>
      </c>
      <c r="X70" s="8">
        <v>24.880437016321121</v>
      </c>
      <c r="Y70" s="69"/>
      <c r="Z70" s="8">
        <v>5.04</v>
      </c>
      <c r="AA70" s="8">
        <v>21.22075369570755</v>
      </c>
      <c r="AB70" s="8">
        <v>24.514817326282945</v>
      </c>
      <c r="AC70" s="8">
        <v>442.55001427737477</v>
      </c>
      <c r="AD70" s="8">
        <v>6.8084617581134577</v>
      </c>
      <c r="AE70" s="8">
        <v>7.1246383933121669</v>
      </c>
      <c r="AF70" s="8">
        <v>788.25220567035797</v>
      </c>
      <c r="AG70" s="8">
        <v>12.1269570103132</v>
      </c>
      <c r="AH70" s="8">
        <v>358.35153783106483</v>
      </c>
      <c r="AI70" s="8">
        <v>11.564624074200017</v>
      </c>
      <c r="AJ70" s="8">
        <v>44.160384222773835</v>
      </c>
      <c r="AK70" s="8">
        <v>-0.95562207964189405</v>
      </c>
      <c r="AL70" s="8">
        <v>-9.0145316945972187</v>
      </c>
      <c r="AM70" s="8">
        <v>22.618447305728427</v>
      </c>
      <c r="AN70" s="69"/>
      <c r="AO70" s="8">
        <v>5.37</v>
      </c>
      <c r="AP70" s="8">
        <v>17.404515332033075</v>
      </c>
      <c r="AQ70" s="8">
        <v>18.629145537743149</v>
      </c>
      <c r="AR70" s="8">
        <v>166.94684102135355</v>
      </c>
      <c r="AS70" s="8">
        <v>2.5684129387900545</v>
      </c>
      <c r="AT70" s="8">
        <v>7.5054366871036562</v>
      </c>
      <c r="AU70" s="8">
        <v>313.25223634943211</v>
      </c>
      <c r="AV70" s="8">
        <v>4.8192651746066479</v>
      </c>
      <c r="AW70" s="8">
        <v>270.44099747245053</v>
      </c>
      <c r="AX70" s="8">
        <v>9.2491071252840289</v>
      </c>
      <c r="AY70" s="8">
        <v>18.436830115749924</v>
      </c>
      <c r="AZ70" s="8">
        <v>-0.34220699552409445</v>
      </c>
      <c r="BA70" s="8">
        <v>-3.4068589240051979</v>
      </c>
      <c r="BB70" s="8">
        <v>18.599018780636644</v>
      </c>
      <c r="BC70" s="69"/>
      <c r="BD70" s="8">
        <v>5.35</v>
      </c>
      <c r="BE70" s="8">
        <v>19.088685169083636</v>
      </c>
      <c r="BF70" s="8">
        <v>20.825626714888514</v>
      </c>
      <c r="BG70" s="8">
        <v>405.877288441367</v>
      </c>
      <c r="BH70" s="8">
        <v>6.2442659760210306</v>
      </c>
      <c r="BI70" s="8">
        <v>6.1808963060103137</v>
      </c>
      <c r="BJ70" s="8">
        <v>627.17135820518195</v>
      </c>
      <c r="BK70" s="8">
        <v>9.6487901262335676</v>
      </c>
      <c r="BL70" s="8">
        <v>267.5399951347577</v>
      </c>
      <c r="BM70" s="8">
        <v>8.8944603441920513</v>
      </c>
      <c r="BN70" s="8">
        <v>31.264568149712886</v>
      </c>
      <c r="BO70" s="8">
        <v>-1.0102525049561333</v>
      </c>
      <c r="BP70" s="8">
        <v>-9.8859641056898013</v>
      </c>
      <c r="BQ70" s="8">
        <v>20.108647284956614</v>
      </c>
      <c r="BR70" s="69"/>
      <c r="BS70" s="14">
        <v>5.57</v>
      </c>
      <c r="BT70" s="14">
        <v>19.343137767077366</v>
      </c>
      <c r="BU70" s="14">
        <v>21.297809332658652</v>
      </c>
      <c r="BV70" s="14">
        <v>236.12429910555633</v>
      </c>
      <c r="BW70" s="14">
        <v>3.6326815247008666</v>
      </c>
      <c r="BX70" s="14">
        <v>7.7640123396305283</v>
      </c>
      <c r="BY70" s="14">
        <v>458.31799298553727</v>
      </c>
      <c r="BZ70" s="14">
        <v>7.0510460459313427</v>
      </c>
      <c r="CA70" s="14">
        <v>346.60063773865744</v>
      </c>
      <c r="CB70" s="14">
        <v>11.235884625259443</v>
      </c>
      <c r="CC70" s="14">
        <v>27.731433177267867</v>
      </c>
      <c r="CD70" s="14">
        <v>-0.46788713950881444</v>
      </c>
      <c r="CE70" s="14">
        <v>-4.5620925029668973</v>
      </c>
      <c r="CF70" s="14">
        <v>21.082381311807257</v>
      </c>
      <c r="CG70" s="69"/>
      <c r="CH70" s="14">
        <v>5.55</v>
      </c>
      <c r="CI70" s="14">
        <v>19.212695279373243</v>
      </c>
      <c r="CJ70" s="14">
        <v>21.788734389582547</v>
      </c>
      <c r="CK70" s="14">
        <v>390.7015668394817</v>
      </c>
      <c r="CL70" s="14">
        <v>6.0107933359920258</v>
      </c>
      <c r="CM70" s="14">
        <v>6.4287893998490091</v>
      </c>
      <c r="CN70" s="14">
        <v>627.93452285051478</v>
      </c>
      <c r="CO70" s="14">
        <v>9.6605311207771507</v>
      </c>
      <c r="CP70" s="14">
        <v>282.05177840244704</v>
      </c>
      <c r="CQ70" s="14">
        <v>10.118689170320788</v>
      </c>
      <c r="CR70" s="14">
        <v>39.779914005774067</v>
      </c>
      <c r="CS70" s="14">
        <v>-0.93498059465646832</v>
      </c>
      <c r="CT70" s="14">
        <v>-8.9486645105559255</v>
      </c>
      <c r="CU70" s="14">
        <v>20.641631708256082</v>
      </c>
      <c r="CV70" s="70"/>
      <c r="CW70" s="14">
        <f t="shared" si="10"/>
        <v>-15.560165975103734</v>
      </c>
      <c r="CX70" s="8">
        <f t="shared" si="11"/>
        <v>11.715839061163443</v>
      </c>
      <c r="CY70" s="8">
        <f t="shared" si="12"/>
        <v>13.246175247121808</v>
      </c>
      <c r="CZ70" s="8">
        <f t="shared" si="13"/>
        <v>20.435191466186534</v>
      </c>
      <c r="DA70" s="14">
        <f t="shared" si="14"/>
        <v>-5.1466187911430321</v>
      </c>
      <c r="DB70" s="14">
        <f t="shared" si="15"/>
        <v>5.2833333333333332</v>
      </c>
    </row>
    <row r="71" spans="1:106" ht="15.75" x14ac:dyDescent="0.25">
      <c r="A71" s="10">
        <v>70</v>
      </c>
      <c r="B71" s="3" t="s">
        <v>392</v>
      </c>
      <c r="C71" s="3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72"/>
      <c r="K71" s="8">
        <v>4.91</v>
      </c>
      <c r="L71" s="8">
        <v>20.729276385252295</v>
      </c>
      <c r="M71" s="8">
        <v>23.315057663241245</v>
      </c>
      <c r="N71" s="8">
        <v>423.87834814791222</v>
      </c>
      <c r="O71" s="8">
        <v>6.6230991898111284</v>
      </c>
      <c r="P71" s="8">
        <v>6.9272819525240186</v>
      </c>
      <c r="Q71" s="8">
        <v>734.08120779768126</v>
      </c>
      <c r="R71" s="8">
        <v>11.47001887183877</v>
      </c>
      <c r="S71" s="8">
        <v>347.94453364909788</v>
      </c>
      <c r="T71" s="8">
        <v>11.102016353405922</v>
      </c>
      <c r="U71" s="8">
        <v>38.037754330654032</v>
      </c>
      <c r="V71" s="8">
        <v>-0.95608916097286056</v>
      </c>
      <c r="W71" s="8">
        <v>-9.1702154906767568</v>
      </c>
      <c r="X71" s="8">
        <v>22.054711075805361</v>
      </c>
      <c r="Y71" s="69"/>
      <c r="Z71" s="8">
        <v>5</v>
      </c>
      <c r="AA71" s="8">
        <v>20.118018400324342</v>
      </c>
      <c r="AB71" s="8">
        <v>26.625361956192144</v>
      </c>
      <c r="AC71" s="8">
        <v>277.63707392186006</v>
      </c>
      <c r="AD71" s="8">
        <v>4.3380792800290635</v>
      </c>
      <c r="AE71" s="8">
        <v>6.6751298046856711</v>
      </c>
      <c r="AF71" s="8">
        <v>463.31587675538174</v>
      </c>
      <c r="AG71" s="8">
        <v>7.2393105743028396</v>
      </c>
      <c r="AH71" s="8">
        <v>171.05092645171496</v>
      </c>
      <c r="AI71" s="8">
        <v>6.9539224687289654</v>
      </c>
      <c r="AJ71" s="8">
        <v>45.641390854232085</v>
      </c>
      <c r="AK71" s="8">
        <v>-0.6498868796504762</v>
      </c>
      <c r="AL71" s="8">
        <v>-6.2379290515136123</v>
      </c>
      <c r="AM71" s="8">
        <v>21.345421720668842</v>
      </c>
      <c r="AN71" s="69"/>
      <c r="AO71" s="8">
        <v>5.45</v>
      </c>
      <c r="AP71" s="8">
        <v>20.217131633191634</v>
      </c>
      <c r="AQ71" s="8">
        <v>22.184837945275728</v>
      </c>
      <c r="AR71" s="8">
        <v>310.91123515311318</v>
      </c>
      <c r="AS71" s="8">
        <v>4.8579880492673935</v>
      </c>
      <c r="AT71" s="8">
        <v>7.3657326407053008</v>
      </c>
      <c r="AU71" s="8">
        <v>572.52225828232179</v>
      </c>
      <c r="AV71" s="8">
        <v>8.9456602856612779</v>
      </c>
      <c r="AW71" s="8">
        <v>365.49775334836613</v>
      </c>
      <c r="AX71" s="8">
        <v>11.546500225765225</v>
      </c>
      <c r="AY71" s="8">
        <v>31.602757208072852</v>
      </c>
      <c r="AZ71" s="8">
        <v>-0.65953901481852051</v>
      </c>
      <c r="BA71" s="8">
        <v>-6.3787664768457528</v>
      </c>
      <c r="BB71" s="8">
        <v>21.743045172290476</v>
      </c>
      <c r="BC71" s="69"/>
      <c r="BD71" s="8">
        <v>5.64</v>
      </c>
      <c r="BE71" s="8">
        <v>18.230031720850533</v>
      </c>
      <c r="BF71" s="8">
        <v>19.217435520391934</v>
      </c>
      <c r="BG71" s="8">
        <v>348.65103260602723</v>
      </c>
      <c r="BH71" s="8">
        <v>5.4476723844691755</v>
      </c>
      <c r="BI71" s="8">
        <v>6.0061994147061855</v>
      </c>
      <c r="BJ71" s="8">
        <v>523.51690699375695</v>
      </c>
      <c r="BK71" s="8">
        <v>8.1799516717774523</v>
      </c>
      <c r="BL71" s="8">
        <v>258.2025406111859</v>
      </c>
      <c r="BM71" s="8">
        <v>8.6222819762155396</v>
      </c>
      <c r="BN71" s="8">
        <v>23.807892293310083</v>
      </c>
      <c r="BO71" s="8">
        <v>-0.90700824403707681</v>
      </c>
      <c r="BP71" s="8">
        <v>-8.9757201816784224</v>
      </c>
      <c r="BQ71" s="8">
        <v>19.037190496659179</v>
      </c>
      <c r="BR71" s="69"/>
      <c r="BS71" s="14">
        <v>5.79</v>
      </c>
      <c r="BT71" s="14">
        <v>18.005991341738795</v>
      </c>
      <c r="BU71" s="14">
        <v>20.739052578295258</v>
      </c>
      <c r="BV71" s="14">
        <v>353.25576813207601</v>
      </c>
      <c r="BW71" s="14">
        <v>5.5196213770636877</v>
      </c>
      <c r="BX71" s="14">
        <v>6.1430347118845807</v>
      </c>
      <c r="BY71" s="14">
        <v>542.51561145219841</v>
      </c>
      <c r="BZ71" s="14">
        <v>8.4768064289406002</v>
      </c>
      <c r="CA71" s="14">
        <v>246.41467601199807</v>
      </c>
      <c r="CB71" s="14">
        <v>10.133437108294437</v>
      </c>
      <c r="CC71" s="14">
        <v>41.624144082657274</v>
      </c>
      <c r="CD71" s="14">
        <v>-0.89851704181081526</v>
      </c>
      <c r="CE71" s="14">
        <v>-8.5521287440866036</v>
      </c>
      <c r="CF71" s="14">
        <v>19.738607349695094</v>
      </c>
      <c r="CG71" s="69"/>
      <c r="CH71" s="14">
        <v>5.77</v>
      </c>
      <c r="CI71" s="14">
        <v>17.894310618056764</v>
      </c>
      <c r="CJ71" s="14">
        <v>20.618170746956114</v>
      </c>
      <c r="CK71" s="14">
        <v>358.98010537368191</v>
      </c>
      <c r="CL71" s="14">
        <v>5.6090641464637798</v>
      </c>
      <c r="CM71" s="14">
        <v>5.8165201039905989</v>
      </c>
      <c r="CN71" s="14">
        <v>522.00374995967115</v>
      </c>
      <c r="CO71" s="14">
        <v>8.1563085931198618</v>
      </c>
      <c r="CP71" s="14">
        <v>195.3242002589007</v>
      </c>
      <c r="CQ71" s="14">
        <v>8.0901545216184072</v>
      </c>
      <c r="CR71" s="14">
        <v>39.84938950101656</v>
      </c>
      <c r="CS71" s="14">
        <v>-0.96433332064227062</v>
      </c>
      <c r="CT71" s="14">
        <v>-9.3084011619586153</v>
      </c>
      <c r="CU71" s="14">
        <v>19.177951185378898</v>
      </c>
      <c r="CV71" s="66" t="s">
        <v>321</v>
      </c>
      <c r="CW71" s="8">
        <f t="shared" si="10"/>
        <v>-17.922606924643585</v>
      </c>
      <c r="CX71" s="8">
        <f t="shared" si="11"/>
        <v>22.659481746808076</v>
      </c>
      <c r="CY71" s="8">
        <f t="shared" si="12"/>
        <v>12.86281654167029</v>
      </c>
      <c r="CZ71" s="8">
        <f t="shared" si="13"/>
        <v>11.499347859474788</v>
      </c>
      <c r="DA71" s="8">
        <f t="shared" si="14"/>
        <v>-6.2751871042026508</v>
      </c>
      <c r="DB71" s="8">
        <f t="shared" si="15"/>
        <v>5.4266666666666667</v>
      </c>
    </row>
    <row r="72" spans="1:106" ht="15.75" x14ac:dyDescent="0.25">
      <c r="A72" s="10">
        <v>71</v>
      </c>
      <c r="B72" s="3" t="s">
        <v>394</v>
      </c>
      <c r="C72" s="3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72"/>
      <c r="K72" s="8">
        <v>4.8</v>
      </c>
      <c r="L72" s="8">
        <v>21.60505325634626</v>
      </c>
      <c r="M72" s="8">
        <v>25.101453328379407</v>
      </c>
      <c r="N72" s="8">
        <v>409.95111724703577</v>
      </c>
      <c r="O72" s="8">
        <v>6.8325186207839295</v>
      </c>
      <c r="P72" s="8">
        <v>7.4901133330686127</v>
      </c>
      <c r="Q72" s="8">
        <v>767.64508229959915</v>
      </c>
      <c r="R72" s="8">
        <v>12.794084704993319</v>
      </c>
      <c r="S72" s="8">
        <v>393.40945246940714</v>
      </c>
      <c r="T72" s="8">
        <v>13.325743922510959</v>
      </c>
      <c r="U72" s="8">
        <v>45.126798116005553</v>
      </c>
      <c r="V72" s="8">
        <v>-0.91220497166826264</v>
      </c>
      <c r="W72" s="8">
        <v>-8.5169951671176989</v>
      </c>
      <c r="X72" s="8">
        <v>23.350472463469806</v>
      </c>
      <c r="Y72" s="69"/>
      <c r="Z72" s="8">
        <v>4.9800000000000004</v>
      </c>
      <c r="AA72" s="8">
        <v>20.762666872097956</v>
      </c>
      <c r="AB72" s="8">
        <v>24.985664001218005</v>
      </c>
      <c r="AC72" s="8">
        <v>353.94235447509561</v>
      </c>
      <c r="AD72" s="8">
        <v>5.899039241251594</v>
      </c>
      <c r="AE72" s="8">
        <v>6.8056016598824529</v>
      </c>
      <c r="AF72" s="8">
        <v>602.19766877960353</v>
      </c>
      <c r="AG72" s="8">
        <v>10.036627812993393</v>
      </c>
      <c r="AH72" s="8">
        <v>235.43622537243075</v>
      </c>
      <c r="AI72" s="8">
        <v>8.8802897121410158</v>
      </c>
      <c r="AJ72" s="8">
        <v>43.529806739287515</v>
      </c>
      <c r="AK72" s="8">
        <v>-0.8667917307040095</v>
      </c>
      <c r="AL72" s="8">
        <v>-8.2995736875579471</v>
      </c>
      <c r="AM72" s="8">
        <v>21.932274194916996</v>
      </c>
      <c r="AN72" s="69"/>
      <c r="AO72" s="8">
        <v>5.4</v>
      </c>
      <c r="AP72" s="8">
        <v>18.807493800144311</v>
      </c>
      <c r="AQ72" s="8">
        <v>22.122998404063765</v>
      </c>
      <c r="AR72" s="8">
        <v>350.24002731057845</v>
      </c>
      <c r="AS72" s="8">
        <v>5.8373337885096408</v>
      </c>
      <c r="AT72" s="8">
        <v>6.5779851920742765</v>
      </c>
      <c r="AU72" s="8">
        <v>575.96842833016876</v>
      </c>
      <c r="AV72" s="8">
        <v>9.5994738055028126</v>
      </c>
      <c r="AW72" s="8">
        <v>277.76691327214286</v>
      </c>
      <c r="AX72" s="8">
        <v>11.783942514279152</v>
      </c>
      <c r="AY72" s="8">
        <v>45.546066847316489</v>
      </c>
      <c r="AZ72" s="8">
        <v>-0.88740451947854226</v>
      </c>
      <c r="BA72" s="8">
        <v>-8.3100399149573061</v>
      </c>
      <c r="BB72" s="8">
        <v>20.857355889411199</v>
      </c>
      <c r="BC72" s="69"/>
      <c r="BD72" s="8">
        <v>5.55</v>
      </c>
      <c r="BE72" s="8">
        <v>18.466387046157266</v>
      </c>
      <c r="BF72" s="8">
        <v>22.241549277228611</v>
      </c>
      <c r="BG72" s="8">
        <v>322.40395631867494</v>
      </c>
      <c r="BH72" s="8">
        <v>5.3733992719779158</v>
      </c>
      <c r="BI72" s="8">
        <v>6.0244897429312676</v>
      </c>
      <c r="BJ72" s="8">
        <v>485.5798319805794</v>
      </c>
      <c r="BK72" s="8">
        <v>8.0929971996763239</v>
      </c>
      <c r="BL72" s="8">
        <v>173.26003645511059</v>
      </c>
      <c r="BM72" s="8">
        <v>7.864786963242004</v>
      </c>
      <c r="BN72" s="8">
        <v>44.339847522812455</v>
      </c>
      <c r="BO72" s="8">
        <v>-0.89192603876248633</v>
      </c>
      <c r="BP72" s="8">
        <v>-8.5429320202309285</v>
      </c>
      <c r="BQ72" s="8">
        <v>19.772151113069008</v>
      </c>
      <c r="BR72" s="69"/>
      <c r="BS72" s="14">
        <v>5.71</v>
      </c>
      <c r="BT72" s="14">
        <v>18.001404604400939</v>
      </c>
      <c r="BU72" s="14">
        <v>20.656476848723337</v>
      </c>
      <c r="BV72" s="14">
        <v>338.6930478766559</v>
      </c>
      <c r="BW72" s="14">
        <v>5.6448841312775979</v>
      </c>
      <c r="BX72" s="14">
        <v>6.0500931934385545</v>
      </c>
      <c r="BY72" s="14">
        <v>512.28112590587853</v>
      </c>
      <c r="BZ72" s="14">
        <v>8.5380187650979753</v>
      </c>
      <c r="CA72" s="14">
        <v>224.35878978878796</v>
      </c>
      <c r="CB72" s="14">
        <v>9.6956072491723972</v>
      </c>
      <c r="CC72" s="14">
        <v>40.619610526989845</v>
      </c>
      <c r="CD72" s="14">
        <v>-0.93302432719542039</v>
      </c>
      <c r="CE72" s="14">
        <v>-8.9250399478285711</v>
      </c>
      <c r="CF72" s="14">
        <v>19.594326613122668</v>
      </c>
      <c r="CG72" s="69"/>
      <c r="CH72" s="14">
        <v>5.72</v>
      </c>
      <c r="CI72" s="14">
        <v>18.103429490704997</v>
      </c>
      <c r="CJ72" s="14">
        <v>20.808461492189576</v>
      </c>
      <c r="CK72" s="14">
        <v>345.54797130425504</v>
      </c>
      <c r="CL72" s="14">
        <v>5.7591328550709173</v>
      </c>
      <c r="CM72" s="14">
        <v>5.9810885793944806</v>
      </c>
      <c r="CN72" s="14">
        <v>516.68825620020289</v>
      </c>
      <c r="CO72" s="14">
        <v>8.6114709366700488</v>
      </c>
      <c r="CP72" s="14">
        <v>210.00763906231793</v>
      </c>
      <c r="CQ72" s="14">
        <v>9.07798455030653</v>
      </c>
      <c r="CR72" s="14">
        <v>40.853269208809671</v>
      </c>
      <c r="CS72" s="14">
        <v>-0.96289041344610327</v>
      </c>
      <c r="CT72" s="14">
        <v>-9.2337559995776832</v>
      </c>
      <c r="CU72" s="14">
        <v>19.534401934922048</v>
      </c>
      <c r="CV72" s="66"/>
      <c r="CW72" s="8">
        <f t="shared" si="10"/>
        <v>-19.166666666666664</v>
      </c>
      <c r="CX72" s="8">
        <f t="shared" si="11"/>
        <v>8.9106030283357391</v>
      </c>
      <c r="CY72" s="8">
        <f t="shared" si="12"/>
        <v>12.115212169238442</v>
      </c>
      <c r="CZ72" s="8">
        <f t="shared" si="13"/>
        <v>19.36537499976685</v>
      </c>
      <c r="DA72" s="8">
        <f t="shared" si="14"/>
        <v>-6.2937062937062809</v>
      </c>
      <c r="DB72" s="8">
        <f t="shared" si="15"/>
        <v>5.36</v>
      </c>
    </row>
    <row r="73" spans="1:106" ht="15.75" x14ac:dyDescent="0.25">
      <c r="A73" s="10">
        <v>72</v>
      </c>
      <c r="B73" s="3" t="s">
        <v>396</v>
      </c>
      <c r="C73" s="3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73"/>
      <c r="K73" s="8">
        <v>4.87</v>
      </c>
      <c r="L73" s="8">
        <v>22.423368746437912</v>
      </c>
      <c r="M73" s="8">
        <v>25.34750221393028</v>
      </c>
      <c r="N73" s="8">
        <v>322.94612383966552</v>
      </c>
      <c r="O73" s="8">
        <v>6.484861924491276</v>
      </c>
      <c r="P73" s="8">
        <v>7.9840134790308932</v>
      </c>
      <c r="Q73" s="8">
        <v>644.60155143416739</v>
      </c>
      <c r="R73" s="8">
        <v>12.943806253698142</v>
      </c>
      <c r="S73" s="8">
        <v>376.05552414522168</v>
      </c>
      <c r="T73" s="8">
        <v>14.078714073131092</v>
      </c>
      <c r="U73" s="8">
        <v>41.051015822416169</v>
      </c>
      <c r="V73" s="8">
        <v>-0.81223083371828386</v>
      </c>
      <c r="W73" s="8">
        <v>-7.6285608732985599</v>
      </c>
      <c r="X73" s="8">
        <v>24.080730313649827</v>
      </c>
      <c r="Y73" s="69"/>
      <c r="Z73" s="8">
        <v>5.0199999999999996</v>
      </c>
      <c r="AA73" s="8">
        <v>21.004391878772946</v>
      </c>
      <c r="AB73" s="8">
        <v>23.776528039660164</v>
      </c>
      <c r="AC73" s="8">
        <v>331.92633195434871</v>
      </c>
      <c r="AD73" s="8">
        <v>6.6651873886415407</v>
      </c>
      <c r="AE73" s="8">
        <v>7.0716380971080453</v>
      </c>
      <c r="AF73" s="8">
        <v>586.81572362042596</v>
      </c>
      <c r="AG73" s="8">
        <v>11.783448265470401</v>
      </c>
      <c r="AH73" s="8">
        <v>282.23235030266329</v>
      </c>
      <c r="AI73" s="8">
        <v>11.547052401251191</v>
      </c>
      <c r="AJ73" s="8">
        <v>40.150274724909075</v>
      </c>
      <c r="AK73" s="8">
        <v>-0.94252382504801446</v>
      </c>
      <c r="AL73" s="8">
        <v>-8.9782710368624077</v>
      </c>
      <c r="AM73" s="8">
        <v>22.354908037415246</v>
      </c>
      <c r="AN73" s="69"/>
      <c r="AO73" s="8">
        <v>5.32</v>
      </c>
      <c r="AP73" s="8">
        <v>20.211713526078007</v>
      </c>
      <c r="AQ73" s="8">
        <v>23.147400535339699</v>
      </c>
      <c r="AR73" s="8">
        <v>301.01079074417453</v>
      </c>
      <c r="AS73" s="8">
        <v>6.0443933884372401</v>
      </c>
      <c r="AT73" s="8">
        <v>7.0556550667230189</v>
      </c>
      <c r="AU73" s="8">
        <v>530.95707771310936</v>
      </c>
      <c r="AV73" s="8">
        <v>10.661788709098582</v>
      </c>
      <c r="AW73" s="8">
        <v>276.09371317271655</v>
      </c>
      <c r="AX73" s="8">
        <v>12.184059653697746</v>
      </c>
      <c r="AY73" s="8">
        <v>42.183111574488883</v>
      </c>
      <c r="AZ73" s="8">
        <v>-0.85667359462408399</v>
      </c>
      <c r="BA73" s="8">
        <v>-8.0811162744042857</v>
      </c>
      <c r="BB73" s="8">
        <v>21.969317077627732</v>
      </c>
      <c r="BC73" s="70"/>
      <c r="BD73" s="8">
        <v>5.22</v>
      </c>
      <c r="BE73" s="8">
        <v>19.725577052199789</v>
      </c>
      <c r="BF73" s="8">
        <v>23.445715659805707</v>
      </c>
      <c r="BG73" s="8">
        <v>318.82574642240917</v>
      </c>
      <c r="BH73" s="8">
        <v>6.4021234221367305</v>
      </c>
      <c r="BI73" s="8">
        <v>6.8050668086529109</v>
      </c>
      <c r="BJ73" s="8">
        <v>542.40762618078156</v>
      </c>
      <c r="BK73" s="8">
        <v>10.891719401220515</v>
      </c>
      <c r="BL73" s="8">
        <v>250.43360876884441</v>
      </c>
      <c r="BM73" s="8">
        <v>12.168025662775344</v>
      </c>
      <c r="BN73" s="8">
        <v>48.539855217791711</v>
      </c>
      <c r="BO73" s="8">
        <v>-0.94078773980531372</v>
      </c>
      <c r="BP73" s="8">
        <v>-8.7327307420277496</v>
      </c>
      <c r="BQ73" s="8">
        <v>21.671424556332884</v>
      </c>
      <c r="BR73" s="69"/>
      <c r="BS73" s="14">
        <v>5.46</v>
      </c>
      <c r="BT73" s="14">
        <v>19.005360736620787</v>
      </c>
      <c r="BU73" s="14">
        <v>20.946803015907246</v>
      </c>
      <c r="BV73" s="14">
        <v>218.33252193546627</v>
      </c>
      <c r="BW73" s="14">
        <v>4.3841871874591627</v>
      </c>
      <c r="BX73" s="14">
        <v>7.0776233559249571</v>
      </c>
      <c r="BY73" s="14">
        <v>386.31883915211353</v>
      </c>
      <c r="BZ73" s="14">
        <v>7.7574064086769789</v>
      </c>
      <c r="CA73" s="14">
        <v>257.08302735779853</v>
      </c>
      <c r="CB73" s="14">
        <v>11.165237455759556</v>
      </c>
      <c r="CC73" s="14">
        <v>30.079332665936747</v>
      </c>
      <c r="CD73" s="14">
        <v>-0.61944341581683426</v>
      </c>
      <c r="CE73" s="14">
        <v>-6.0181141720237772</v>
      </c>
      <c r="CF73" s="14">
        <v>20.617048448366489</v>
      </c>
      <c r="CG73" s="69"/>
      <c r="CH73" s="14">
        <v>5.54</v>
      </c>
      <c r="CI73" s="14">
        <v>18.436853635282862</v>
      </c>
      <c r="CJ73" s="14">
        <v>21.674164640445834</v>
      </c>
      <c r="CK73" s="14">
        <v>296.55977781522273</v>
      </c>
      <c r="CL73" s="14">
        <v>5.9550156187795729</v>
      </c>
      <c r="CM73" s="14">
        <v>6.1705338065005737</v>
      </c>
      <c r="CN73" s="14">
        <v>457.48303366428269</v>
      </c>
      <c r="CO73" s="14">
        <v>9.1864062984795734</v>
      </c>
      <c r="CP73" s="14">
        <v>189.03367840167476</v>
      </c>
      <c r="CQ73" s="14">
        <v>9.953327871822637</v>
      </c>
      <c r="CR73" s="14">
        <v>45.046951817811909</v>
      </c>
      <c r="CS73" s="14">
        <v>-0.96507300754207803</v>
      </c>
      <c r="CT73" s="14">
        <v>-9.1346581349126126</v>
      </c>
      <c r="CU73" s="14">
        <v>20.061015663511153</v>
      </c>
      <c r="CV73" s="66"/>
      <c r="CW73" s="8">
        <f t="shared" si="10"/>
        <v>-13.757700205338807</v>
      </c>
      <c r="CX73" s="8">
        <f t="shared" si="11"/>
        <v>10.654940790895166</v>
      </c>
      <c r="CY73" s="8">
        <f t="shared" si="12"/>
        <v>12.742511398822561</v>
      </c>
      <c r="CZ73" s="8">
        <f t="shared" si="13"/>
        <v>22.039745144900099</v>
      </c>
      <c r="DA73" s="8">
        <f t="shared" si="14"/>
        <v>-5.4452466907340629</v>
      </c>
      <c r="DB73" s="8">
        <f t="shared" si="15"/>
        <v>5.2383333333333333</v>
      </c>
    </row>
    <row r="74" spans="1:106" ht="15.75" x14ac:dyDescent="0.25">
      <c r="A74" s="10">
        <v>73</v>
      </c>
      <c r="B74" s="3" t="s">
        <v>398</v>
      </c>
      <c r="C74" s="3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5" t="s">
        <v>322</v>
      </c>
      <c r="K74" s="8">
        <v>4.92</v>
      </c>
      <c r="L74" s="8">
        <v>21.349273843553323</v>
      </c>
      <c r="M74" s="8">
        <v>24.535399439351178</v>
      </c>
      <c r="N74" s="8">
        <v>425.41362850562183</v>
      </c>
      <c r="O74" s="8">
        <v>6.3494571418749528</v>
      </c>
      <c r="P74" s="8">
        <v>7.5670787584005383</v>
      </c>
      <c r="Q74" s="8">
        <v>804.78460794974717</v>
      </c>
      <c r="R74" s="8">
        <v>12.011710566414138</v>
      </c>
      <c r="S74" s="8">
        <v>445.70969339200252</v>
      </c>
      <c r="T74" s="8">
        <v>13.524728858413377</v>
      </c>
      <c r="U74" s="8">
        <v>42.87012460682886</v>
      </c>
      <c r="V74" s="8">
        <v>-0.83908960704633218</v>
      </c>
      <c r="W74" s="8">
        <v>-7.863755044808646</v>
      </c>
      <c r="X74" s="8">
        <v>23.208595876329841</v>
      </c>
      <c r="Y74" s="70"/>
      <c r="Z74" s="8">
        <v>5.04</v>
      </c>
      <c r="AA74" s="8">
        <v>21.126375403452091</v>
      </c>
      <c r="AB74" s="8">
        <v>24.898020781479723</v>
      </c>
      <c r="AC74" s="8">
        <v>450.14753503228332</v>
      </c>
      <c r="AD74" s="8">
        <v>6.7186199258549752</v>
      </c>
      <c r="AE74" s="8">
        <v>7.020481922393742</v>
      </c>
      <c r="AF74" s="8">
        <v>790.06315802606218</v>
      </c>
      <c r="AG74" s="8">
        <v>11.79198743322481</v>
      </c>
      <c r="AH74" s="8">
        <v>332.47985202321212</v>
      </c>
      <c r="AI74" s="8">
        <v>10.814372767329845</v>
      </c>
      <c r="AJ74" s="8">
        <v>46.206964399623779</v>
      </c>
      <c r="AK74" s="8">
        <v>-0.95700266735594075</v>
      </c>
      <c r="AL74" s="8">
        <v>-9.0169101711245272</v>
      </c>
      <c r="AM74" s="8">
        <v>22.459634696516392</v>
      </c>
      <c r="AN74" s="70"/>
      <c r="AO74" s="8">
        <v>5.42</v>
      </c>
      <c r="AP74" s="8">
        <v>19.241002114053892</v>
      </c>
      <c r="AQ74" s="8">
        <v>21.862466432146725</v>
      </c>
      <c r="AR74" s="8">
        <v>341.74565200127478</v>
      </c>
      <c r="AS74" s="8">
        <v>5.1006813731533551</v>
      </c>
      <c r="AT74" s="8">
        <v>6.9767161192153164</v>
      </c>
      <c r="AU74" s="8">
        <v>596.06559974726042</v>
      </c>
      <c r="AV74" s="8">
        <v>8.8965014887650806</v>
      </c>
      <c r="AW74" s="8">
        <v>347.62617374982614</v>
      </c>
      <c r="AX74" s="8">
        <v>11.850033071744152</v>
      </c>
      <c r="AY74" s="8">
        <v>37.677595274359469</v>
      </c>
      <c r="AZ74" s="8">
        <v>-0.73110060463905424</v>
      </c>
      <c r="BA74" s="8">
        <v>-6.9742539231924283</v>
      </c>
      <c r="BB74" s="8">
        <v>21.169743704587962</v>
      </c>
      <c r="BC74" s="66" t="s">
        <v>325</v>
      </c>
      <c r="BD74" s="8">
        <v>5.43</v>
      </c>
      <c r="BE74" s="8">
        <v>19.385563098589206</v>
      </c>
      <c r="BF74" s="8">
        <v>22.090577278651374</v>
      </c>
      <c r="BG74" s="8">
        <v>410.40686477707396</v>
      </c>
      <c r="BH74" s="8">
        <v>6.1254755936876712</v>
      </c>
      <c r="BI74" s="8">
        <v>6.4814177753637576</v>
      </c>
      <c r="BJ74" s="8">
        <v>665.00458712435932</v>
      </c>
      <c r="BK74" s="8">
        <v>9.9254415988710338</v>
      </c>
      <c r="BL74" s="8">
        <v>297.11321719913121</v>
      </c>
      <c r="BM74" s="8">
        <v>10.260972584757312</v>
      </c>
      <c r="BN74" s="8">
        <v>40.444782458664925</v>
      </c>
      <c r="BO74" s="8">
        <v>-0.94508266647630013</v>
      </c>
      <c r="BP74" s="8">
        <v>-9.0318590004492272</v>
      </c>
      <c r="BQ74" s="8">
        <v>20.821508268643459</v>
      </c>
      <c r="BR74" s="69"/>
      <c r="BS74" s="14">
        <v>5.71</v>
      </c>
      <c r="BT74" s="14">
        <v>20.503695063148324</v>
      </c>
      <c r="BU74" s="14">
        <v>24.65021618406719</v>
      </c>
      <c r="BV74" s="14">
        <v>326.30810168964081</v>
      </c>
      <c r="BW74" s="14">
        <v>4.8702701744722505</v>
      </c>
      <c r="BX74" s="14">
        <v>9.0738717669534257</v>
      </c>
      <c r="BY74" s="14">
        <v>740.21946781244981</v>
      </c>
      <c r="BZ74" s="14">
        <v>11.048051758394774</v>
      </c>
      <c r="CA74" s="14">
        <v>591.08394285750239</v>
      </c>
      <c r="CB74" s="14">
        <v>17.908905198665803</v>
      </c>
      <c r="CC74" s="14">
        <v>38.660250708205943</v>
      </c>
      <c r="CD74" s="14">
        <v>-0.53673561843903561</v>
      </c>
      <c r="CE74" s="14">
        <v>-5.0042276046964531</v>
      </c>
      <c r="CF74" s="14">
        <v>23.869034272336865</v>
      </c>
      <c r="CG74" s="69"/>
      <c r="CH74" s="14">
        <v>5.78</v>
      </c>
      <c r="CI74" s="14">
        <v>18.253860338422772</v>
      </c>
      <c r="CJ74" s="14">
        <v>21.022791652374757</v>
      </c>
      <c r="CK74" s="14">
        <v>388.9210991821156</v>
      </c>
      <c r="CL74" s="14">
        <v>5.8047925251062029</v>
      </c>
      <c r="CM74" s="14">
        <v>6.0049238221210315</v>
      </c>
      <c r="CN74" s="14">
        <v>583.86039335104556</v>
      </c>
      <c r="CO74" s="14">
        <v>8.7143342291200838</v>
      </c>
      <c r="CP74" s="14">
        <v>230.96569637657913</v>
      </c>
      <c r="CQ74" s="14">
        <v>8.9337325872785112</v>
      </c>
      <c r="CR74" s="14">
        <v>41.488055395770132</v>
      </c>
      <c r="CS74" s="14">
        <v>-0.96667213391157747</v>
      </c>
      <c r="CT74" s="14">
        <v>-9.2621448812989549</v>
      </c>
      <c r="CU74" s="14">
        <v>19.649097859541907</v>
      </c>
      <c r="CV74" s="66"/>
      <c r="CW74" s="8">
        <f t="shared" si="10"/>
        <v>-17.479674796747975</v>
      </c>
      <c r="CX74" s="8">
        <f t="shared" si="11"/>
        <v>13.601415332814554</v>
      </c>
      <c r="CY74" s="8">
        <f t="shared" si="12"/>
        <v>14.465646539638696</v>
      </c>
      <c r="CZ74" s="8">
        <f t="shared" si="13"/>
        <v>26.099529206020069</v>
      </c>
      <c r="DA74" s="8">
        <f t="shared" si="14"/>
        <v>-6.862745098039202</v>
      </c>
      <c r="DB74" s="8">
        <f t="shared" si="15"/>
        <v>5.3833333333333337</v>
      </c>
    </row>
    <row r="75" spans="1:106" ht="15.75" x14ac:dyDescent="0.25">
      <c r="A75" s="10">
        <v>74</v>
      </c>
      <c r="B75" s="3" t="s">
        <v>400</v>
      </c>
      <c r="C75" s="3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5"/>
      <c r="K75" s="8">
        <v>4.93</v>
      </c>
      <c r="L75" s="8">
        <v>21.158447888054646</v>
      </c>
      <c r="M75" s="8">
        <v>25.023442706967689</v>
      </c>
      <c r="N75" s="8">
        <v>509.39344162261483</v>
      </c>
      <c r="O75" s="8">
        <v>6.4480182483875295</v>
      </c>
      <c r="P75" s="8">
        <v>7.6002004186752874</v>
      </c>
      <c r="Q75" s="8">
        <v>967.87306207266067</v>
      </c>
      <c r="R75" s="8">
        <v>12.251557747755198</v>
      </c>
      <c r="S75" s="8">
        <v>518.90391978489663</v>
      </c>
      <c r="T75" s="8">
        <v>14.249742383837321</v>
      </c>
      <c r="U75" s="8">
        <v>48.104774060913684</v>
      </c>
      <c r="V75" s="8">
        <v>-0.8484010806535307</v>
      </c>
      <c r="W75" s="8">
        <v>-7.8024676314568273</v>
      </c>
      <c r="X75" s="8">
        <v>23.389127378212276</v>
      </c>
      <c r="Y75" s="66" t="s">
        <v>323</v>
      </c>
      <c r="Z75" s="8">
        <v>4.95</v>
      </c>
      <c r="AA75" s="8">
        <v>20.416321774150745</v>
      </c>
      <c r="AB75" s="8">
        <v>25.988477234445948</v>
      </c>
      <c r="AC75" s="8">
        <v>460.00469753505178</v>
      </c>
      <c r="AD75" s="8">
        <v>5.8228442725955922</v>
      </c>
      <c r="AE75" s="8">
        <v>6.7696301651874657</v>
      </c>
      <c r="AF75" s="8">
        <v>778.51541914030565</v>
      </c>
      <c r="AG75" s="8">
        <v>9.8546255587380465</v>
      </c>
      <c r="AH75" s="8">
        <v>287.57007214709654</v>
      </c>
      <c r="AI75" s="8">
        <v>9.1809006413538548</v>
      </c>
      <c r="AJ75" s="8">
        <v>51.107469846555453</v>
      </c>
      <c r="AK75" s="8">
        <v>-0.86014215407797601</v>
      </c>
      <c r="AL75" s="8">
        <v>-8.0627066267727283</v>
      </c>
      <c r="AM75" s="8">
        <v>21.877811995025393</v>
      </c>
      <c r="AN75" s="66" t="s">
        <v>324</v>
      </c>
      <c r="AO75" s="8">
        <v>5.3</v>
      </c>
      <c r="AP75" s="8">
        <v>19.181010266972986</v>
      </c>
      <c r="AQ75" s="8">
        <v>22.836934291099467</v>
      </c>
      <c r="AR75" s="8">
        <v>489.13401477509353</v>
      </c>
      <c r="AS75" s="8">
        <v>6.1915698072796648</v>
      </c>
      <c r="AT75" s="8">
        <v>6.6366591881598644</v>
      </c>
      <c r="AU75" s="8">
        <v>811.55393834966185</v>
      </c>
      <c r="AV75" s="8">
        <v>10.272834662653947</v>
      </c>
      <c r="AW75" s="8">
        <v>369.0231148623198</v>
      </c>
      <c r="AX75" s="8">
        <v>11.906635049023205</v>
      </c>
      <c r="AY75" s="8">
        <v>48.373974663916016</v>
      </c>
      <c r="AZ75" s="8">
        <v>-0.93293472389327126</v>
      </c>
      <c r="BA75" s="8">
        <v>-8.6670201834180602</v>
      </c>
      <c r="BB75" s="8">
        <v>21.241976541702737</v>
      </c>
      <c r="BC75" s="66"/>
      <c r="BD75" s="8">
        <v>5.52</v>
      </c>
      <c r="BE75" s="8">
        <v>18.642431072752217</v>
      </c>
      <c r="BF75" s="8">
        <v>22.375886392411367</v>
      </c>
      <c r="BG75" s="8">
        <v>486.72114977913401</v>
      </c>
      <c r="BH75" s="8">
        <v>6.1610272123941012</v>
      </c>
      <c r="BI75" s="8">
        <v>6.2617534304258857</v>
      </c>
      <c r="BJ75" s="8">
        <v>761.93195732258096</v>
      </c>
      <c r="BK75" s="8">
        <v>9.6447083205389994</v>
      </c>
      <c r="BL75" s="8">
        <v>299.58590229345805</v>
      </c>
      <c r="BM75" s="8">
        <v>10.375412625311913</v>
      </c>
      <c r="BN75" s="8">
        <v>49.599299383864462</v>
      </c>
      <c r="BO75" s="8">
        <v>-0.98391405551960076</v>
      </c>
      <c r="BP75" s="8">
        <v>-9.1765262070697222</v>
      </c>
      <c r="BQ75" s="8">
        <v>20.459043075026617</v>
      </c>
      <c r="BR75" s="69"/>
      <c r="BS75" s="14">
        <v>5.68</v>
      </c>
      <c r="BT75" s="14">
        <v>17.497149391364538</v>
      </c>
      <c r="BU75" s="14">
        <v>19.817376856722436</v>
      </c>
      <c r="BV75" s="14">
        <v>374.08942144987077</v>
      </c>
      <c r="BW75" s="14">
        <v>4.7353091322768455</v>
      </c>
      <c r="BX75" s="14">
        <v>6.1999967160514471</v>
      </c>
      <c r="BY75" s="14">
        <v>579.83829612469617</v>
      </c>
      <c r="BZ75" s="14">
        <v>7.3397252674012172</v>
      </c>
      <c r="CA75" s="14">
        <v>314.0414934794232</v>
      </c>
      <c r="CB75" s="14">
        <v>10.19876137770992</v>
      </c>
      <c r="CC75" s="14">
        <v>35.32003016206945</v>
      </c>
      <c r="CD75" s="14">
        <v>-0.76375994200406461</v>
      </c>
      <c r="CE75" s="14">
        <v>-7.3678675956172652</v>
      </c>
      <c r="CF75" s="14">
        <v>19.300093152398016</v>
      </c>
      <c r="CG75" s="69"/>
      <c r="CH75" s="14">
        <v>5.93</v>
      </c>
      <c r="CI75" s="14">
        <v>16.888007085464285</v>
      </c>
      <c r="CJ75" s="14">
        <v>20.761336004887447</v>
      </c>
      <c r="CK75" s="14">
        <v>455.54369571029974</v>
      </c>
      <c r="CL75" s="14">
        <v>5.7663758950670854</v>
      </c>
      <c r="CM75" s="14">
        <v>5.6439547065811224</v>
      </c>
      <c r="CN75" s="14">
        <v>642.76699636437627</v>
      </c>
      <c r="CO75" s="14">
        <v>8.1362910932199526</v>
      </c>
      <c r="CP75" s="14">
        <v>217.64637192645429</v>
      </c>
      <c r="CQ75" s="14">
        <v>9.3934361644266087</v>
      </c>
      <c r="CR75" s="14">
        <v>53.310409031976583</v>
      </c>
      <c r="CS75" s="14">
        <v>-1.0216906752180726</v>
      </c>
      <c r="CT75" s="14">
        <v>-9.4513198947642856</v>
      </c>
      <c r="CU75" s="14">
        <v>18.826002470172373</v>
      </c>
      <c r="CV75" s="66"/>
      <c r="CW75" s="8">
        <f t="shared" si="10"/>
        <v>-20.28397565922921</v>
      </c>
      <c r="CX75" s="8">
        <f t="shared" si="11"/>
        <v>6.4056090603381559</v>
      </c>
      <c r="CY75" s="8">
        <f t="shared" si="12"/>
        <v>16.62831544912278</v>
      </c>
      <c r="CZ75" s="8">
        <f t="shared" si="13"/>
        <v>17.436831620603339</v>
      </c>
      <c r="DA75" s="8">
        <f t="shared" si="14"/>
        <v>-9.1905564924114618</v>
      </c>
      <c r="DB75" s="8">
        <f t="shared" si="15"/>
        <v>5.3850000000000007</v>
      </c>
    </row>
    <row r="76" spans="1:106" ht="15.75" x14ac:dyDescent="0.25">
      <c r="A76" s="10">
        <v>75</v>
      </c>
      <c r="B76" s="3" t="s">
        <v>402</v>
      </c>
      <c r="C76" s="3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5"/>
      <c r="K76" s="8">
        <v>4.91</v>
      </c>
      <c r="L76" s="8">
        <v>21.620230932487715</v>
      </c>
      <c r="M76" s="8">
        <v>25.026654653765732</v>
      </c>
      <c r="N76" s="8">
        <v>374.34335424472766</v>
      </c>
      <c r="O76" s="8">
        <v>6.0377960362052852</v>
      </c>
      <c r="P76" s="8">
        <v>7.9481186990842216</v>
      </c>
      <c r="Q76" s="8">
        <v>743.83135343760716</v>
      </c>
      <c r="R76" s="8">
        <v>11.997279894154953</v>
      </c>
      <c r="S76" s="8">
        <v>444.86166829740728</v>
      </c>
      <c r="T76" s="8">
        <v>14.503334297027815</v>
      </c>
      <c r="U76" s="8">
        <v>43.665368076246978</v>
      </c>
      <c r="V76" s="8">
        <v>-0.75965096456108028</v>
      </c>
      <c r="W76" s="8">
        <v>-7.0658690943425171</v>
      </c>
      <c r="X76" s="8">
        <v>23.764639044993217</v>
      </c>
      <c r="Y76" s="66"/>
      <c r="Z76" s="8" t="s">
        <v>403</v>
      </c>
      <c r="AA76" s="8">
        <v>19.961221124721135</v>
      </c>
      <c r="AB76" s="8">
        <v>23.263459856875311</v>
      </c>
      <c r="AC76" s="8">
        <v>394.32451547799053</v>
      </c>
      <c r="AD76" s="8">
        <v>6.3600728302901697</v>
      </c>
      <c r="AE76" s="8">
        <v>6.5768667924605939</v>
      </c>
      <c r="AF76" s="8">
        <v>648.35495282507736</v>
      </c>
      <c r="AG76" s="8">
        <v>10.457337948791571</v>
      </c>
      <c r="AH76" s="8">
        <v>250.3616297170328</v>
      </c>
      <c r="AI76" s="8">
        <v>9.7761809814480589</v>
      </c>
      <c r="AJ76" s="8">
        <v>47.054972492748142</v>
      </c>
      <c r="AK76" s="8">
        <v>-0.96703689324847752</v>
      </c>
      <c r="AL76" s="8">
        <v>-9.102435473705583</v>
      </c>
      <c r="AM76" s="8">
        <v>21.23379164596771</v>
      </c>
      <c r="AN76" s="66"/>
      <c r="AO76" s="8">
        <v>5.26</v>
      </c>
      <c r="AP76" s="8">
        <v>18.718650390801628</v>
      </c>
      <c r="AQ76" s="8">
        <v>21.151607370052407</v>
      </c>
      <c r="AR76" s="8">
        <v>279.22377887783921</v>
      </c>
      <c r="AS76" s="8">
        <v>4.5036093367393422</v>
      </c>
      <c r="AT76" s="8">
        <v>7.0457232606055271</v>
      </c>
      <c r="AU76" s="8">
        <v>491.83336843844148</v>
      </c>
      <c r="AV76" s="8">
        <v>7.9327962651361528</v>
      </c>
      <c r="AW76" s="8">
        <v>319.02005386783867</v>
      </c>
      <c r="AX76" s="8">
        <v>11.7767714554001</v>
      </c>
      <c r="AY76" s="8">
        <v>33.739269542915132</v>
      </c>
      <c r="AZ76" s="8">
        <v>-0.63919759124236308</v>
      </c>
      <c r="BA76" s="8">
        <v>-6.1541425285468385</v>
      </c>
      <c r="BB76" s="8">
        <v>20.700270041888579</v>
      </c>
      <c r="BC76" s="66"/>
      <c r="BD76" s="8">
        <v>5.2</v>
      </c>
      <c r="BE76" s="8">
        <v>18.474932971306295</v>
      </c>
      <c r="BF76" s="8">
        <v>22.14876135942265</v>
      </c>
      <c r="BG76" s="8">
        <v>341.18193944194496</v>
      </c>
      <c r="BH76" s="8">
        <v>5.5029345071281446</v>
      </c>
      <c r="BI76" s="8">
        <v>6.0424020518332382</v>
      </c>
      <c r="BJ76" s="8">
        <v>515.38961273311293</v>
      </c>
      <c r="BK76" s="8">
        <v>8.3127356892437572</v>
      </c>
      <c r="BL76" s="8">
        <v>193.32417304910609</v>
      </c>
      <c r="BM76" s="8">
        <v>8.1965931589625658</v>
      </c>
      <c r="BN76" s="8">
        <v>42.084125781754963</v>
      </c>
      <c r="BO76" s="8">
        <v>-0.91071968729035158</v>
      </c>
      <c r="BP76" s="8">
        <v>-8.7643211710719271</v>
      </c>
      <c r="BQ76" s="8">
        <v>19.892174910015871</v>
      </c>
      <c r="BR76" s="70"/>
      <c r="BS76" s="14">
        <v>5.42</v>
      </c>
      <c r="BT76" s="14">
        <v>18.51944854280865</v>
      </c>
      <c r="BU76" s="14">
        <v>20.695907716149801</v>
      </c>
      <c r="BV76" s="14">
        <v>261.53912569765515</v>
      </c>
      <c r="BW76" s="14">
        <v>4.2183729951234703</v>
      </c>
      <c r="BX76" s="14">
        <v>6.9990518757663782</v>
      </c>
      <c r="BY76" s="14">
        <v>457.63147707511797</v>
      </c>
      <c r="BZ76" s="14">
        <v>7.3811528560502895</v>
      </c>
      <c r="CA76" s="14">
        <v>304.28724564464983</v>
      </c>
      <c r="CB76" s="14">
        <v>11.189367245595411</v>
      </c>
      <c r="CC76" s="14">
        <v>31.328347438020881</v>
      </c>
      <c r="CD76" s="14">
        <v>-0.60270634794538769</v>
      </c>
      <c r="CE76" s="14">
        <v>-5.8407856556230602</v>
      </c>
      <c r="CF76" s="14">
        <v>20.350057347409674</v>
      </c>
      <c r="CG76" s="70"/>
      <c r="CH76" s="14">
        <v>5.48</v>
      </c>
      <c r="CI76" s="14">
        <v>18.483659189517088</v>
      </c>
      <c r="CJ76" s="14">
        <v>22.183845166993574</v>
      </c>
      <c r="CK76" s="14">
        <v>368.22820855093835</v>
      </c>
      <c r="CL76" s="14">
        <v>5.939164654047393</v>
      </c>
      <c r="CM76" s="14">
        <v>6.1237945529395654</v>
      </c>
      <c r="CN76" s="14">
        <v>563.7384744407326</v>
      </c>
      <c r="CO76" s="14">
        <v>9.092556039366654</v>
      </c>
      <c r="CP76" s="14">
        <v>213.49013157008375</v>
      </c>
      <c r="CQ76" s="14">
        <v>9.3903028866708702</v>
      </c>
      <c r="CR76" s="14">
        <v>47.394718582710262</v>
      </c>
      <c r="CS76" s="14">
        <v>-0.96985040936692679</v>
      </c>
      <c r="CT76" s="14">
        <v>-9.1526937179886474</v>
      </c>
      <c r="CU76" s="14">
        <v>20.082815375429032</v>
      </c>
      <c r="CV76" s="66"/>
      <c r="CW76" s="8">
        <f t="shared" si="10"/>
        <v>-11.608961303462326</v>
      </c>
      <c r="CX76" s="8">
        <f t="shared" si="11"/>
        <v>13.476863332128216</v>
      </c>
      <c r="CY76" s="8">
        <f t="shared" si="12"/>
        <v>8.126434022353024</v>
      </c>
      <c r="CZ76" s="8">
        <f t="shared" si="13"/>
        <v>20.508108947513161</v>
      </c>
      <c r="DA76" s="8">
        <f t="shared" si="14"/>
        <v>-20.103406326034069</v>
      </c>
      <c r="DB76" s="8">
        <f t="shared" si="15"/>
        <v>5.2539999999999996</v>
      </c>
    </row>
    <row r="77" spans="1:106" ht="15.75" x14ac:dyDescent="0.25">
      <c r="A77" s="10">
        <v>76</v>
      </c>
      <c r="B77" s="3" t="s">
        <v>422</v>
      </c>
      <c r="C77" s="3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5"/>
      <c r="K77" s="8">
        <v>4.71</v>
      </c>
      <c r="L77" s="8">
        <v>22.108686832297046</v>
      </c>
      <c r="M77" s="8">
        <v>26.797397485205192</v>
      </c>
      <c r="N77" s="8">
        <v>686.69089876114128</v>
      </c>
      <c r="O77" s="8">
        <v>6.8669089876114127</v>
      </c>
      <c r="P77" s="8">
        <v>8.1330044186231127</v>
      </c>
      <c r="Q77" s="8">
        <v>1396.2150284631596</v>
      </c>
      <c r="R77" s="8">
        <v>13.962150284631596</v>
      </c>
      <c r="S77" s="8">
        <v>766.70345532719534</v>
      </c>
      <c r="T77" s="8">
        <v>16.202363114059622</v>
      </c>
      <c r="U77" s="8">
        <v>52.891480615848707</v>
      </c>
      <c r="V77" s="8">
        <v>-0.8443262334749787</v>
      </c>
      <c r="W77" s="8">
        <v>-7.5681796917744464</v>
      </c>
      <c r="X77" s="8">
        <v>24.723849136375662</v>
      </c>
      <c r="Y77" s="66"/>
      <c r="Z77" s="8">
        <v>4.8499999999999996</v>
      </c>
      <c r="AA77" s="8">
        <v>22.705823836211117</v>
      </c>
      <c r="AB77" s="8">
        <v>27.675605371467931</v>
      </c>
      <c r="AC77" s="8">
        <v>650.16694146477255</v>
      </c>
      <c r="AD77" s="8">
        <v>6.5016694146477256</v>
      </c>
      <c r="AE77" s="8">
        <v>7.4660202456105793</v>
      </c>
      <c r="AF77" s="8">
        <v>1213.539887000675</v>
      </c>
      <c r="AG77" s="8">
        <v>12.13539887000675</v>
      </c>
      <c r="AH77" s="8">
        <v>473.47547712078949</v>
      </c>
      <c r="AI77" s="8">
        <v>9.8700248876018222</v>
      </c>
      <c r="AJ77" s="8">
        <v>48.08031897200398</v>
      </c>
      <c r="AK77" s="8">
        <v>-0.87083468846340006</v>
      </c>
      <c r="AL77" s="8">
        <v>-8.2113340576894913</v>
      </c>
      <c r="AM77" s="8">
        <v>23.669317489934514</v>
      </c>
      <c r="AN77" s="66"/>
      <c r="AO77" s="8">
        <v>4.96</v>
      </c>
      <c r="AP77" s="8">
        <v>20.694653431309561</v>
      </c>
      <c r="AQ77" s="8">
        <v>24.039423428105074</v>
      </c>
      <c r="AR77" s="8">
        <v>535.92986474860516</v>
      </c>
      <c r="AS77" s="8">
        <v>5.3592986474860513</v>
      </c>
      <c r="AT77" s="8">
        <v>7.8563157548624796</v>
      </c>
      <c r="AU77" s="8">
        <v>1052.6085599814462</v>
      </c>
      <c r="AV77" s="8">
        <v>10.526085599814461</v>
      </c>
      <c r="AW77" s="8">
        <v>664.38460503794477</v>
      </c>
      <c r="AX77" s="8">
        <v>14.180543398974676</v>
      </c>
      <c r="AY77" s="8">
        <v>41.530255256074618</v>
      </c>
      <c r="AZ77" s="8">
        <v>-0.68216436491481924</v>
      </c>
      <c r="BA77" s="8">
        <v>-6.3876807013762358</v>
      </c>
      <c r="BB77" s="8">
        <v>23.082843737926115</v>
      </c>
      <c r="BC77" s="66"/>
      <c r="BD77" s="8">
        <v>4.97</v>
      </c>
      <c r="BE77" s="8">
        <v>17.83361706805092</v>
      </c>
      <c r="BF77" s="8">
        <v>19.435084673365697</v>
      </c>
      <c r="BG77" s="8">
        <v>540.78255238172187</v>
      </c>
      <c r="BH77" s="8">
        <v>5.4078255238172188</v>
      </c>
      <c r="BI77" s="8">
        <v>6.002635888614531</v>
      </c>
      <c r="BJ77" s="8">
        <v>811.53018921577279</v>
      </c>
      <c r="BK77" s="8">
        <v>8.1153018921577278</v>
      </c>
      <c r="BL77" s="8">
        <v>417.48362422023484</v>
      </c>
      <c r="BM77" s="8">
        <v>9.4941548454281133</v>
      </c>
      <c r="BN77" s="8">
        <v>28.170263542979988</v>
      </c>
      <c r="BO77" s="8">
        <v>-0.9009084715723783</v>
      </c>
      <c r="BP77" s="8">
        <v>-8.8464481781171056</v>
      </c>
      <c r="BQ77" s="8">
        <v>19.05389497513282</v>
      </c>
      <c r="BR77" s="66" t="s">
        <v>326</v>
      </c>
      <c r="BS77" s="14">
        <v>5.12</v>
      </c>
      <c r="BT77" s="14">
        <v>16.246497835281417</v>
      </c>
      <c r="BU77" s="14">
        <v>17.613175471712392</v>
      </c>
      <c r="BV77" s="14">
        <v>245.36371188104559</v>
      </c>
      <c r="BW77" s="14">
        <v>2.4536371188104558</v>
      </c>
      <c r="BX77" s="14">
        <v>7.1027586476050315</v>
      </c>
      <c r="BY77" s="14">
        <v>435.6898065928915</v>
      </c>
      <c r="BZ77" s="14">
        <v>4.3568980659289149</v>
      </c>
      <c r="CA77" s="14">
        <v>374.95366104208216</v>
      </c>
      <c r="CB77" s="14">
        <v>9.0542456489070631</v>
      </c>
      <c r="CC77" s="14">
        <v>18.550533122404325</v>
      </c>
      <c r="CD77" s="14">
        <v>-0.34544847157910896</v>
      </c>
      <c r="CE77" s="14">
        <v>-3.4410808625892235</v>
      </c>
      <c r="CF77" s="14">
        <v>17.584578936851827</v>
      </c>
      <c r="CG77" s="66" t="s">
        <v>327</v>
      </c>
      <c r="CH77" s="14">
        <v>5.26</v>
      </c>
      <c r="CI77" s="14">
        <v>18.739768332049159</v>
      </c>
      <c r="CJ77" s="14">
        <v>21.481494436271568</v>
      </c>
      <c r="CK77" s="14">
        <v>535.44750425394977</v>
      </c>
      <c r="CL77" s="14">
        <v>5.354475042539498</v>
      </c>
      <c r="CM77" s="14">
        <v>6.6434511807102705</v>
      </c>
      <c r="CN77" s="14">
        <v>889.3048385860676</v>
      </c>
      <c r="CO77" s="14">
        <v>8.8930483858606753</v>
      </c>
      <c r="CP77" s="14">
        <v>480.75169343840554</v>
      </c>
      <c r="CQ77" s="14">
        <v>11.490555861137796</v>
      </c>
      <c r="CR77" s="14">
        <v>38.856596525356288</v>
      </c>
      <c r="CS77" s="14">
        <v>-0.80597793178440036</v>
      </c>
      <c r="CT77" s="14">
        <v>-7.6860287019369942</v>
      </c>
      <c r="CU77" s="14">
        <v>20.677761157355409</v>
      </c>
      <c r="CV77" s="66"/>
      <c r="CW77" s="8">
        <f t="shared" si="10"/>
        <v>-11.677282377919317</v>
      </c>
      <c r="CX77" s="8">
        <f t="shared" si="11"/>
        <v>17.644612467125643</v>
      </c>
      <c r="CY77" s="8">
        <f t="shared" si="12"/>
        <v>19.600594545084455</v>
      </c>
      <c r="CZ77" s="8">
        <f t="shared" si="13"/>
        <v>33.127027969265143</v>
      </c>
      <c r="DA77" s="8">
        <f t="shared" si="14"/>
        <v>-5.3548795944233234</v>
      </c>
      <c r="DB77" s="8">
        <f t="shared" si="15"/>
        <v>4.9783333333333326</v>
      </c>
    </row>
    <row r="78" spans="1:106" ht="15.75" x14ac:dyDescent="0.25">
      <c r="A78" s="10">
        <v>77</v>
      </c>
      <c r="B78" s="3" t="s">
        <v>424</v>
      </c>
      <c r="C78" s="3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5"/>
      <c r="K78" s="8">
        <v>4.82</v>
      </c>
      <c r="L78" s="8">
        <v>20.573519422610623</v>
      </c>
      <c r="M78" s="8">
        <v>25.067794649708642</v>
      </c>
      <c r="N78" s="8">
        <v>673.31624013060969</v>
      </c>
      <c r="O78" s="8">
        <v>6.5370508750544634</v>
      </c>
      <c r="P78" s="8">
        <v>7.4844142991650378</v>
      </c>
      <c r="Q78" s="8">
        <v>1259.8444238733939</v>
      </c>
      <c r="R78" s="8">
        <v>12.231499260906737</v>
      </c>
      <c r="S78" s="8">
        <v>655.39552782448436</v>
      </c>
      <c r="T78" s="8">
        <v>14.928327628450365</v>
      </c>
      <c r="U78" s="8">
        <v>52.038546338685634</v>
      </c>
      <c r="V78" s="8">
        <v>-0.87342183553143748</v>
      </c>
      <c r="W78" s="8">
        <v>-7.9068535858171236</v>
      </c>
      <c r="X78" s="8">
        <v>23.210686624037091</v>
      </c>
      <c r="Y78" s="66"/>
      <c r="Z78" s="8">
        <v>5.04</v>
      </c>
      <c r="AA78" s="8">
        <v>20.910581697391294</v>
      </c>
      <c r="AB78" s="8">
        <v>25.276692539687183</v>
      </c>
      <c r="AC78" s="8">
        <v>717.10906933238562</v>
      </c>
      <c r="AD78" s="8">
        <v>6.9622239741008309</v>
      </c>
      <c r="AE78" s="8">
        <v>7.1332480757327836</v>
      </c>
      <c r="AF78" s="8">
        <v>1278.8292222264417</v>
      </c>
      <c r="AG78" s="8">
        <v>12.415817691518852</v>
      </c>
      <c r="AH78" s="8">
        <v>552.04124666343102</v>
      </c>
      <c r="AI78" s="8">
        <v>12.491543353319591</v>
      </c>
      <c r="AJ78" s="8">
        <v>52.57048105544829</v>
      </c>
      <c r="AK78" s="8">
        <v>-0.97602437209301984</v>
      </c>
      <c r="AL78" s="8">
        <v>-8.9388928727314436</v>
      </c>
      <c r="AM78" s="8">
        <v>22.755090130410334</v>
      </c>
      <c r="AN78" s="66"/>
      <c r="AO78" s="8">
        <v>5.0999999999999996</v>
      </c>
      <c r="AP78" s="8">
        <v>19.94292085912025</v>
      </c>
      <c r="AQ78" s="8">
        <v>23.272798420266451</v>
      </c>
      <c r="AR78" s="8">
        <v>626.90768809115741</v>
      </c>
      <c r="AS78" s="8">
        <v>6.0864824086520137</v>
      </c>
      <c r="AT78" s="8">
        <v>7.0060477586014063</v>
      </c>
      <c r="AU78" s="8">
        <v>1098.0363007502608</v>
      </c>
      <c r="AV78" s="8">
        <v>10.660546609225833</v>
      </c>
      <c r="AW78" s="8">
        <v>560.38694087651095</v>
      </c>
      <c r="AX78" s="8">
        <v>12.512697801071022</v>
      </c>
      <c r="AY78" s="8">
        <v>44.440231602189968</v>
      </c>
      <c r="AZ78" s="8">
        <v>-0.86874691957096173</v>
      </c>
      <c r="BA78" s="8">
        <v>-8.1395061534272184</v>
      </c>
      <c r="BB78" s="8">
        <v>21.964959872257381</v>
      </c>
      <c r="BC78" s="66"/>
      <c r="BD78" s="8">
        <v>5.16</v>
      </c>
      <c r="BE78" s="8">
        <v>20.893254214201473</v>
      </c>
      <c r="BF78" s="8">
        <v>24.140048351123436</v>
      </c>
      <c r="BG78" s="8">
        <v>683.97806424451767</v>
      </c>
      <c r="BH78" s="8">
        <v>6.6405637305292977</v>
      </c>
      <c r="BI78" s="8">
        <v>6.8614433903119965</v>
      </c>
      <c r="BJ78" s="8">
        <v>1173.269192007235</v>
      </c>
      <c r="BK78" s="8">
        <v>11.390963029196456</v>
      </c>
      <c r="BL78" s="8">
        <v>480.61834233737073</v>
      </c>
      <c r="BM78" s="8">
        <v>10.097099214336005</v>
      </c>
      <c r="BN78" s="8">
        <v>42.898934814398466</v>
      </c>
      <c r="BO78" s="8">
        <v>-0.96780857215923832</v>
      </c>
      <c r="BP78" s="8">
        <v>-9.2175446547909239</v>
      </c>
      <c r="BQ78" s="8">
        <v>22.130133813386056</v>
      </c>
      <c r="BR78" s="66"/>
      <c r="BS78" s="14">
        <v>5.22</v>
      </c>
      <c r="BT78" s="14">
        <v>19.330182535530259</v>
      </c>
      <c r="BU78" s="14">
        <v>22.002883510187743</v>
      </c>
      <c r="BV78" s="14">
        <v>562.98491250606821</v>
      </c>
      <c r="BW78" s="14">
        <v>5.4658729369521186</v>
      </c>
      <c r="BX78" s="14">
        <v>6.8494255721688848</v>
      </c>
      <c r="BY78" s="14">
        <v>964.0308141160815</v>
      </c>
      <c r="BZ78" s="14">
        <v>9.359522467146423</v>
      </c>
      <c r="CA78" s="14">
        <v>531.07098829696292</v>
      </c>
      <c r="CB78" s="14">
        <v>11.716853594162728</v>
      </c>
      <c r="CC78" s="14">
        <v>38.31815902547406</v>
      </c>
      <c r="CD78" s="14">
        <v>-0.79800457415895953</v>
      </c>
      <c r="CE78" s="14">
        <v>-7.6124794319415114</v>
      </c>
      <c r="CF78" s="14">
        <v>21.180604633526368</v>
      </c>
      <c r="CG78" s="66"/>
      <c r="CH78" s="14">
        <v>5.37</v>
      </c>
      <c r="CI78" s="14">
        <v>19.066625565332494</v>
      </c>
      <c r="CJ78" s="14">
        <v>21.138070734489883</v>
      </c>
      <c r="CK78" s="14">
        <v>585.69441748517852</v>
      </c>
      <c r="CL78" s="14">
        <v>5.6863535678172674</v>
      </c>
      <c r="CM78" s="14">
        <v>6.4520467137285955</v>
      </c>
      <c r="CN78" s="14">
        <v>944.73193539610747</v>
      </c>
      <c r="CO78" s="14">
        <v>9.1721547125835681</v>
      </c>
      <c r="CP78" s="14">
        <v>471.3260626051549</v>
      </c>
      <c r="CQ78" s="14">
        <v>10.167519724174525</v>
      </c>
      <c r="CR78" s="14">
        <v>34.160466922152047</v>
      </c>
      <c r="CS78" s="14">
        <v>-0.88132554212881087</v>
      </c>
      <c r="CT78" s="14">
        <v>-8.5332337526214044</v>
      </c>
      <c r="CU78" s="14">
        <v>20.444561033219642</v>
      </c>
      <c r="CV78" s="66"/>
      <c r="CW78" s="8">
        <f t="shared" si="10"/>
        <v>-11.410788381742734</v>
      </c>
      <c r="CX78" s="8">
        <f t="shared" si="11"/>
        <v>18.32561565140314</v>
      </c>
      <c r="CY78" s="8">
        <f t="shared" si="12"/>
        <v>9.5496659414050971</v>
      </c>
      <c r="CZ78" s="8">
        <f t="shared" si="13"/>
        <v>26.125246516393393</v>
      </c>
      <c r="DA78" s="8">
        <f t="shared" si="14"/>
        <v>-4.6865301055245112</v>
      </c>
      <c r="DB78" s="8">
        <f t="shared" si="15"/>
        <v>5.1183333333333332</v>
      </c>
    </row>
    <row r="79" spans="1:106" ht="15.75" x14ac:dyDescent="0.25">
      <c r="A79" s="10">
        <v>78</v>
      </c>
      <c r="B79" s="3" t="s">
        <v>426</v>
      </c>
      <c r="C79" s="3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5"/>
      <c r="K79" s="8">
        <v>4.4400000000000004</v>
      </c>
      <c r="L79" s="8">
        <v>23.128743783874736</v>
      </c>
      <c r="M79" s="8">
        <v>29.425259702010884</v>
      </c>
      <c r="N79" s="8">
        <v>495.99588143702812</v>
      </c>
      <c r="O79" s="8">
        <v>7.0856554491004013</v>
      </c>
      <c r="P79" s="8">
        <v>7.796352884730263</v>
      </c>
      <c r="Q79" s="8">
        <v>966.73973026397596</v>
      </c>
      <c r="R79" s="8">
        <v>13.810567575199656</v>
      </c>
      <c r="S79" s="8">
        <v>405.26657792292599</v>
      </c>
      <c r="T79" s="8">
        <v>12.011758759209634</v>
      </c>
      <c r="U79" s="8">
        <v>54.431202979351177</v>
      </c>
      <c r="V79" s="8">
        <v>-0.90884232074438132</v>
      </c>
      <c r="W79" s="8">
        <v>-8.3348822039596175</v>
      </c>
      <c r="X79" s="8">
        <v>24.544764147478574</v>
      </c>
      <c r="Y79" s="66"/>
      <c r="Z79" s="8">
        <v>4.59</v>
      </c>
      <c r="AA79" s="8">
        <v>22.581676094571463</v>
      </c>
      <c r="AB79" s="8">
        <v>26.390933027489659</v>
      </c>
      <c r="AC79" s="8">
        <v>495.66215868398615</v>
      </c>
      <c r="AD79" s="8">
        <v>7.080887981199802</v>
      </c>
      <c r="AE79" s="8">
        <v>7.961273554860445</v>
      </c>
      <c r="AF79" s="8">
        <v>986.52550901896507</v>
      </c>
      <c r="AG79" s="8">
        <v>14.093221557413786</v>
      </c>
      <c r="AH79" s="8">
        <v>532.92219716825684</v>
      </c>
      <c r="AI79" s="8">
        <v>14.677964697881078</v>
      </c>
      <c r="AJ79" s="8">
        <v>46.825099097491965</v>
      </c>
      <c r="AK79" s="8">
        <v>-0.88941649001331513</v>
      </c>
      <c r="AL79" s="8">
        <v>-8.2139940012354362</v>
      </c>
      <c r="AM79" s="8">
        <v>24.439251540750579</v>
      </c>
      <c r="AN79" s="66"/>
      <c r="AO79" s="8">
        <v>4.76</v>
      </c>
      <c r="AP79" s="8">
        <v>21.86764575540494</v>
      </c>
      <c r="AQ79" s="8">
        <v>24.631216262505706</v>
      </c>
      <c r="AR79" s="8">
        <v>381.00800990746689</v>
      </c>
      <c r="AS79" s="8">
        <v>5.4429715701066694</v>
      </c>
      <c r="AT79" s="8">
        <v>8.2664858540759525</v>
      </c>
      <c r="AU79" s="8">
        <v>787.39933104742636</v>
      </c>
      <c r="AV79" s="8">
        <v>11.248561872106091</v>
      </c>
      <c r="AW79" s="8">
        <v>532.02564153252695</v>
      </c>
      <c r="AX79" s="8">
        <v>14.326537939004933</v>
      </c>
      <c r="AY79" s="8">
        <v>37.000234492660326</v>
      </c>
      <c r="AZ79" s="8">
        <v>-0.65843838194229831</v>
      </c>
      <c r="BA79" s="8">
        <v>-6.236428350327806</v>
      </c>
      <c r="BB79" s="8">
        <v>23.849681176342834</v>
      </c>
      <c r="BC79" s="66"/>
      <c r="BD79" s="8">
        <v>5.01</v>
      </c>
      <c r="BE79" s="8">
        <v>20.709091811437382</v>
      </c>
      <c r="BF79" s="8">
        <v>23.240136652287646</v>
      </c>
      <c r="BG79" s="8">
        <v>358.79353761162452</v>
      </c>
      <c r="BH79" s="8">
        <v>5.1256219658803506</v>
      </c>
      <c r="BI79" s="8">
        <v>7.7376829668360738</v>
      </c>
      <c r="BJ79" s="8">
        <v>694.05766114708126</v>
      </c>
      <c r="BK79" s="8">
        <v>9.9151094449583042</v>
      </c>
      <c r="BL79" s="8">
        <v>455.98658997356716</v>
      </c>
      <c r="BM79" s="8">
        <v>13.089434288097783</v>
      </c>
      <c r="BN79" s="8">
        <v>35.350741022751514</v>
      </c>
      <c r="BO79" s="8">
        <v>-0.66242336211614128</v>
      </c>
      <c r="BP79" s="8">
        <v>-6.3265422714219133</v>
      </c>
      <c r="BQ79" s="8">
        <v>22.591000027646871</v>
      </c>
      <c r="BR79" s="66"/>
      <c r="BS79" s="14">
        <v>4.8</v>
      </c>
      <c r="BT79" s="14">
        <v>20.583212632248962</v>
      </c>
      <c r="BU79" s="14">
        <v>24.492114825140806</v>
      </c>
      <c r="BV79" s="14">
        <v>471.32107829733491</v>
      </c>
      <c r="BW79" s="14">
        <v>6.733158261390499</v>
      </c>
      <c r="BX79" s="14">
        <v>7.0717829705806619</v>
      </c>
      <c r="BY79" s="14">
        <v>833.27009379470189</v>
      </c>
      <c r="BZ79" s="14">
        <v>11.903858482781455</v>
      </c>
      <c r="CA79" s="14">
        <v>393.73486513061079</v>
      </c>
      <c r="CB79" s="14">
        <v>12.595727124724807</v>
      </c>
      <c r="CC79" s="14">
        <v>47.567310065349091</v>
      </c>
      <c r="CD79" s="14">
        <v>-0.95211607728929537</v>
      </c>
      <c r="CE79" s="14">
        <v>-8.8644807258766782</v>
      </c>
      <c r="CF79" s="14">
        <v>22.455147391103012</v>
      </c>
      <c r="CG79" s="66"/>
      <c r="CH79" s="14">
        <v>4.8099999999999996</v>
      </c>
      <c r="CI79" s="14">
        <v>21.677439176456325</v>
      </c>
      <c r="CJ79" s="14">
        <v>25.230643430430316</v>
      </c>
      <c r="CK79" s="14">
        <v>475.22065281466547</v>
      </c>
      <c r="CL79" s="14">
        <v>6.7888664687809355</v>
      </c>
      <c r="CM79" s="14">
        <v>7.5670766533413971</v>
      </c>
      <c r="CN79" s="14">
        <v>899.00777677487815</v>
      </c>
      <c r="CO79" s="14">
        <v>12.842968239641117</v>
      </c>
      <c r="CP79" s="14">
        <v>467.05999642542707</v>
      </c>
      <c r="CQ79" s="14">
        <v>13.588267304541951</v>
      </c>
      <c r="CR79" s="14">
        <v>45.684804476628152</v>
      </c>
      <c r="CS79" s="14">
        <v>-0.89715841133751051</v>
      </c>
      <c r="CT79" s="14">
        <v>-8.3492481556404439</v>
      </c>
      <c r="CU79" s="14">
        <v>23.495036922973124</v>
      </c>
      <c r="CV79" s="66"/>
      <c r="CW79" s="8">
        <f t="shared" si="10"/>
        <v>-12.837837837837823</v>
      </c>
      <c r="CX79" s="8">
        <f t="shared" si="11"/>
        <v>27.61328834054153</v>
      </c>
      <c r="CY79" s="8">
        <f t="shared" si="12"/>
        <v>4.9514301801423004</v>
      </c>
      <c r="CZ79" s="8">
        <f t="shared" si="13"/>
        <v>29.646252955255445</v>
      </c>
      <c r="DA79" s="8">
        <f t="shared" si="14"/>
        <v>-5.4890219560878251</v>
      </c>
      <c r="DB79" s="8">
        <f t="shared" si="15"/>
        <v>4.7350000000000003</v>
      </c>
    </row>
    <row r="80" spans="1:106" ht="15.75" x14ac:dyDescent="0.25">
      <c r="A80" s="10">
        <v>79</v>
      </c>
      <c r="B80" s="3" t="s">
        <v>428</v>
      </c>
      <c r="C80" s="3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5"/>
      <c r="K80" s="8">
        <v>4.8899999999999997</v>
      </c>
      <c r="L80" s="8">
        <v>20.325599419328672</v>
      </c>
      <c r="M80" s="8">
        <v>24.235813416803193</v>
      </c>
      <c r="N80" s="8">
        <v>635.1478760420423</v>
      </c>
      <c r="O80" s="8">
        <v>5.8809988522411327</v>
      </c>
      <c r="P80" s="8">
        <v>7.5521241695361834</v>
      </c>
      <c r="Q80" s="8">
        <v>1199.17890647167</v>
      </c>
      <c r="R80" s="8">
        <v>11.103508393256204</v>
      </c>
      <c r="S80" s="8">
        <v>683.3250782280553</v>
      </c>
      <c r="T80" s="8">
        <v>14.499505329191386</v>
      </c>
      <c r="U80" s="8">
        <v>46.857041880982187</v>
      </c>
      <c r="V80" s="8">
        <v>-0.77872115450166324</v>
      </c>
      <c r="W80" s="8">
        <v>-7.1770237897041484</v>
      </c>
      <c r="X80" s="8">
        <v>22.925093367832751</v>
      </c>
      <c r="Y80" s="66"/>
      <c r="Z80" s="8">
        <v>5.04</v>
      </c>
      <c r="AA80" s="8">
        <v>20.19695307863222</v>
      </c>
      <c r="AB80" s="8">
        <v>22.97265705779979</v>
      </c>
      <c r="AC80" s="8">
        <v>698.06560988218621</v>
      </c>
      <c r="AD80" s="8">
        <v>6.4635704618720942</v>
      </c>
      <c r="AE80" s="8">
        <v>6.7219696210787294</v>
      </c>
      <c r="AF80" s="8">
        <v>1173.0939557869629</v>
      </c>
      <c r="AG80" s="8">
        <v>10.861981072101507</v>
      </c>
      <c r="AH80" s="8">
        <v>528.00311213124621</v>
      </c>
      <c r="AI80" s="8">
        <v>10.591886832451932</v>
      </c>
      <c r="AJ80" s="8">
        <v>39.650511562702576</v>
      </c>
      <c r="AK80" s="8">
        <v>-0.96155901115703557</v>
      </c>
      <c r="AL80" s="8">
        <v>-9.2051842489008582</v>
      </c>
      <c r="AM80" s="8">
        <v>21.607720979972793</v>
      </c>
      <c r="AN80" s="66"/>
      <c r="AO80" s="8">
        <v>5.25</v>
      </c>
      <c r="AP80" s="8">
        <v>18.764320115691451</v>
      </c>
      <c r="AQ80" s="8">
        <v>20.936697324049934</v>
      </c>
      <c r="AR80" s="8">
        <v>491.11070990766916</v>
      </c>
      <c r="AS80" s="8">
        <v>4.547321388033974</v>
      </c>
      <c r="AT80" s="8">
        <v>6.9204553848963961</v>
      </c>
      <c r="AU80" s="8">
        <v>849.67743924020522</v>
      </c>
      <c r="AV80" s="8">
        <v>7.8673836966685666</v>
      </c>
      <c r="AW80" s="8">
        <v>541.0212303254965</v>
      </c>
      <c r="AX80" s="8">
        <v>11.22648814880826</v>
      </c>
      <c r="AY80" s="8">
        <v>31.885598176479441</v>
      </c>
      <c r="AZ80" s="8">
        <v>-0.65708412743449085</v>
      </c>
      <c r="BA80" s="8">
        <v>-6.3626823322558437</v>
      </c>
      <c r="BB80" s="8">
        <v>20.536579856323595</v>
      </c>
      <c r="BC80" s="66"/>
      <c r="BD80" s="8">
        <v>5.0999999999999996</v>
      </c>
      <c r="BE80" s="8">
        <v>20.486797413967917</v>
      </c>
      <c r="BF80" s="8">
        <v>24.110346324455005</v>
      </c>
      <c r="BG80" s="8">
        <v>718.15251725750409</v>
      </c>
      <c r="BH80" s="8">
        <v>6.6495603449768899</v>
      </c>
      <c r="BI80" s="8">
        <v>6.8820635488310913</v>
      </c>
      <c r="BJ80" s="8">
        <v>1235.59281537979</v>
      </c>
      <c r="BK80" s="8">
        <v>11.440674216479536</v>
      </c>
      <c r="BL80" s="8">
        <v>533.15831556862747</v>
      </c>
      <c r="BM80" s="8">
        <v>11.265818833735151</v>
      </c>
      <c r="BN80" s="8">
        <v>46.758366812383535</v>
      </c>
      <c r="BO80" s="8">
        <v>-0.96621606263811766</v>
      </c>
      <c r="BP80" s="8">
        <v>-9.0605512110833057</v>
      </c>
      <c r="BQ80" s="8">
        <v>22.074577456561471</v>
      </c>
      <c r="BR80" s="66"/>
      <c r="BS80" s="14">
        <v>5.3</v>
      </c>
      <c r="BT80" s="14">
        <v>18.635224714059166</v>
      </c>
      <c r="BU80" s="14">
        <v>21.119780021933515</v>
      </c>
      <c r="BV80" s="14">
        <v>558.60425694124706</v>
      </c>
      <c r="BW80" s="14">
        <v>5.1722616383448798</v>
      </c>
      <c r="BX80" s="14">
        <v>6.6043208346546329</v>
      </c>
      <c r="BY80" s="14">
        <v>922.30043311096199</v>
      </c>
      <c r="BZ80" s="14">
        <v>8.5398188251015004</v>
      </c>
      <c r="CA80" s="14">
        <v>510.36537492173329</v>
      </c>
      <c r="CB80" s="14">
        <v>11.12533889918917</v>
      </c>
      <c r="CC80" s="14">
        <v>36.42231300933679</v>
      </c>
      <c r="CD80" s="14">
        <v>-0.78316329079663194</v>
      </c>
      <c r="CE80" s="14">
        <v>-7.5183212365226435</v>
      </c>
      <c r="CF80" s="14">
        <v>20.450266838171515</v>
      </c>
      <c r="CG80" s="66"/>
      <c r="CH80" s="14">
        <v>5.28</v>
      </c>
      <c r="CI80" s="14">
        <v>20.577996955297863</v>
      </c>
      <c r="CJ80" s="14">
        <v>23.650115130011194</v>
      </c>
      <c r="CK80" s="14">
        <v>708.61518175746551</v>
      </c>
      <c r="CL80" s="14">
        <v>6.5612516829394956</v>
      </c>
      <c r="CM80" s="14">
        <v>6.755440941076345</v>
      </c>
      <c r="CN80" s="14">
        <v>1196.7520025781596</v>
      </c>
      <c r="CO80" s="14">
        <v>11.081037060908885</v>
      </c>
      <c r="CP80" s="14">
        <v>489.08951161953735</v>
      </c>
      <c r="CQ80" s="14">
        <v>9.9636363197749862</v>
      </c>
      <c r="CR80" s="14">
        <v>42.424185595750387</v>
      </c>
      <c r="CS80" s="14">
        <v>-0.97125439185529916</v>
      </c>
      <c r="CT80" s="14">
        <v>-9.2599694813315967</v>
      </c>
      <c r="CU80" s="14">
        <v>21.808800137026399</v>
      </c>
      <c r="CV80" s="66"/>
      <c r="CW80" s="8">
        <f t="shared" si="10"/>
        <v>-8.3844580777096152</v>
      </c>
      <c r="CX80" s="8">
        <f t="shared" si="11"/>
        <v>2.7970252686749939</v>
      </c>
      <c r="CY80" s="8">
        <f t="shared" si="12"/>
        <v>2.3262489021850663</v>
      </c>
      <c r="CZ80" s="8">
        <f t="shared" si="13"/>
        <v>5.0582084012536574</v>
      </c>
      <c r="DA80" s="8">
        <f t="shared" si="14"/>
        <v>-2.9559748427672838</v>
      </c>
      <c r="DB80" s="8">
        <f t="shared" si="15"/>
        <v>5.1433333333333335</v>
      </c>
    </row>
    <row r="81" spans="1:106" ht="15.75" x14ac:dyDescent="0.25">
      <c r="A81" s="10">
        <v>80</v>
      </c>
      <c r="B81" s="3" t="s">
        <v>430</v>
      </c>
      <c r="C81" s="3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5"/>
      <c r="K81" s="8">
        <v>4.9800000000000004</v>
      </c>
      <c r="L81" s="8">
        <v>20.284282103395014</v>
      </c>
      <c r="M81" s="8">
        <v>23.531394532037048</v>
      </c>
      <c r="N81" s="8">
        <v>446.68524910532005</v>
      </c>
      <c r="O81" s="8">
        <v>5.8011071312379228</v>
      </c>
      <c r="P81" s="8">
        <v>7.3573504539014589</v>
      </c>
      <c r="Q81" s="8">
        <v>821.60498006402815</v>
      </c>
      <c r="R81" s="8">
        <v>10.67019454628608</v>
      </c>
      <c r="S81" s="8">
        <v>470.13526191148918</v>
      </c>
      <c r="T81" s="8">
        <v>13.384366582752559</v>
      </c>
      <c r="U81" s="8">
        <v>42.461472911696688</v>
      </c>
      <c r="V81" s="8">
        <v>-0.78847774991630404</v>
      </c>
      <c r="W81" s="8">
        <v>-7.3974231818090166</v>
      </c>
      <c r="X81" s="8">
        <v>22.411290072616858</v>
      </c>
      <c r="Y81" s="66"/>
      <c r="Z81" s="8">
        <v>4.91</v>
      </c>
      <c r="AA81" s="8">
        <v>20.462004892511569</v>
      </c>
      <c r="AB81" s="8">
        <v>24.178115684482144</v>
      </c>
      <c r="AC81" s="8">
        <v>499.39558517338912</v>
      </c>
      <c r="AD81" s="8">
        <v>6.4856569503037544</v>
      </c>
      <c r="AE81" s="8">
        <v>7.1711128735060461</v>
      </c>
      <c r="AF81" s="8">
        <v>895.30552745224395</v>
      </c>
      <c r="AG81" s="8">
        <v>11.627344512366804</v>
      </c>
      <c r="AH81" s="8">
        <v>450.16309844565706</v>
      </c>
      <c r="AI81" s="8">
        <v>13.148264327625753</v>
      </c>
      <c r="AJ81" s="8">
        <v>47.029690100288121</v>
      </c>
      <c r="AK81" s="8">
        <v>-0.90441428892651632</v>
      </c>
      <c r="AL81" s="8">
        <v>-8.3984394571060417</v>
      </c>
      <c r="AM81" s="8">
        <v>22.522902063487649</v>
      </c>
      <c r="AN81" s="66"/>
      <c r="AO81" s="8">
        <v>5.01</v>
      </c>
      <c r="AP81" s="8">
        <v>20.448539236034687</v>
      </c>
      <c r="AQ81" s="8">
        <v>24.110431044727019</v>
      </c>
      <c r="AR81" s="8">
        <v>490.79834015905965</v>
      </c>
      <c r="AS81" s="8">
        <v>6.3740044176501254</v>
      </c>
      <c r="AT81" s="8">
        <v>7.2133500109771749</v>
      </c>
      <c r="AU81" s="8">
        <v>885.07505309348301</v>
      </c>
      <c r="AV81" s="8">
        <v>11.494481209006272</v>
      </c>
      <c r="AW81" s="8">
        <v>452.08579250886118</v>
      </c>
      <c r="AX81" s="8">
        <v>13.24514392809459</v>
      </c>
      <c r="AY81" s="8">
        <v>46.937822539256899</v>
      </c>
      <c r="AZ81" s="8">
        <v>-0.88363997420758078</v>
      </c>
      <c r="BA81" s="8">
        <v>-8.1979797693026892</v>
      </c>
      <c r="BB81" s="8">
        <v>22.525184512044408</v>
      </c>
      <c r="BC81" s="66"/>
      <c r="BD81" s="8">
        <v>4.9000000000000004</v>
      </c>
      <c r="BE81" s="8">
        <v>21.03013133350175</v>
      </c>
      <c r="BF81" s="8">
        <v>24.51991495807906</v>
      </c>
      <c r="BG81" s="8">
        <v>519.5806832804019</v>
      </c>
      <c r="BH81" s="8">
        <v>6.7478010815636607</v>
      </c>
      <c r="BI81" s="8">
        <v>7.1850997180250058</v>
      </c>
      <c r="BJ81" s="8">
        <v>933.30975523231393</v>
      </c>
      <c r="BK81" s="8">
        <v>12.120905912107974</v>
      </c>
      <c r="BL81" s="8">
        <v>447.23593366623408</v>
      </c>
      <c r="BM81" s="8">
        <v>12.380668293777161</v>
      </c>
      <c r="BN81" s="8">
        <v>45.243049115340725</v>
      </c>
      <c r="BO81" s="8">
        <v>-0.93913812561789423</v>
      </c>
      <c r="BP81" s="8">
        <v>-8.8027177519594648</v>
      </c>
      <c r="BQ81" s="8">
        <v>22.732489903050588</v>
      </c>
      <c r="BR81" s="66"/>
      <c r="BS81" s="14">
        <v>5.18</v>
      </c>
      <c r="BT81" s="14">
        <v>19.510171294805453</v>
      </c>
      <c r="BU81" s="14">
        <v>23.266801777646293</v>
      </c>
      <c r="BV81" s="14">
        <v>435.10975042000587</v>
      </c>
      <c r="BW81" s="14">
        <v>5.6507759794805956</v>
      </c>
      <c r="BX81" s="14">
        <v>7.2070405321839388</v>
      </c>
      <c r="BY81" s="14">
        <v>783.96340180635502</v>
      </c>
      <c r="BZ81" s="14">
        <v>10.181342880602013</v>
      </c>
      <c r="CA81" s="14">
        <v>429.71614846569315</v>
      </c>
      <c r="CB81" s="14">
        <v>13.700265254932841</v>
      </c>
      <c r="CC81" s="14">
        <v>46.845288334463618</v>
      </c>
      <c r="CD81" s="14">
        <v>-0.78406329952583886</v>
      </c>
      <c r="CE81" s="14">
        <v>-7.2465823604628214</v>
      </c>
      <c r="CF81" s="14">
        <v>22.070870060023257</v>
      </c>
      <c r="CG81" s="66"/>
      <c r="CH81" s="14">
        <v>5.14</v>
      </c>
      <c r="CI81" s="14">
        <v>19.817268298559231</v>
      </c>
      <c r="CJ81" s="14">
        <v>23.698596569519999</v>
      </c>
      <c r="CK81" s="14">
        <v>490.78375693166731</v>
      </c>
      <c r="CL81" s="14">
        <v>6.3738150250865884</v>
      </c>
      <c r="CM81" s="14">
        <v>6.9443450453318789</v>
      </c>
      <c r="CN81" s="14">
        <v>852.04293769444723</v>
      </c>
      <c r="CO81" s="14">
        <v>11.065492697330484</v>
      </c>
      <c r="CP81" s="14">
        <v>406.53124420590859</v>
      </c>
      <c r="CQ81" s="14">
        <v>12.85420559225399</v>
      </c>
      <c r="CR81" s="14">
        <v>49.422558872741966</v>
      </c>
      <c r="CS81" s="14">
        <v>-0.9178425011256014</v>
      </c>
      <c r="CT81" s="14">
        <v>-8.4648749078154157</v>
      </c>
      <c r="CU81" s="14">
        <v>21.992863090622993</v>
      </c>
      <c r="CV81" s="66"/>
      <c r="CW81" s="8">
        <f t="shared" si="10"/>
        <v>-5.7142857142857011</v>
      </c>
      <c r="CX81" s="8">
        <f t="shared" si="11"/>
        <v>5.5423396741625481</v>
      </c>
      <c r="CY81" s="8">
        <f t="shared" si="12"/>
        <v>3.3507492190978803</v>
      </c>
      <c r="CZ81" s="8">
        <f t="shared" si="13"/>
        <v>8.7073789899086869</v>
      </c>
      <c r="DA81" s="8">
        <f t="shared" si="14"/>
        <v>-3.0888030888030826</v>
      </c>
      <c r="DB81" s="8">
        <f t="shared" si="15"/>
        <v>5.0200000000000005</v>
      </c>
    </row>
    <row r="82" spans="1:106" ht="15.75" x14ac:dyDescent="0.25">
      <c r="A82" s="10">
        <v>81</v>
      </c>
      <c r="B82" s="3" t="s">
        <v>432</v>
      </c>
      <c r="C82" s="3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5"/>
      <c r="K82" s="8">
        <v>4.74</v>
      </c>
      <c r="L82" s="8">
        <v>19.282644862203732</v>
      </c>
      <c r="M82" s="8">
        <v>21.421599181019971</v>
      </c>
      <c r="N82" s="8">
        <v>313.8670830155948</v>
      </c>
      <c r="O82" s="8">
        <v>3.8276473538487172</v>
      </c>
      <c r="P82" s="8">
        <v>7.8899553579020978</v>
      </c>
      <c r="Q82" s="8">
        <v>619.09931832699863</v>
      </c>
      <c r="R82" s="8">
        <v>7.5499916869146171</v>
      </c>
      <c r="S82" s="8">
        <v>484.62358592148996</v>
      </c>
      <c r="T82" s="8">
        <v>12.335598200954566</v>
      </c>
      <c r="U82" s="8">
        <v>27.848753482330963</v>
      </c>
      <c r="V82" s="8">
        <v>-0.48512915222203129</v>
      </c>
      <c r="W82" s="8">
        <v>-4.7197439903109304</v>
      </c>
      <c r="X82" s="8">
        <v>21.185064511614058</v>
      </c>
      <c r="Y82" s="66"/>
      <c r="Z82" s="8">
        <v>4.88</v>
      </c>
      <c r="AA82" s="8">
        <v>19.840567488133612</v>
      </c>
      <c r="AB82" s="8">
        <v>23.000235605987477</v>
      </c>
      <c r="AC82" s="8">
        <v>420.89253051928972</v>
      </c>
      <c r="AD82" s="8">
        <v>5.1328357380401188</v>
      </c>
      <c r="AE82" s="8">
        <v>7.5458686397552963</v>
      </c>
      <c r="AF82" s="8">
        <v>793.99993668818934</v>
      </c>
      <c r="AG82" s="8">
        <v>9.6829260571730416</v>
      </c>
      <c r="AH82" s="8">
        <v>508.47640738247185</v>
      </c>
      <c r="AI82" s="8">
        <v>13.696533029303925</v>
      </c>
      <c r="AJ82" s="8">
        <v>39.417883703701101</v>
      </c>
      <c r="AK82" s="8">
        <v>-0.68021800843415814</v>
      </c>
      <c r="AL82" s="8">
        <v>-6.422227627787267</v>
      </c>
      <c r="AM82" s="8">
        <v>22.210497820195442</v>
      </c>
      <c r="AN82" s="66"/>
      <c r="AO82" s="8">
        <v>4.67</v>
      </c>
      <c r="AP82" s="8">
        <v>22.965771382896612</v>
      </c>
      <c r="AQ82" s="8">
        <v>27.140314573719078</v>
      </c>
      <c r="AR82" s="8">
        <v>586.69975586343105</v>
      </c>
      <c r="AS82" s="8">
        <v>7.1548750715052565</v>
      </c>
      <c r="AT82" s="8">
        <v>8.210834430032369</v>
      </c>
      <c r="AU82" s="8">
        <v>1204.3236388837613</v>
      </c>
      <c r="AV82" s="8">
        <v>14.686873644923919</v>
      </c>
      <c r="AW82" s="8">
        <v>657.20866701050522</v>
      </c>
      <c r="AX82" s="8">
        <v>15.496886642512989</v>
      </c>
      <c r="AY82" s="8">
        <v>49.777076488957903</v>
      </c>
      <c r="AZ82" s="8">
        <v>-0.8713943914561495</v>
      </c>
      <c r="BA82" s="8">
        <v>-7.9334968358455056</v>
      </c>
      <c r="BB82" s="8">
        <v>25.023482012147383</v>
      </c>
      <c r="BC82" s="66"/>
      <c r="BD82" s="8">
        <v>4.53</v>
      </c>
      <c r="BE82" s="8">
        <v>22.79320712016629</v>
      </c>
      <c r="BF82" s="8">
        <v>28.378309264174298</v>
      </c>
      <c r="BG82" s="8">
        <v>624.6716541748176</v>
      </c>
      <c r="BH82" s="8">
        <v>7.6179470021319222</v>
      </c>
      <c r="BI82" s="8">
        <v>7.7941157229218607</v>
      </c>
      <c r="BJ82" s="8">
        <v>1217.1907903668882</v>
      </c>
      <c r="BK82" s="8">
        <v>14.843790126425466</v>
      </c>
      <c r="BL82" s="8">
        <v>538.12630059380524</v>
      </c>
      <c r="BM82" s="8">
        <v>13.698423523910424</v>
      </c>
      <c r="BN82" s="8">
        <v>55.903227106521925</v>
      </c>
      <c r="BO82" s="8">
        <v>-0.97739721514887967</v>
      </c>
      <c r="BP82" s="8">
        <v>-8.8251898237529289</v>
      </c>
      <c r="BQ82" s="8">
        <v>24.56091092748736</v>
      </c>
      <c r="BR82" s="66"/>
      <c r="BS82" s="14">
        <v>4.74</v>
      </c>
      <c r="BT82" s="14">
        <v>22.645554042989996</v>
      </c>
      <c r="BU82" s="14">
        <v>26.078635700854655</v>
      </c>
      <c r="BV82" s="14">
        <v>598.09334985656028</v>
      </c>
      <c r="BW82" s="14">
        <v>7.2938213397141496</v>
      </c>
      <c r="BX82" s="14">
        <v>7.5571888482231548</v>
      </c>
      <c r="BY82" s="14">
        <v>1129.9760984331067</v>
      </c>
      <c r="BZ82" s="14">
        <v>13.780196322354961</v>
      </c>
      <c r="CA82" s="14">
        <v>516.25855642150918</v>
      </c>
      <c r="CB82" s="14">
        <v>12.033075151915773</v>
      </c>
      <c r="CC82" s="14">
        <v>43.837078341822</v>
      </c>
      <c r="CD82" s="14">
        <v>-0.96515006918598778</v>
      </c>
      <c r="CE82" s="14">
        <v>-9.1059181767824242</v>
      </c>
      <c r="CF82" s="14">
        <v>23.913493389755917</v>
      </c>
      <c r="CG82" s="66"/>
      <c r="CH82" s="14">
        <v>4.7300000000000004</v>
      </c>
      <c r="CI82" s="14">
        <v>21.781275034702468</v>
      </c>
      <c r="CJ82" s="14">
        <v>26.786813089818921</v>
      </c>
      <c r="CK82" s="14">
        <v>602.66005031481086</v>
      </c>
      <c r="CL82" s="14">
        <v>7.3495128087172059</v>
      </c>
      <c r="CM82" s="14">
        <v>7.491006689198243</v>
      </c>
      <c r="CN82" s="14">
        <v>1128.6326170551995</v>
      </c>
      <c r="CO82" s="14">
        <v>13.763812403112189</v>
      </c>
      <c r="CP82" s="14">
        <v>504.41692542008855</v>
      </c>
      <c r="CQ82" s="14">
        <v>13.578997378060105</v>
      </c>
      <c r="CR82" s="14">
        <v>54.794249823910079</v>
      </c>
      <c r="CS82" s="14">
        <v>-0.98111149991561675</v>
      </c>
      <c r="CT82" s="14">
        <v>-8.8846004118194095</v>
      </c>
      <c r="CU82" s="14">
        <v>23.70080981751903</v>
      </c>
      <c r="CV82" s="66"/>
      <c r="CW82" s="8">
        <f t="shared" si="10"/>
        <v>-7.7262693156732816</v>
      </c>
      <c r="CX82" s="8">
        <f t="shared" si="11"/>
        <v>32.621797754648753</v>
      </c>
      <c r="CY82" s="8">
        <f t="shared" si="12"/>
        <v>3.8889470531236627</v>
      </c>
      <c r="CZ82" s="8">
        <f t="shared" si="13"/>
        <v>34.767832375000118</v>
      </c>
      <c r="DA82" s="8">
        <f t="shared" si="14"/>
        <v>-3.3811475409836089</v>
      </c>
      <c r="DB82" s="8">
        <f t="shared" si="15"/>
        <v>4.7150000000000007</v>
      </c>
    </row>
    <row r="83" spans="1:106" ht="15.75" x14ac:dyDescent="0.25">
      <c r="A83" s="10">
        <v>82</v>
      </c>
      <c r="B83" s="3" t="s">
        <v>434</v>
      </c>
      <c r="C83" s="3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5"/>
      <c r="K83" s="8">
        <v>4.6399999999999997</v>
      </c>
      <c r="L83" s="8">
        <v>23.995925385180914</v>
      </c>
      <c r="M83" s="8">
        <v>26.506856921399947</v>
      </c>
      <c r="N83" s="8">
        <v>457.90289509389765</v>
      </c>
      <c r="O83" s="8">
        <v>4.820030474672607</v>
      </c>
      <c r="P83" s="8">
        <v>9.8099068594660324</v>
      </c>
      <c r="Q83" s="8">
        <v>1122.9961878877455</v>
      </c>
      <c r="R83" s="8">
        <v>11.821012504081532</v>
      </c>
      <c r="S83" s="8">
        <v>890.15133083033299</v>
      </c>
      <c r="T83" s="8">
        <v>15.392629128917047</v>
      </c>
      <c r="U83" s="8">
        <v>33.000787961621455</v>
      </c>
      <c r="V83" s="8">
        <v>-0.49134314359178016</v>
      </c>
      <c r="W83" s="8">
        <v>-4.6737281622981586</v>
      </c>
      <c r="X83" s="8">
        <v>25.950061059914578</v>
      </c>
      <c r="Y83" s="66"/>
      <c r="Z83" s="8">
        <v>4.74</v>
      </c>
      <c r="AA83" s="8">
        <v>23.060422026472359</v>
      </c>
      <c r="AB83" s="8">
        <v>27.470655384410879</v>
      </c>
      <c r="AC83" s="8">
        <v>664.38318191819405</v>
      </c>
      <c r="AD83" s="8">
        <v>6.9935071780862534</v>
      </c>
      <c r="AE83" s="8">
        <v>7.5980959226503053</v>
      </c>
      <c r="AF83" s="8">
        <v>1262.0117864025165</v>
      </c>
      <c r="AG83" s="8">
        <v>13.2843345937107</v>
      </c>
      <c r="AH83" s="8">
        <v>518.7753604492018</v>
      </c>
      <c r="AI83" s="8">
        <v>10.757646867164139</v>
      </c>
      <c r="AJ83" s="8">
        <v>46.684780427731226</v>
      </c>
      <c r="AK83" s="8">
        <v>-0.9204289139385905</v>
      </c>
      <c r="AL83" s="8">
        <v>-8.6783500676189114</v>
      </c>
      <c r="AM83" s="8">
        <v>24.075895830227662</v>
      </c>
      <c r="AN83" s="66"/>
      <c r="AO83" s="8">
        <v>4.7300000000000004</v>
      </c>
      <c r="AP83" s="8">
        <v>23.749761510461319</v>
      </c>
      <c r="AQ83" s="8">
        <v>26.328015082407862</v>
      </c>
      <c r="AR83" s="8">
        <v>489.36535959002333</v>
      </c>
      <c r="AS83" s="8">
        <v>5.1512143114739297</v>
      </c>
      <c r="AT83" s="8">
        <v>9.3788824705824094</v>
      </c>
      <c r="AU83" s="8">
        <v>1147.4250481922818</v>
      </c>
      <c r="AV83" s="8">
        <v>12.07815840202402</v>
      </c>
      <c r="AW83" s="8">
        <v>860.2878156432896</v>
      </c>
      <c r="AX83" s="8">
        <v>15.196411399350033</v>
      </c>
      <c r="AY83" s="8">
        <v>34.675501245609105</v>
      </c>
      <c r="AZ83" s="8">
        <v>-0.54923540492495881</v>
      </c>
      <c r="BA83" s="8">
        <v>-5.2079893609781811</v>
      </c>
      <c r="BB83" s="8">
        <v>25.654498710740658</v>
      </c>
      <c r="BC83" s="66"/>
      <c r="BD83" s="8">
        <v>4.76</v>
      </c>
      <c r="BE83" s="8">
        <v>22.243891607985315</v>
      </c>
      <c r="BF83" s="8">
        <v>26.762870759107475</v>
      </c>
      <c r="BG83" s="8">
        <v>698.9044270318733</v>
      </c>
      <c r="BH83" s="8">
        <v>7.3568887055986663</v>
      </c>
      <c r="BI83" s="8">
        <v>7.6666247732622583</v>
      </c>
      <c r="BJ83" s="8">
        <v>1339.5594986063061</v>
      </c>
      <c r="BK83" s="8">
        <v>14.100626301119011</v>
      </c>
      <c r="BL83" s="8">
        <v>626.05752927019944</v>
      </c>
      <c r="BM83" s="8">
        <v>13.794473710428743</v>
      </c>
      <c r="BN83" s="8">
        <v>52.38188461070812</v>
      </c>
      <c r="BO83" s="8">
        <v>-0.95959942258504538</v>
      </c>
      <c r="BP83" s="8">
        <v>-8.7460820335816845</v>
      </c>
      <c r="BQ83" s="8">
        <v>24.10428572887454</v>
      </c>
      <c r="BR83" s="66"/>
      <c r="BS83" s="14">
        <v>4.74</v>
      </c>
      <c r="BT83" s="14">
        <v>23.794313786406839</v>
      </c>
      <c r="BU83" s="14">
        <v>26.132213008304873</v>
      </c>
      <c r="BV83" s="14">
        <v>711.39751508216091</v>
      </c>
      <c r="BW83" s="14">
        <v>7.4883948956016937</v>
      </c>
      <c r="BX83" s="14">
        <v>8.0092337464681549</v>
      </c>
      <c r="BY83" s="14">
        <v>1424.4372462374079</v>
      </c>
      <c r="BZ83" s="14">
        <v>14.994076276183241</v>
      </c>
      <c r="CA83" s="14">
        <v>731.43778813000313</v>
      </c>
      <c r="CB83" s="14">
        <v>12.99104300268346</v>
      </c>
      <c r="CC83" s="14">
        <v>37.621626191623065</v>
      </c>
      <c r="CD83" s="14">
        <v>-0.93497020222488392</v>
      </c>
      <c r="CE83" s="14">
        <v>-8.9033180929011291</v>
      </c>
      <c r="CF83" s="14">
        <v>24.886430082573586</v>
      </c>
      <c r="CG83" s="66"/>
      <c r="CH83" s="14">
        <v>4.78</v>
      </c>
      <c r="CI83" s="14">
        <v>23.04856431719001</v>
      </c>
      <c r="CJ83" s="14">
        <v>27.379772927993859</v>
      </c>
      <c r="CK83" s="14">
        <v>659.79702748395687</v>
      </c>
      <c r="CL83" s="14">
        <v>6.9452318682521774</v>
      </c>
      <c r="CM83" s="14">
        <v>7.5760753361358129</v>
      </c>
      <c r="CN83" s="14">
        <v>1249.6679966942322</v>
      </c>
      <c r="CO83" s="14">
        <v>13.154399965202444</v>
      </c>
      <c r="CP83" s="14">
        <v>509.30432939434741</v>
      </c>
      <c r="CQ83" s="14">
        <v>10.556791974726055</v>
      </c>
      <c r="CR83" s="14">
        <v>46.215748639633574</v>
      </c>
      <c r="CS83" s="14">
        <v>-0.9167321548566596</v>
      </c>
      <c r="CT83" s="14">
        <v>-8.6606769444046048</v>
      </c>
      <c r="CU83" s="14">
        <v>24.015527930127519</v>
      </c>
      <c r="CV83" s="66"/>
      <c r="CW83" s="8">
        <f t="shared" si="10"/>
        <v>-3.0172413793103576</v>
      </c>
      <c r="CX83" s="8">
        <f t="shared" si="11"/>
        <v>5.595528950073879</v>
      </c>
      <c r="CY83" s="8">
        <f t="shared" si="12"/>
        <v>1.1810860685688078</v>
      </c>
      <c r="CZ83" s="8">
        <f t="shared" si="13"/>
        <v>6.7105270057506257</v>
      </c>
      <c r="DA83" s="8">
        <f t="shared" si="14"/>
        <v>-1.011157601115753</v>
      </c>
      <c r="DB83" s="8">
        <f t="shared" si="15"/>
        <v>4.7316666666666665</v>
      </c>
    </row>
    <row r="84" spans="1:106" ht="15.75" x14ac:dyDescent="0.25">
      <c r="A84" s="10">
        <v>83</v>
      </c>
      <c r="B84" s="3" t="s">
        <v>436</v>
      </c>
      <c r="C84" s="3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5"/>
      <c r="K84" s="8">
        <v>4.6100000000000003</v>
      </c>
      <c r="L84" s="8">
        <v>23.905884200396049</v>
      </c>
      <c r="M84" s="8">
        <v>25.567969477558652</v>
      </c>
      <c r="N84" s="8">
        <v>300.63517466181838</v>
      </c>
      <c r="O84" s="8">
        <v>3.5368844077860988</v>
      </c>
      <c r="P84" s="8">
        <v>10.847906125719536</v>
      </c>
      <c r="Q84" s="8">
        <v>815.31553820517559</v>
      </c>
      <c r="R84" s="8">
        <v>9.5919475082961831</v>
      </c>
      <c r="S84" s="8">
        <v>740.67464488349219</v>
      </c>
      <c r="T84" s="8">
        <v>13.791670043417483</v>
      </c>
      <c r="U84" s="8">
        <v>23.867605877132192</v>
      </c>
      <c r="V84" s="8">
        <v>-0.32604305077829004</v>
      </c>
      <c r="W84" s="8">
        <v>-3.1780822170208962</v>
      </c>
      <c r="X84" s="8">
        <v>25.41289451456862</v>
      </c>
      <c r="Y84" s="66"/>
      <c r="Z84" s="8">
        <v>4.7300000000000004</v>
      </c>
      <c r="AA84" s="8">
        <v>23.097036980728081</v>
      </c>
      <c r="AB84" s="8">
        <v>28.076118475212891</v>
      </c>
      <c r="AC84" s="8">
        <v>522.19058719993473</v>
      </c>
      <c r="AD84" s="8">
        <v>6.1434186729404088</v>
      </c>
      <c r="AE84" s="8">
        <v>7.5755609570517661</v>
      </c>
      <c r="AF84" s="8">
        <v>988.97165613294032</v>
      </c>
      <c r="AG84" s="8">
        <v>11.634960660387533</v>
      </c>
      <c r="AH84" s="8">
        <v>394.9843339609219</v>
      </c>
      <c r="AI84" s="8">
        <v>9.2696595925885212</v>
      </c>
      <c r="AJ84" s="8">
        <v>44.424257688680697</v>
      </c>
      <c r="AK84" s="8">
        <v>-0.81095231201615015</v>
      </c>
      <c r="AL84" s="8">
        <v>-7.7442536061940075</v>
      </c>
      <c r="AM84" s="8">
        <v>23.885849033253624</v>
      </c>
      <c r="AN84" s="66"/>
      <c r="AO84" s="8">
        <v>4.93</v>
      </c>
      <c r="AP84" s="8">
        <v>20.788122077740116</v>
      </c>
      <c r="AQ84" s="8">
        <v>23.267203323673492</v>
      </c>
      <c r="AR84" s="8">
        <v>335.55121487411606</v>
      </c>
      <c r="AS84" s="8">
        <v>3.947661351460189</v>
      </c>
      <c r="AT84" s="8">
        <v>8.7452140312563564</v>
      </c>
      <c r="AU84" s="8">
        <v>733.61679813055912</v>
      </c>
      <c r="AV84" s="8">
        <v>8.6307858603595182</v>
      </c>
      <c r="AW84" s="8">
        <v>582.9170137352653</v>
      </c>
      <c r="AX84" s="8">
        <v>13.413906995561387</v>
      </c>
      <c r="AY84" s="8">
        <v>30.690126987996969</v>
      </c>
      <c r="AZ84" s="8">
        <v>-0.45140820308694718</v>
      </c>
      <c r="BA84" s="8">
        <v>-4.3478090680027073</v>
      </c>
      <c r="BB84" s="8">
        <v>22.927983556579424</v>
      </c>
      <c r="BC84" s="66"/>
      <c r="BD84" s="8">
        <v>5.07</v>
      </c>
      <c r="BE84" s="8">
        <v>20.950789279904381</v>
      </c>
      <c r="BF84" s="8">
        <v>23.244267706331026</v>
      </c>
      <c r="BG84" s="8">
        <v>578.83932815815467</v>
      </c>
      <c r="BH84" s="8">
        <v>6.8098744489194667</v>
      </c>
      <c r="BI84" s="8">
        <v>6.7598067267271276</v>
      </c>
      <c r="BJ84" s="8">
        <v>978.21049604442635</v>
      </c>
      <c r="BK84" s="8">
        <v>11.508358776993251</v>
      </c>
      <c r="BL84" s="8">
        <v>402.02740263787979</v>
      </c>
      <c r="BM84" s="8">
        <v>9.4498938276714153</v>
      </c>
      <c r="BN84" s="8">
        <v>35.163096265700148</v>
      </c>
      <c r="BO84" s="8">
        <v>-1.0074066795422389</v>
      </c>
      <c r="BP84" s="8">
        <v>-9.7816832082421339</v>
      </c>
      <c r="BQ84" s="8">
        <v>21.907549081643587</v>
      </c>
      <c r="BR84" s="66"/>
      <c r="BS84" s="14">
        <v>4.96</v>
      </c>
      <c r="BT84" s="14">
        <v>21.085664712040554</v>
      </c>
      <c r="BU84" s="14">
        <v>23.392633424429025</v>
      </c>
      <c r="BV84" s="14">
        <v>379.14719257571682</v>
      </c>
      <c r="BW84" s="14">
        <v>4.4605552067731393</v>
      </c>
      <c r="BX84" s="14">
        <v>8.329539754796933</v>
      </c>
      <c r="BY84" s="14">
        <v>789.5304033697704</v>
      </c>
      <c r="BZ84" s="14">
        <v>9.2885929808208285</v>
      </c>
      <c r="CA84" s="14">
        <v>586.62033738253251</v>
      </c>
      <c r="CB84" s="14">
        <v>13.233617223158376</v>
      </c>
      <c r="CC84" s="14">
        <v>31.528055641093726</v>
      </c>
      <c r="CD84" s="14">
        <v>-0.53551040490614521</v>
      </c>
      <c r="CE84" s="14">
        <v>-5.1524238335107917</v>
      </c>
      <c r="CF84" s="14">
        <v>22.980570982262812</v>
      </c>
      <c r="CG84" s="66"/>
      <c r="CH84" s="14">
        <v>4.79</v>
      </c>
      <c r="CI84" s="14">
        <v>22.371500970449155</v>
      </c>
      <c r="CJ84" s="14">
        <v>28.032713913754968</v>
      </c>
      <c r="CK84" s="14">
        <v>550.24965139937729</v>
      </c>
      <c r="CL84" s="14">
        <v>6.473525310580909</v>
      </c>
      <c r="CM84" s="14">
        <v>7.4377792813028769</v>
      </c>
      <c r="CN84" s="14">
        <v>1023.1588641806047</v>
      </c>
      <c r="CO84" s="14">
        <v>12.037163108007114</v>
      </c>
      <c r="CP84" s="14">
        <v>403.13923694820505</v>
      </c>
      <c r="CQ84" s="14">
        <v>10.338856642077673</v>
      </c>
      <c r="CR84" s="14">
        <v>51.600697575576163</v>
      </c>
      <c r="CS84" s="14">
        <v>-0.87035727543758779</v>
      </c>
      <c r="CT84" s="14">
        <v>-8.1090378165257047</v>
      </c>
      <c r="CU84" s="14">
        <v>23.572132112834787</v>
      </c>
      <c r="CV84" s="66"/>
      <c r="CW84" s="8">
        <f t="shared" si="10"/>
        <v>-9.9783080260303674</v>
      </c>
      <c r="CX84" s="8">
        <f t="shared" si="11"/>
        <v>9.7866088571545617</v>
      </c>
      <c r="CY84" s="8">
        <f t="shared" si="12"/>
        <v>10.768235315502119</v>
      </c>
      <c r="CZ84" s="8">
        <f t="shared" si="13"/>
        <v>4.3930976615420478</v>
      </c>
      <c r="DA84" s="8">
        <f t="shared" si="14"/>
        <v>-4.3721236028928416</v>
      </c>
      <c r="DB84" s="8">
        <f t="shared" si="15"/>
        <v>4.8483333333333336</v>
      </c>
    </row>
    <row r="85" spans="1:106" ht="15.75" x14ac:dyDescent="0.25">
      <c r="A85" s="10">
        <v>84</v>
      </c>
      <c r="B85" s="3" t="s">
        <v>438</v>
      </c>
      <c r="C85" s="3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5"/>
      <c r="K85" s="8">
        <v>4.3099999999999996</v>
      </c>
      <c r="L85" s="8">
        <v>22.924480796347712</v>
      </c>
      <c r="M85" s="8">
        <v>31.935039341438511</v>
      </c>
      <c r="N85" s="8">
        <v>808.92950550870478</v>
      </c>
      <c r="O85" s="8">
        <v>9.4061570407988935</v>
      </c>
      <c r="P85" s="8">
        <v>8.3264777919590021</v>
      </c>
      <c r="Q85" s="8">
        <v>1683.883390719652</v>
      </c>
      <c r="R85" s="8">
        <v>19.580039426972697</v>
      </c>
      <c r="S85" s="8">
        <v>703.8268279738428</v>
      </c>
      <c r="T85" s="8">
        <v>19.500267229559416</v>
      </c>
      <c r="U85" s="8">
        <v>74.837676706760575</v>
      </c>
      <c r="V85" s="8">
        <v>-1.129668183332279</v>
      </c>
      <c r="W85" s="8">
        <v>-8.8343433717769582</v>
      </c>
      <c r="X85" s="8">
        <v>26.20239602526506</v>
      </c>
      <c r="Y85" s="66"/>
      <c r="Z85" s="8">
        <v>4.3899999999999997</v>
      </c>
      <c r="AA85" s="8">
        <v>23.671259924994683</v>
      </c>
      <c r="AB85" s="8">
        <v>30.0938532739486</v>
      </c>
      <c r="AC85" s="8">
        <v>590.76099002256728</v>
      </c>
      <c r="AD85" s="8">
        <v>6.8693138374717124</v>
      </c>
      <c r="AE85" s="8">
        <v>7.9294747186239523</v>
      </c>
      <c r="AF85" s="8">
        <v>1171.1060837833011</v>
      </c>
      <c r="AG85" s="8">
        <v>13.617512602131407</v>
      </c>
      <c r="AH85" s="8">
        <v>487.69603788605809</v>
      </c>
      <c r="AI85" s="8">
        <v>11.365174849338871</v>
      </c>
      <c r="AJ85" s="8">
        <v>52.334751804935728</v>
      </c>
      <c r="AK85" s="8">
        <v>-0.86630124708484924</v>
      </c>
      <c r="AL85" s="8">
        <v>-8.0290515660099722</v>
      </c>
      <c r="AM85" s="8">
        <v>24.932792663593062</v>
      </c>
      <c r="AN85" s="66"/>
      <c r="AO85" s="8">
        <v>4.6500000000000004</v>
      </c>
      <c r="AP85" s="8">
        <v>23.667465597597815</v>
      </c>
      <c r="AQ85" s="8">
        <v>28.035106359350259</v>
      </c>
      <c r="AR85" s="8">
        <v>593.25939280184252</v>
      </c>
      <c r="AS85" s="8">
        <v>6.898365032579564</v>
      </c>
      <c r="AT85" s="8">
        <v>8.8175830245192692</v>
      </c>
      <c r="AU85" s="8">
        <v>1307.7784877765339</v>
      </c>
      <c r="AV85" s="8">
        <v>15.20672660205272</v>
      </c>
      <c r="AW85" s="8">
        <v>784.50548002039568</v>
      </c>
      <c r="AX85" s="8">
        <v>17.007865816965435</v>
      </c>
      <c r="AY85" s="8">
        <v>50.244645369341193</v>
      </c>
      <c r="AZ85" s="8">
        <v>-0.78234194261591961</v>
      </c>
      <c r="BA85" s="8">
        <v>-7.04570478037484</v>
      </c>
      <c r="BB85" s="8">
        <v>26.065270772135804</v>
      </c>
      <c r="BC85" s="66"/>
      <c r="BD85" s="8">
        <v>4.4800000000000004</v>
      </c>
      <c r="BE85" s="8">
        <v>23.346527032672629</v>
      </c>
      <c r="BF85" s="8">
        <v>29.403521606240698</v>
      </c>
      <c r="BG85" s="8">
        <v>633.86624513171137</v>
      </c>
      <c r="BH85" s="8">
        <v>7.3705377340896669</v>
      </c>
      <c r="BI85" s="8">
        <v>7.8862038762977438</v>
      </c>
      <c r="BJ85" s="8">
        <v>1249.6996098529994</v>
      </c>
      <c r="BK85" s="8">
        <v>14.53139081224418</v>
      </c>
      <c r="BL85" s="8">
        <v>534.66479744086496</v>
      </c>
      <c r="BM85" s="8">
        <v>12.607857511803479</v>
      </c>
      <c r="BN85" s="8">
        <v>54.42442954799106</v>
      </c>
      <c r="BO85" s="8">
        <v>-0.93461161411792459</v>
      </c>
      <c r="BP85" s="8">
        <v>-8.5456096940826605</v>
      </c>
      <c r="BQ85" s="8">
        <v>24.830280476641764</v>
      </c>
      <c r="BR85" s="66"/>
      <c r="BS85" s="14">
        <v>4.59</v>
      </c>
      <c r="BT85" s="14">
        <v>23.710111059723417</v>
      </c>
      <c r="BU85" s="14">
        <v>27.763932880592417</v>
      </c>
      <c r="BV85" s="14">
        <v>606.33603777939732</v>
      </c>
      <c r="BW85" s="14">
        <v>7.05041904394648</v>
      </c>
      <c r="BX85" s="14">
        <v>8.6420207003977207</v>
      </c>
      <c r="BY85" s="14">
        <v>1309.9921474716716</v>
      </c>
      <c r="BZ85" s="14">
        <v>15.232466831065949</v>
      </c>
      <c r="CA85" s="14">
        <v>768.43651599333896</v>
      </c>
      <c r="CB85" s="14">
        <v>16.322372259792594</v>
      </c>
      <c r="CC85" s="14">
        <v>48.441679449840635</v>
      </c>
      <c r="CD85" s="14">
        <v>-0.8158299185307446</v>
      </c>
      <c r="CE85" s="14">
        <v>-7.4248319553253133</v>
      </c>
      <c r="CF85" s="14">
        <v>25.816858077370689</v>
      </c>
      <c r="CG85" s="66"/>
      <c r="CH85" s="14">
        <v>4.5599999999999996</v>
      </c>
      <c r="CI85" s="14">
        <v>22.841507890844476</v>
      </c>
      <c r="CJ85" s="14">
        <v>28.489772660127823</v>
      </c>
      <c r="CK85" s="14">
        <v>484.64464337941098</v>
      </c>
      <c r="CL85" s="14">
        <v>5.6354028299931507</v>
      </c>
      <c r="CM85" s="14">
        <v>7.516863534050783</v>
      </c>
      <c r="CN85" s="14">
        <v>910.75191169793516</v>
      </c>
      <c r="CO85" s="14">
        <v>10.590138508115524</v>
      </c>
      <c r="CP85" s="14">
        <v>364.00312126791016</v>
      </c>
      <c r="CQ85" s="14">
        <v>8.6752360780300268</v>
      </c>
      <c r="CR85" s="14">
        <v>43.51051198590681</v>
      </c>
      <c r="CS85" s="14">
        <v>-0.74970136207278937</v>
      </c>
      <c r="CT85" s="14">
        <v>-7.1956102648001039</v>
      </c>
      <c r="CU85" s="14">
        <v>23.747943260909366</v>
      </c>
      <c r="CV85" s="66"/>
      <c r="CW85" s="8">
        <f t="shared" si="10"/>
        <v>-7.888631090487257</v>
      </c>
      <c r="CX85" s="8">
        <f t="shared" si="11"/>
        <v>23.541496790272145</v>
      </c>
      <c r="CY85" s="8">
        <f t="shared" si="12"/>
        <v>5.2035122024422327</v>
      </c>
      <c r="CZ85" s="8">
        <f t="shared" si="13"/>
        <v>27.122333677845536</v>
      </c>
      <c r="DA85" s="8">
        <f t="shared" si="14"/>
        <v>-3.2974910394265255</v>
      </c>
      <c r="DB85" s="8">
        <f t="shared" si="15"/>
        <v>4.4966666666666661</v>
      </c>
    </row>
    <row r="86" spans="1:106" ht="15.75" x14ac:dyDescent="0.25">
      <c r="A86" s="10">
        <v>85</v>
      </c>
      <c r="B86" s="3" t="s">
        <v>440</v>
      </c>
      <c r="C86" s="3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5"/>
      <c r="K86" s="8">
        <v>4.5</v>
      </c>
      <c r="L86" s="8">
        <v>23.988913928074769</v>
      </c>
      <c r="M86" s="8">
        <v>29.571991626896196</v>
      </c>
      <c r="N86" s="8">
        <v>711.20049232137126</v>
      </c>
      <c r="O86" s="8">
        <v>8.0818237763792187</v>
      </c>
      <c r="P86" s="8">
        <v>8.2944233192413552</v>
      </c>
      <c r="Q86" s="8">
        <v>1474.7494870415785</v>
      </c>
      <c r="R86" s="8">
        <v>16.758516898199755</v>
      </c>
      <c r="S86" s="8">
        <v>690.26833742073245</v>
      </c>
      <c r="T86" s="8">
        <v>15.169721623260742</v>
      </c>
      <c r="U86" s="8">
        <v>57.021449696714157</v>
      </c>
      <c r="V86" s="8">
        <v>-0.97436837563270362</v>
      </c>
      <c r="W86" s="8">
        <v>-8.685420584781486</v>
      </c>
      <c r="X86" s="8">
        <v>25.733086025317835</v>
      </c>
      <c r="Y86" s="66"/>
      <c r="Z86" s="8">
        <v>4.47</v>
      </c>
      <c r="AA86" s="8">
        <v>23.156489892686825</v>
      </c>
      <c r="AB86" s="8">
        <v>30.968349269326971</v>
      </c>
      <c r="AC86" s="8">
        <v>562.76578771781681</v>
      </c>
      <c r="AD86" s="8">
        <v>6.3950657695206452</v>
      </c>
      <c r="AE86" s="8">
        <v>7.7985440810104283</v>
      </c>
      <c r="AF86" s="8">
        <v>1097.1884507004879</v>
      </c>
      <c r="AG86" s="8">
        <v>12.468050576141907</v>
      </c>
      <c r="AH86" s="8">
        <v>432.67856691612207</v>
      </c>
      <c r="AI86" s="8">
        <v>10.745820414994492</v>
      </c>
      <c r="AJ86" s="8">
        <v>56.540865375584758</v>
      </c>
      <c r="AK86" s="8">
        <v>-0.82003329122582336</v>
      </c>
      <c r="AL86" s="8">
        <v>-7.5118519852761247</v>
      </c>
      <c r="AM86" s="8">
        <v>24.48284494529463</v>
      </c>
      <c r="AN86" s="66"/>
      <c r="AO86" s="8">
        <v>4.91</v>
      </c>
      <c r="AP86" s="8">
        <v>21.396980355213568</v>
      </c>
      <c r="AQ86" s="8">
        <v>24.815911955736862</v>
      </c>
      <c r="AR86" s="8">
        <v>593.87988880600756</v>
      </c>
      <c r="AS86" s="8">
        <v>6.7486351000682676</v>
      </c>
      <c r="AT86" s="8">
        <v>7.3780050402522548</v>
      </c>
      <c r="AU86" s="8">
        <v>1095.412203228793</v>
      </c>
      <c r="AV86" s="8">
        <v>12.447865945781739</v>
      </c>
      <c r="AW86" s="8">
        <v>546.18895743252733</v>
      </c>
      <c r="AX86" s="8">
        <v>12.875134397568933</v>
      </c>
      <c r="AY86" s="8">
        <v>45.086018765120599</v>
      </c>
      <c r="AZ86" s="8">
        <v>-0.9146964610690389</v>
      </c>
      <c r="BA86" s="8">
        <v>-8.5526923364023482</v>
      </c>
      <c r="BB86" s="8">
        <v>23.106597616894845</v>
      </c>
      <c r="BC86" s="66"/>
      <c r="BD86" s="8">
        <v>4.7300000000000004</v>
      </c>
      <c r="BE86" s="8">
        <v>21.591894673809357</v>
      </c>
      <c r="BF86" s="8">
        <v>27.836959246430663</v>
      </c>
      <c r="BG86" s="8">
        <v>518.95536248536064</v>
      </c>
      <c r="BH86" s="8">
        <v>5.8972200282427343</v>
      </c>
      <c r="BI86" s="8">
        <v>7.1843396205863108</v>
      </c>
      <c r="BJ86" s="8">
        <v>932.08789300482681</v>
      </c>
      <c r="BK86" s="8">
        <v>10.591907875054851</v>
      </c>
      <c r="BL86" s="8">
        <v>356.91126031059076</v>
      </c>
      <c r="BM86" s="8">
        <v>9.4659772671362621</v>
      </c>
      <c r="BN86" s="8">
        <v>51.233684552431782</v>
      </c>
      <c r="BO86" s="8">
        <v>-0.82084371559281399</v>
      </c>
      <c r="BP86" s="8">
        <v>-7.6893939060086804</v>
      </c>
      <c r="BQ86" s="8">
        <v>22.914565931755948</v>
      </c>
      <c r="BR86" s="66"/>
      <c r="BS86" s="14">
        <v>4.96</v>
      </c>
      <c r="BT86" s="14">
        <v>20.198973335277032</v>
      </c>
      <c r="BU86" s="14">
        <v>25.521546343999976</v>
      </c>
      <c r="BV86" s="14">
        <v>628.84857177952756</v>
      </c>
      <c r="BW86" s="14">
        <v>7.1460064974946311</v>
      </c>
      <c r="BX86" s="14">
        <v>7.1286140574834906</v>
      </c>
      <c r="BY86" s="14">
        <v>1120.704692203989</v>
      </c>
      <c r="BZ86" s="14">
        <v>12.735280593227147</v>
      </c>
      <c r="CA86" s="14">
        <v>483.78325254096006</v>
      </c>
      <c r="CB86" s="14">
        <v>14.391756945914214</v>
      </c>
      <c r="CC86" s="14">
        <v>59.813630486616113</v>
      </c>
      <c r="CD86" s="14">
        <v>-1.002439806653985</v>
      </c>
      <c r="CE86" s="14">
        <v>-8.8336057443917877</v>
      </c>
      <c r="CF86" s="14">
        <v>22.794479953395214</v>
      </c>
      <c r="CG86" s="66"/>
      <c r="CH86" s="14">
        <v>4.87</v>
      </c>
      <c r="CI86" s="14">
        <v>20.688334499769944</v>
      </c>
      <c r="CJ86" s="14">
        <v>26.033360295491729</v>
      </c>
      <c r="CK86" s="14">
        <v>497.00747850457043</v>
      </c>
      <c r="CL86" s="14">
        <v>5.6478122557337551</v>
      </c>
      <c r="CM86" s="14">
        <v>6.8286620356179508</v>
      </c>
      <c r="CN86" s="14">
        <v>848.47402497059124</v>
      </c>
      <c r="CO86" s="14">
        <v>9.6417502837567195</v>
      </c>
      <c r="CP86" s="14">
        <v>320.01959730722712</v>
      </c>
      <c r="CQ86" s="14">
        <v>8.7628280005217771</v>
      </c>
      <c r="CR86" s="14">
        <v>47.592278765028439</v>
      </c>
      <c r="CS86" s="14">
        <v>-0.8270745024830719</v>
      </c>
      <c r="CT86" s="14">
        <v>-7.8467417467215625</v>
      </c>
      <c r="CU86" s="14">
        <v>22.00542527418904</v>
      </c>
      <c r="CV86" s="66"/>
      <c r="CW86" s="8">
        <f t="shared" si="10"/>
        <v>-10.961968680089491</v>
      </c>
      <c r="CX86" s="8">
        <f t="shared" si="11"/>
        <v>11.684844858802789</v>
      </c>
      <c r="CY86" s="8">
        <f t="shared" si="12"/>
        <v>12.436706586735269</v>
      </c>
      <c r="CZ86" s="8">
        <f t="shared" si="13"/>
        <v>22.668341575333532</v>
      </c>
      <c r="DA86" s="8">
        <f t="shared" si="14"/>
        <v>-4.4354838709677384</v>
      </c>
      <c r="DB86" s="8">
        <f t="shared" si="15"/>
        <v>4.74</v>
      </c>
    </row>
    <row r="87" spans="1:106" ht="15.75" x14ac:dyDescent="0.25">
      <c r="A87" s="10">
        <v>86</v>
      </c>
      <c r="B87" s="3" t="s">
        <v>442</v>
      </c>
      <c r="C87" s="3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5"/>
      <c r="K87" s="8">
        <v>4.34</v>
      </c>
      <c r="L87" s="8">
        <v>22.129766198781244</v>
      </c>
      <c r="M87" s="8">
        <v>27.151160428752586</v>
      </c>
      <c r="N87" s="8">
        <v>580.56020436620827</v>
      </c>
      <c r="O87" s="8">
        <v>7.3488633464076996</v>
      </c>
      <c r="P87" s="8">
        <v>7.9635419439253203</v>
      </c>
      <c r="Q87" s="8">
        <v>1155.8288846110388</v>
      </c>
      <c r="R87" s="8">
        <v>14.630745374823276</v>
      </c>
      <c r="S87" s="8">
        <v>614.99197663970688</v>
      </c>
      <c r="T87" s="8">
        <v>16.135875781231917</v>
      </c>
      <c r="U87" s="8">
        <v>53.333465674960735</v>
      </c>
      <c r="V87" s="8">
        <v>-0.92281341621029478</v>
      </c>
      <c r="W87" s="8">
        <v>-8.2945136461350515</v>
      </c>
      <c r="X87" s="8">
        <v>24.587773818793927</v>
      </c>
      <c r="Y87" s="66"/>
      <c r="Z87" s="8">
        <v>4.51</v>
      </c>
      <c r="AA87" s="8">
        <v>24.041155495757554</v>
      </c>
      <c r="AB87" s="8">
        <v>29.153457369561579</v>
      </c>
      <c r="AC87" s="8">
        <v>583.94432247936197</v>
      </c>
      <c r="AD87" s="8">
        <v>7.3917002845488859</v>
      </c>
      <c r="AE87" s="8">
        <v>8.0251097558344036</v>
      </c>
      <c r="AF87" s="8">
        <v>1171.5543197983097</v>
      </c>
      <c r="AG87" s="8">
        <v>14.8298015164343</v>
      </c>
      <c r="AH87" s="8">
        <v>506.24951629181857</v>
      </c>
      <c r="AI87" s="8">
        <v>12.078237803745376</v>
      </c>
      <c r="AJ87" s="8">
        <v>49.977367969143778</v>
      </c>
      <c r="AK87" s="8">
        <v>-0.92107155035169275</v>
      </c>
      <c r="AL87" s="8">
        <v>-8.5612506640003918</v>
      </c>
      <c r="AM87" s="8">
        <v>25.125616856152323</v>
      </c>
      <c r="AN87" s="66"/>
      <c r="AO87" s="8">
        <v>4.55</v>
      </c>
      <c r="AP87" s="8">
        <v>21.465558691109131</v>
      </c>
      <c r="AQ87" s="8">
        <v>25.602023833470248</v>
      </c>
      <c r="AR87" s="8">
        <v>556.97334021400161</v>
      </c>
      <c r="AS87" s="8">
        <v>7.0502954457468556</v>
      </c>
      <c r="AT87" s="8">
        <v>7.3719992353105273</v>
      </c>
      <c r="AU87" s="8">
        <v>1026.5017595364925</v>
      </c>
      <c r="AV87" s="8">
        <v>12.993693158689778</v>
      </c>
      <c r="AW87" s="8">
        <v>494.09237248169939</v>
      </c>
      <c r="AX87" s="8">
        <v>13.156352836033889</v>
      </c>
      <c r="AY87" s="8">
        <v>47.857164128156775</v>
      </c>
      <c r="AZ87" s="8">
        <v>-0.95636139135463183</v>
      </c>
      <c r="BA87" s="8">
        <v>-8.8845226258235801</v>
      </c>
      <c r="BB87" s="8">
        <v>23.319869897115939</v>
      </c>
      <c r="BC87" s="66"/>
      <c r="BD87" s="8">
        <v>4.7300000000000004</v>
      </c>
      <c r="BE87" s="8">
        <v>21.955889160467386</v>
      </c>
      <c r="BF87" s="8">
        <v>24.503435669462007</v>
      </c>
      <c r="BG87" s="8">
        <v>500.6643771726919</v>
      </c>
      <c r="BH87" s="8">
        <v>6.3375237616796447</v>
      </c>
      <c r="BI87" s="8">
        <v>7.7387583293926392</v>
      </c>
      <c r="BJ87" s="8">
        <v>968.63015476883686</v>
      </c>
      <c r="BK87" s="8">
        <v>12.261141199605531</v>
      </c>
      <c r="BL87" s="8">
        <v>564.33138205316857</v>
      </c>
      <c r="BM87" s="8">
        <v>13.331885421405319</v>
      </c>
      <c r="BN87" s="8">
        <v>37.377710425012758</v>
      </c>
      <c r="BO87" s="8">
        <v>-0.81893289490757792</v>
      </c>
      <c r="BP87" s="8">
        <v>-7.7896425440381378</v>
      </c>
      <c r="BQ87" s="8">
        <v>23.532078781794979</v>
      </c>
      <c r="BR87" s="66"/>
      <c r="BS87" s="14">
        <v>4.59</v>
      </c>
      <c r="BT87" s="14">
        <v>20.217116071705462</v>
      </c>
      <c r="BU87" s="14">
        <v>23.890831438977173</v>
      </c>
      <c r="BV87" s="14">
        <v>452.06375106930204</v>
      </c>
      <c r="BW87" s="14">
        <v>5.7223259629025574</v>
      </c>
      <c r="BX87" s="14">
        <v>7.6067286973613824</v>
      </c>
      <c r="BY87" s="14">
        <v>859.68157707392299</v>
      </c>
      <c r="BZ87" s="14">
        <v>10.882045279416747</v>
      </c>
      <c r="CA87" s="14">
        <v>528.91826701868047</v>
      </c>
      <c r="CB87" s="14">
        <v>14.722138320903625</v>
      </c>
      <c r="CC87" s="14">
        <v>43.363825201281067</v>
      </c>
      <c r="CD87" s="14">
        <v>-0.75227159933908427</v>
      </c>
      <c r="CE87" s="14">
        <v>-7.0082493445308067</v>
      </c>
      <c r="CF87" s="14">
        <v>22.745687611941435</v>
      </c>
      <c r="CG87" s="66"/>
      <c r="CH87" s="14">
        <v>4.8499999999999996</v>
      </c>
      <c r="CI87" s="14">
        <v>20.641440918777938</v>
      </c>
      <c r="CJ87" s="14">
        <v>24.002154430807558</v>
      </c>
      <c r="CK87" s="14">
        <v>458.65489080036821</v>
      </c>
      <c r="CL87" s="14">
        <v>5.8057581113970658</v>
      </c>
      <c r="CM87" s="14">
        <v>7.5958373586940668</v>
      </c>
      <c r="CN87" s="14">
        <v>870.96698857229615</v>
      </c>
      <c r="CO87" s="14">
        <v>11.024898589522737</v>
      </c>
      <c r="CP87" s="14">
        <v>518.27639110720349</v>
      </c>
      <c r="CQ87" s="14">
        <v>14.014828165906234</v>
      </c>
      <c r="CR87" s="14">
        <v>42.620064509540931</v>
      </c>
      <c r="CS87" s="14">
        <v>-0.76433417900291023</v>
      </c>
      <c r="CT87" s="14">
        <v>-7.1497718796854279</v>
      </c>
      <c r="CU87" s="14">
        <v>22.890248789069048</v>
      </c>
      <c r="CV87" s="66"/>
      <c r="CW87" s="8">
        <f t="shared" si="10"/>
        <v>-11.751152073732714</v>
      </c>
      <c r="CX87" s="8">
        <f t="shared" si="11"/>
        <v>21.455715357763726</v>
      </c>
      <c r="CY87" s="8">
        <f t="shared" si="12"/>
        <v>5.3491155909518593</v>
      </c>
      <c r="CZ87" s="8">
        <f t="shared" si="13"/>
        <v>25.65713993336318</v>
      </c>
      <c r="DA87" s="8">
        <f t="shared" si="14"/>
        <v>-5.2577319587628901</v>
      </c>
      <c r="DB87" s="8">
        <f t="shared" si="15"/>
        <v>4.5949999999999998</v>
      </c>
    </row>
    <row r="88" spans="1:106" ht="15.75" x14ac:dyDescent="0.25">
      <c r="A88" s="10">
        <v>87</v>
      </c>
      <c r="B88" s="3" t="s">
        <v>471</v>
      </c>
      <c r="C88" s="3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5"/>
      <c r="K88" s="8">
        <v>4.29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66"/>
      <c r="Z88" s="8">
        <v>4.2300000000000004</v>
      </c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66"/>
      <c r="AO88" s="8">
        <v>4.33</v>
      </c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66"/>
      <c r="BD88" s="8">
        <v>4.55</v>
      </c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66"/>
      <c r="BS88" s="14">
        <v>5.26</v>
      </c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66"/>
      <c r="CH88" s="14">
        <v>5.04</v>
      </c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66"/>
      <c r="CW88" s="8">
        <f t="shared" si="10"/>
        <v>-24.349881796690291</v>
      </c>
      <c r="CX88" s="8" t="s">
        <v>34</v>
      </c>
      <c r="CY88" s="8" t="s">
        <v>34</v>
      </c>
      <c r="CZ88" s="8" t="s">
        <v>34</v>
      </c>
      <c r="DA88" s="8">
        <f t="shared" si="14"/>
        <v>-12.230671736375154</v>
      </c>
      <c r="DB88" s="8">
        <f t="shared" si="15"/>
        <v>4.6166666666666663</v>
      </c>
    </row>
    <row r="89" spans="1:106" ht="15.75" x14ac:dyDescent="0.25">
      <c r="A89" s="10">
        <v>88</v>
      </c>
      <c r="B89" s="3" t="s">
        <v>472</v>
      </c>
      <c r="C89" s="6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5"/>
      <c r="K89" s="8">
        <v>5.09</v>
      </c>
      <c r="L89" s="8">
        <v>22.563939130928421</v>
      </c>
      <c r="M89" s="8">
        <v>25.540110157287824</v>
      </c>
      <c r="N89" s="8">
        <v>364.21440981389094</v>
      </c>
      <c r="O89" s="8">
        <v>5.781181108156999</v>
      </c>
      <c r="P89" s="8">
        <v>8.3861881391187101</v>
      </c>
      <c r="Q89" s="8">
        <v>763.59264091934335</v>
      </c>
      <c r="R89" s="8">
        <v>12.120518109830847</v>
      </c>
      <c r="S89" s="8">
        <v>486.34636846356233</v>
      </c>
      <c r="T89" s="8">
        <v>14.426629991355307</v>
      </c>
      <c r="U89" s="8">
        <v>40.479650745856731</v>
      </c>
      <c r="V89" s="8">
        <v>-0.68936935497425333</v>
      </c>
      <c r="W89" s="8">
        <v>-6.4612975676776676</v>
      </c>
      <c r="X89" s="8">
        <v>24.520790121353329</v>
      </c>
      <c r="Y89" s="66"/>
      <c r="Z89" s="8">
        <v>5.08</v>
      </c>
      <c r="AA89" s="8">
        <v>21.440878581751551</v>
      </c>
      <c r="AB89" s="8">
        <v>25.858459451583034</v>
      </c>
      <c r="AC89" s="8">
        <v>379.53432567658234</v>
      </c>
      <c r="AD89" s="8">
        <v>6.024354375818767</v>
      </c>
      <c r="AE89" s="8">
        <v>7.0159747524058211</v>
      </c>
      <c r="AF89" s="8">
        <v>665.70081165456747</v>
      </c>
      <c r="AG89" s="8">
        <v>10.5666795500725</v>
      </c>
      <c r="AH89" s="8">
        <v>254.75686900038701</v>
      </c>
      <c r="AI89" s="8">
        <v>8.9556324458668328</v>
      </c>
      <c r="AJ89" s="8">
        <v>45.339459490704584</v>
      </c>
      <c r="AK89" s="8">
        <v>-0.85866249358337277</v>
      </c>
      <c r="AL89" s="8">
        <v>-8.1807415948235924</v>
      </c>
      <c r="AM89" s="8">
        <v>22.441367446287877</v>
      </c>
      <c r="AN89" s="66"/>
      <c r="AO89" s="8">
        <v>5.31</v>
      </c>
      <c r="AP89" s="8">
        <v>21.458203518640289</v>
      </c>
      <c r="AQ89" s="8">
        <v>23.124181814527876</v>
      </c>
      <c r="AR89" s="8">
        <v>268.00094575047905</v>
      </c>
      <c r="AS89" s="8">
        <v>4.2539832658806196</v>
      </c>
      <c r="AT89" s="8">
        <v>8.306377187151293</v>
      </c>
      <c r="AU89" s="8">
        <v>556.52923547918761</v>
      </c>
      <c r="AV89" s="8">
        <v>8.8337973885585335</v>
      </c>
      <c r="AW89" s="8">
        <v>416.85158132064873</v>
      </c>
      <c r="AX89" s="8">
        <v>12.064974165681145</v>
      </c>
      <c r="AY89" s="8">
        <v>27.152060918726249</v>
      </c>
      <c r="AZ89" s="8">
        <v>-0.51213461296470919</v>
      </c>
      <c r="BA89" s="8">
        <v>-4.9864607558649316</v>
      </c>
      <c r="BB89" s="8">
        <v>22.875726460137908</v>
      </c>
      <c r="BC89" s="66"/>
      <c r="BD89" s="8">
        <v>5.43</v>
      </c>
      <c r="BE89" s="8">
        <v>19.616388536392687</v>
      </c>
      <c r="BF89" s="8">
        <v>23.643511822703399</v>
      </c>
      <c r="BG89" s="8">
        <v>362.08308463570205</v>
      </c>
      <c r="BH89" s="8">
        <v>5.7473505497730484</v>
      </c>
      <c r="BI89" s="8">
        <v>6.4120087553768617</v>
      </c>
      <c r="BJ89" s="8">
        <v>580.4199772144957</v>
      </c>
      <c r="BK89" s="8">
        <v>9.2130155113412009</v>
      </c>
      <c r="BL89" s="8">
        <v>211.13610221491874</v>
      </c>
      <c r="BM89" s="8">
        <v>8.4776611428470403</v>
      </c>
      <c r="BN89" s="8">
        <v>46.037605999603251</v>
      </c>
      <c r="BO89" s="8">
        <v>-0.896341656575803</v>
      </c>
      <c r="BP89" s="8">
        <v>-8.5306029000443324</v>
      </c>
      <c r="BQ89" s="8">
        <v>20.821713630737264</v>
      </c>
      <c r="BR89" s="66"/>
      <c r="BS89" s="14">
        <v>5.54</v>
      </c>
      <c r="BT89" s="14">
        <v>20.139340616807104</v>
      </c>
      <c r="BU89" s="14">
        <v>22.125833008042484</v>
      </c>
      <c r="BV89" s="14">
        <v>274.45794628884516</v>
      </c>
      <c r="BW89" s="14">
        <v>4.3564753379181775</v>
      </c>
      <c r="BX89" s="14">
        <v>7.6188764916462777</v>
      </c>
      <c r="BY89" s="14">
        <v>522.76529873139975</v>
      </c>
      <c r="BZ89" s="14">
        <v>8.2978618846253926</v>
      </c>
      <c r="CA89" s="14">
        <v>360.2128441782711</v>
      </c>
      <c r="CB89" s="14">
        <v>11.59590470141298</v>
      </c>
      <c r="CC89" s="14">
        <v>30.411169910065901</v>
      </c>
      <c r="CD89" s="14">
        <v>-0.57180023100451038</v>
      </c>
      <c r="CE89" s="14">
        <v>-5.5402478975691585</v>
      </c>
      <c r="CF89" s="14">
        <v>21.773356345302268</v>
      </c>
      <c r="CG89" s="66"/>
      <c r="CH89" s="14">
        <v>5.52</v>
      </c>
      <c r="CI89" s="14">
        <v>19.07292782207098</v>
      </c>
      <c r="CJ89" s="14">
        <v>22.587264917551611</v>
      </c>
      <c r="CK89" s="14">
        <v>358.74750080329653</v>
      </c>
      <c r="CL89" s="14">
        <v>5.6944047746555002</v>
      </c>
      <c r="CM89" s="14">
        <v>6.207128210107367</v>
      </c>
      <c r="CN89" s="14">
        <v>556.69793313541436</v>
      </c>
      <c r="CO89" s="14">
        <v>8.8364751291335608</v>
      </c>
      <c r="CP89" s="14">
        <v>203.260449762045</v>
      </c>
      <c r="CQ89" s="14">
        <v>8.2287881635733289</v>
      </c>
      <c r="CR89" s="14">
        <v>43.352446651448261</v>
      </c>
      <c r="CS89" s="14">
        <v>-0.91739764056798889</v>
      </c>
      <c r="CT89" s="14">
        <v>-8.7933606116454417</v>
      </c>
      <c r="CU89" s="14">
        <v>20.311335266833215</v>
      </c>
      <c r="CV89" s="66"/>
      <c r="CW89" s="8">
        <f t="shared" si="10"/>
        <v>-9.0551181102362204</v>
      </c>
      <c r="CX89" s="8">
        <f t="shared" si="11"/>
        <v>5.476928822242856</v>
      </c>
      <c r="CY89" s="8">
        <f t="shared" si="12"/>
        <v>11.528641006313423</v>
      </c>
      <c r="CZ89" s="8">
        <f t="shared" si="13"/>
        <v>16.374154366468584</v>
      </c>
      <c r="DA89" s="8">
        <f t="shared" si="14"/>
        <v>-3.8206979542719788</v>
      </c>
      <c r="DB89" s="8">
        <f t="shared" si="15"/>
        <v>5.3283333333333331</v>
      </c>
    </row>
    <row r="90" spans="1:106" ht="15.75" x14ac:dyDescent="0.25">
      <c r="A90" s="10">
        <v>89</v>
      </c>
      <c r="B90" s="3" t="s">
        <v>474</v>
      </c>
      <c r="C90" s="3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5"/>
      <c r="K90" s="8">
        <v>5.45</v>
      </c>
      <c r="L90" s="8">
        <v>19.670470311372277</v>
      </c>
      <c r="M90" s="8">
        <v>21.673239075320197</v>
      </c>
      <c r="N90" s="8">
        <v>342.32604969603631</v>
      </c>
      <c r="O90" s="8">
        <v>5.0342066131770045</v>
      </c>
      <c r="P90" s="8">
        <v>7.0257119706193025</v>
      </c>
      <c r="Q90" s="8">
        <v>601.27105630106519</v>
      </c>
      <c r="R90" s="8">
        <v>8.8422214161921353</v>
      </c>
      <c r="S90" s="8">
        <v>361.61634466640942</v>
      </c>
      <c r="T90" s="8">
        <v>11.188041156846356</v>
      </c>
      <c r="U90" s="8">
        <v>32.414559504435161</v>
      </c>
      <c r="V90" s="8">
        <v>-0.71654042098928383</v>
      </c>
      <c r="W90" s="8">
        <v>-6.9295780373703391</v>
      </c>
      <c r="X90" s="8">
        <v>21.190611447660473</v>
      </c>
      <c r="Y90" s="66"/>
      <c r="Z90" s="8">
        <v>5.55</v>
      </c>
      <c r="AA90" s="8">
        <v>15.222747411283432</v>
      </c>
      <c r="AB90" s="8">
        <v>16.115083546501094</v>
      </c>
      <c r="AC90" s="8">
        <v>301.00929749413154</v>
      </c>
      <c r="AD90" s="8">
        <v>4.4266073160901698</v>
      </c>
      <c r="AE90" s="8">
        <v>5.0511667028426315</v>
      </c>
      <c r="AF90" s="8">
        <v>380.11203518710232</v>
      </c>
      <c r="AG90" s="8">
        <v>5.5898828703985632</v>
      </c>
      <c r="AH90" s="8">
        <v>191.94539794069121</v>
      </c>
      <c r="AI90" s="8">
        <v>7.2930670738160766</v>
      </c>
      <c r="AJ90" s="8">
        <v>20.458322273468887</v>
      </c>
      <c r="AK90" s="8">
        <v>-0.87635344000803206</v>
      </c>
      <c r="AL90" s="8">
        <v>-8.7439019516836751</v>
      </c>
      <c r="AM90" s="8">
        <v>16.035240167455957</v>
      </c>
      <c r="AN90" s="66"/>
      <c r="AO90" s="8">
        <v>5.77</v>
      </c>
      <c r="AP90" s="8">
        <v>18.784311644223312</v>
      </c>
      <c r="AQ90" s="8">
        <v>20.999925410733479</v>
      </c>
      <c r="AR90" s="8">
        <v>308.63759692354819</v>
      </c>
      <c r="AS90" s="8">
        <v>4.5387881900521796</v>
      </c>
      <c r="AT90" s="8">
        <v>6.8719775266411531</v>
      </c>
      <c r="AU90" s="8">
        <v>530.23765748378844</v>
      </c>
      <c r="AV90" s="8">
        <v>7.7976126100557126</v>
      </c>
      <c r="AW90" s="8">
        <v>323.13160276842564</v>
      </c>
      <c r="AX90" s="8">
        <v>10.909142473155331</v>
      </c>
      <c r="AY90" s="8">
        <v>33.694596070616292</v>
      </c>
      <c r="AZ90" s="8">
        <v>-0.6604777405712241</v>
      </c>
      <c r="BA90" s="8">
        <v>-6.3715203472369932</v>
      </c>
      <c r="BB90" s="8">
        <v>20.542058163853621</v>
      </c>
      <c r="BC90" s="66"/>
      <c r="BD90" s="8">
        <v>5.92</v>
      </c>
      <c r="BE90" s="8">
        <v>17.878139308561842</v>
      </c>
      <c r="BF90" s="8">
        <v>19.855460749539951</v>
      </c>
      <c r="BG90" s="8">
        <v>379.11281627825747</v>
      </c>
      <c r="BH90" s="8">
        <v>5.5751884746802567</v>
      </c>
      <c r="BI90" s="8">
        <v>5.6658003068198335</v>
      </c>
      <c r="BJ90" s="8">
        <v>536.99437769717053</v>
      </c>
      <c r="BK90" s="8">
        <v>7.8969761426054488</v>
      </c>
      <c r="BL90" s="8">
        <v>190.20891141420836</v>
      </c>
      <c r="BM90" s="8">
        <v>6.8967904661589072</v>
      </c>
      <c r="BN90" s="8">
        <v>32.468102407835097</v>
      </c>
      <c r="BO90" s="8">
        <v>-0.9840072315943591</v>
      </c>
      <c r="BP90" s="8">
        <v>-9.6696884454146872</v>
      </c>
      <c r="BQ90" s="8">
        <v>18.801427451507326</v>
      </c>
      <c r="BR90" s="66"/>
      <c r="BS90" s="14">
        <v>6.25</v>
      </c>
      <c r="BT90" s="14">
        <v>16.72076023435703</v>
      </c>
      <c r="BU90" s="14">
        <v>18.122186762779712</v>
      </c>
      <c r="BV90" s="14">
        <v>246.74320630495046</v>
      </c>
      <c r="BW90" s="14">
        <v>3.6285765633080951</v>
      </c>
      <c r="BX90" s="14">
        <v>6.0601834954167817</v>
      </c>
      <c r="BY90" s="14">
        <v>373.82727661386969</v>
      </c>
      <c r="BZ90" s="14">
        <v>5.4974599502039663</v>
      </c>
      <c r="CA90" s="14">
        <v>236.03895947237598</v>
      </c>
      <c r="CB90" s="14">
        <v>8.5436504503698334</v>
      </c>
      <c r="CC90" s="14">
        <v>24.860685816814097</v>
      </c>
      <c r="CD90" s="14">
        <v>-0.59875688022521556</v>
      </c>
      <c r="CE90" s="14">
        <v>-5.9110882975137029</v>
      </c>
      <c r="CF90" s="14">
        <v>17.990995205783562</v>
      </c>
      <c r="CG90" s="66"/>
      <c r="CH90" s="14">
        <v>6.42</v>
      </c>
      <c r="CI90" s="14">
        <v>16.588439696807718</v>
      </c>
      <c r="CJ90" s="14">
        <v>18.698576302987124</v>
      </c>
      <c r="CK90" s="14">
        <v>351.13444850538292</v>
      </c>
      <c r="CL90" s="14">
        <v>5.1637418897850429</v>
      </c>
      <c r="CM90" s="14">
        <v>5.3084978183834606</v>
      </c>
      <c r="CN90" s="14">
        <v>465.99911346252622</v>
      </c>
      <c r="CO90" s="14">
        <v>6.8529281391547974</v>
      </c>
      <c r="CP90" s="14">
        <v>162.2521130108492</v>
      </c>
      <c r="CQ90" s="14">
        <v>6.798780088779468</v>
      </c>
      <c r="CR90" s="14">
        <v>35.81958971225982</v>
      </c>
      <c r="CS90" s="14">
        <v>-0.9727312822664963</v>
      </c>
      <c r="CT90" s="14">
        <v>-9.4956405994942372</v>
      </c>
      <c r="CU90" s="14">
        <v>17.722033449170262</v>
      </c>
      <c r="CV90" s="66"/>
      <c r="CW90" s="8">
        <f t="shared" si="10"/>
        <v>-17.798165137614674</v>
      </c>
      <c r="CX90" s="8">
        <f t="shared" si="11"/>
        <v>20.601656137839523</v>
      </c>
      <c r="CY90" s="8">
        <f t="shared" si="12"/>
        <v>10.848133903296544</v>
      </c>
      <c r="CZ90" s="8">
        <f t="shared" si="13"/>
        <v>29.214894797006522</v>
      </c>
      <c r="DA90" s="8">
        <f t="shared" si="14"/>
        <v>-8.2035306334371718</v>
      </c>
      <c r="DB90" s="8">
        <f t="shared" si="15"/>
        <v>5.8933333333333335</v>
      </c>
    </row>
    <row r="91" spans="1:106" ht="15.75" x14ac:dyDescent="0.25">
      <c r="A91" s="10">
        <v>90</v>
      </c>
      <c r="B91" s="3" t="s">
        <v>476</v>
      </c>
      <c r="C91" s="3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5"/>
      <c r="K91" s="8">
        <v>4.74</v>
      </c>
      <c r="L91" s="8">
        <v>21.899039389065837</v>
      </c>
      <c r="M91" s="8">
        <v>27.375434052651791</v>
      </c>
      <c r="N91" s="8">
        <v>506.20438220416486</v>
      </c>
      <c r="O91" s="8">
        <v>7.3362953942632592</v>
      </c>
      <c r="P91" s="8">
        <v>8.0209832627962072</v>
      </c>
      <c r="Q91" s="8">
        <v>1015.0642193034251</v>
      </c>
      <c r="R91" s="8">
        <v>14.711075642078626</v>
      </c>
      <c r="S91" s="8">
        <v>512.34029750082038</v>
      </c>
      <c r="T91" s="8">
        <v>16.794778758119914</v>
      </c>
      <c r="U91" s="8">
        <v>59.073145024229866</v>
      </c>
      <c r="V91" s="8">
        <v>-0.91463791332058453</v>
      </c>
      <c r="W91" s="8">
        <v>-7.9709746747402752</v>
      </c>
      <c r="X91" s="8">
        <v>24.687189020763352</v>
      </c>
      <c r="Y91" s="66"/>
      <c r="Z91" s="8">
        <v>4.8</v>
      </c>
      <c r="AA91" s="8">
        <v>21.985233925134743</v>
      </c>
      <c r="AB91" s="8">
        <v>27.859028467271724</v>
      </c>
      <c r="AC91" s="8">
        <v>439.51831587181704</v>
      </c>
      <c r="AD91" s="8">
        <v>6.3698306648089424</v>
      </c>
      <c r="AE91" s="8">
        <v>7.3306952461224855</v>
      </c>
      <c r="AF91" s="8">
        <v>805.49370718632258</v>
      </c>
      <c r="AG91" s="8">
        <v>11.673821843280038</v>
      </c>
      <c r="AH91" s="8">
        <v>315.34298274331701</v>
      </c>
      <c r="AI91" s="8">
        <v>10.301355866452868</v>
      </c>
      <c r="AJ91" s="8">
        <v>52.561015949573665</v>
      </c>
      <c r="AK91" s="8">
        <v>-0.86892585913705989</v>
      </c>
      <c r="AL91" s="8">
        <v>-8.0730506265772881</v>
      </c>
      <c r="AM91" s="8">
        <v>23.294021331322234</v>
      </c>
      <c r="AN91" s="66"/>
      <c r="AO91" s="8">
        <v>4.9000000000000004</v>
      </c>
      <c r="AP91" s="8">
        <v>22.034379617379347</v>
      </c>
      <c r="AQ91" s="8">
        <v>25.564771464766125</v>
      </c>
      <c r="AR91" s="8">
        <v>479.70708593618906</v>
      </c>
      <c r="AS91" s="8">
        <v>6.9522766077708562</v>
      </c>
      <c r="AT91" s="8">
        <v>7.6152578265590503</v>
      </c>
      <c r="AU91" s="8">
        <v>913.27328515784961</v>
      </c>
      <c r="AV91" s="8">
        <v>13.235844712432604</v>
      </c>
      <c r="AW91" s="8">
        <v>460.4486079385735</v>
      </c>
      <c r="AX91" s="8">
        <v>13.364370283277106</v>
      </c>
      <c r="AY91" s="8">
        <v>46.114628789384</v>
      </c>
      <c r="AZ91" s="8">
        <v>-0.91294041070074183</v>
      </c>
      <c r="BA91" s="8">
        <v>-8.4927975628514627</v>
      </c>
      <c r="BB91" s="8">
        <v>23.711351375696314</v>
      </c>
      <c r="BC91" s="66"/>
      <c r="BD91" s="8">
        <v>4.95</v>
      </c>
      <c r="BE91" s="8">
        <v>21.153366568882799</v>
      </c>
      <c r="BF91" s="8">
        <v>25.563546158173619</v>
      </c>
      <c r="BG91" s="8">
        <v>449.11327523160662</v>
      </c>
      <c r="BH91" s="8">
        <v>6.5088880468348789</v>
      </c>
      <c r="BI91" s="8">
        <v>7.0081803973556163</v>
      </c>
      <c r="BJ91" s="8">
        <v>786.8667129175808</v>
      </c>
      <c r="BK91" s="8">
        <v>11.40386540460262</v>
      </c>
      <c r="BL91" s="8">
        <v>315.54570520894106</v>
      </c>
      <c r="BM91" s="8">
        <v>10.281977811551155</v>
      </c>
      <c r="BN91" s="8">
        <v>48.030562834100031</v>
      </c>
      <c r="BO91" s="8">
        <v>-0.92875577935905662</v>
      </c>
      <c r="BP91" s="8">
        <v>-8.7361028973694381</v>
      </c>
      <c r="BQ91" s="8">
        <v>22.474193089329162</v>
      </c>
      <c r="BR91" s="66"/>
      <c r="BS91" s="14">
        <v>5.04</v>
      </c>
      <c r="BT91" s="14">
        <v>21.826994440837257</v>
      </c>
      <c r="BU91" s="14">
        <v>25.034908657827039</v>
      </c>
      <c r="BV91" s="14">
        <v>437.15428774807566</v>
      </c>
      <c r="BW91" s="14">
        <v>6.3355693876532708</v>
      </c>
      <c r="BX91" s="14">
        <v>7.7834421577340276</v>
      </c>
      <c r="BY91" s="14">
        <v>850.64127817314102</v>
      </c>
      <c r="BZ91" s="14">
        <v>12.328134466277406</v>
      </c>
      <c r="CA91" s="14">
        <v>476.86613382718127</v>
      </c>
      <c r="CB91" s="14">
        <v>13.773359426289304</v>
      </c>
      <c r="CC91" s="14">
        <v>43.537385624022285</v>
      </c>
      <c r="CD91" s="14">
        <v>-0.81398040343345068</v>
      </c>
      <c r="CE91" s="14">
        <v>-7.5984562125998254</v>
      </c>
      <c r="CF91" s="14">
        <v>23.690868757206587</v>
      </c>
      <c r="CG91" s="66"/>
      <c r="CH91" s="14">
        <v>5.07</v>
      </c>
      <c r="CI91" s="14">
        <v>20.766121680055885</v>
      </c>
      <c r="CJ91" s="14">
        <v>24.681857824222984</v>
      </c>
      <c r="CK91" s="14">
        <v>466.78752458721505</v>
      </c>
      <c r="CL91" s="14">
        <v>6.7650365882205081</v>
      </c>
      <c r="CM91" s="14">
        <v>6.9998267235882716</v>
      </c>
      <c r="CN91" s="14">
        <v>816.85794721080129</v>
      </c>
      <c r="CO91" s="14">
        <v>11.838520974069583</v>
      </c>
      <c r="CP91" s="14">
        <v>353.60084588476769</v>
      </c>
      <c r="CQ91" s="14">
        <v>11.610923967014786</v>
      </c>
      <c r="CR91" s="14">
        <v>48.612557965368595</v>
      </c>
      <c r="CS91" s="14">
        <v>-0.96645772179237555</v>
      </c>
      <c r="CT91" s="14">
        <v>-9.0055767801958133</v>
      </c>
      <c r="CU91" s="14">
        <v>22.380138027502692</v>
      </c>
      <c r="CV91" s="66"/>
      <c r="CW91" s="8">
        <f t="shared" si="10"/>
        <v>-6.9620253164556969</v>
      </c>
      <c r="CX91" s="8">
        <f t="shared" si="11"/>
        <v>5.8418889278398067</v>
      </c>
      <c r="CY91" s="8">
        <f t="shared" si="12"/>
        <v>4.5134671600108351</v>
      </c>
      <c r="CZ91" s="8">
        <f t="shared" si="13"/>
        <v>3.6715360847778893</v>
      </c>
      <c r="DA91" s="8">
        <f t="shared" si="14"/>
        <v>-3.0243261012491862</v>
      </c>
      <c r="DB91" s="8">
        <f t="shared" si="15"/>
        <v>4.916666666666667</v>
      </c>
    </row>
    <row r="92" spans="1:106" ht="15.75" x14ac:dyDescent="0.25">
      <c r="A92" s="10">
        <v>91</v>
      </c>
      <c r="B92" s="3" t="s">
        <v>478</v>
      </c>
      <c r="C92" s="3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5"/>
      <c r="K92" s="8">
        <v>5.42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66"/>
      <c r="Z92" s="8">
        <v>5.61</v>
      </c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66"/>
      <c r="AO92" s="8">
        <v>5.96</v>
      </c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66"/>
      <c r="BD92" s="8">
        <v>6.14</v>
      </c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66"/>
      <c r="BS92" s="14">
        <v>6.34</v>
      </c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66"/>
      <c r="CH92" s="14">
        <v>6.15</v>
      </c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66"/>
      <c r="CW92" s="8">
        <f t="shared" si="10"/>
        <v>-16.974169741697416</v>
      </c>
      <c r="CX92" s="8" t="s">
        <v>34</v>
      </c>
      <c r="CY92" s="8" t="s">
        <v>34</v>
      </c>
      <c r="CZ92" s="8" t="s">
        <v>34</v>
      </c>
      <c r="DA92" s="8">
        <f t="shared" si="14"/>
        <v>-6.3617245005257672</v>
      </c>
      <c r="DB92" s="8">
        <f t="shared" si="15"/>
        <v>5.9366666666666674</v>
      </c>
    </row>
    <row r="93" spans="1:106" ht="15.75" x14ac:dyDescent="0.25">
      <c r="A93" s="10">
        <v>92</v>
      </c>
      <c r="B93" s="3" t="s">
        <v>480</v>
      </c>
      <c r="C93" s="3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5"/>
      <c r="K93" s="8">
        <v>4.4000000000000004</v>
      </c>
      <c r="L93" s="8">
        <v>24.93534477117305</v>
      </c>
      <c r="M93" s="8">
        <v>28.345661679882028</v>
      </c>
      <c r="N93" s="8">
        <v>448.24242658053043</v>
      </c>
      <c r="O93" s="8">
        <v>5.5134369813103374</v>
      </c>
      <c r="P93" s="8">
        <v>10.256751929466292</v>
      </c>
      <c r="Q93" s="8">
        <v>1149.3778434246271</v>
      </c>
      <c r="R93" s="8">
        <v>14.137488849011405</v>
      </c>
      <c r="S93" s="8">
        <v>887.54076349762749</v>
      </c>
      <c r="T93" s="8">
        <v>17.662093140133361</v>
      </c>
      <c r="U93" s="8">
        <v>39.519908393701769</v>
      </c>
      <c r="V93" s="8">
        <v>-0.53754219846840234</v>
      </c>
      <c r="W93" s="8">
        <v>-4.9840136929287491</v>
      </c>
      <c r="X93" s="8">
        <v>27.345541038840238</v>
      </c>
      <c r="Y93" s="66"/>
      <c r="Z93" s="8">
        <v>4.29</v>
      </c>
      <c r="AA93" s="8">
        <v>24.359050993547804</v>
      </c>
      <c r="AB93" s="8">
        <v>30.252992658353094</v>
      </c>
      <c r="AC93" s="8">
        <v>655.98888267381312</v>
      </c>
      <c r="AD93" s="8">
        <v>8.0687439443273448</v>
      </c>
      <c r="AE93" s="8">
        <v>8.3446007567749696</v>
      </c>
      <c r="AF93" s="8">
        <v>1368.4913316989669</v>
      </c>
      <c r="AG93" s="8">
        <v>16.832611706014355</v>
      </c>
      <c r="AH93" s="8">
        <v>631.34371286444014</v>
      </c>
      <c r="AI93" s="8">
        <v>14.621532085413868</v>
      </c>
      <c r="AJ93" s="8">
        <v>55.841818909506813</v>
      </c>
      <c r="AK93" s="8">
        <v>-0.96694188008651527</v>
      </c>
      <c r="AL93" s="8">
        <v>-8.7028581838933849</v>
      </c>
      <c r="AM93" s="8">
        <v>25.919725167498751</v>
      </c>
      <c r="AN93" s="66"/>
      <c r="AO93" s="8">
        <v>4.57</v>
      </c>
      <c r="AP93" s="8">
        <v>23.212514006576495</v>
      </c>
      <c r="AQ93" s="8">
        <v>27.009272038253854</v>
      </c>
      <c r="AR93" s="8">
        <v>456.22091926121294</v>
      </c>
      <c r="AS93" s="8">
        <v>5.6115734226471456</v>
      </c>
      <c r="AT93" s="8">
        <v>9.3101350680536576</v>
      </c>
      <c r="AU93" s="8">
        <v>1061.8695947983738</v>
      </c>
      <c r="AV93" s="8">
        <v>13.061126627286271</v>
      </c>
      <c r="AW93" s="8">
        <v>754.58214834343244</v>
      </c>
      <c r="AX93" s="8">
        <v>16.948005819944445</v>
      </c>
      <c r="AY93" s="8">
        <v>42.874176652960436</v>
      </c>
      <c r="AZ93" s="8">
        <v>-0.60273813232875895</v>
      </c>
      <c r="BA93" s="8">
        <v>-5.5543359509797554</v>
      </c>
      <c r="BB93" s="8">
        <v>25.834307892878513</v>
      </c>
      <c r="BC93" s="66"/>
      <c r="BD93" s="8">
        <v>4.55</v>
      </c>
      <c r="BE93" s="8">
        <v>23.132209899478397</v>
      </c>
      <c r="BF93" s="8">
        <v>27.630015623337432</v>
      </c>
      <c r="BG93" s="8">
        <v>614.0853805709977</v>
      </c>
      <c r="BH93" s="8">
        <v>7.5533257142804144</v>
      </c>
      <c r="BI93" s="8">
        <v>7.846647470211682</v>
      </c>
      <c r="BJ93" s="8">
        <v>1204.6278744878493</v>
      </c>
      <c r="BK93" s="8">
        <v>14.817071026910817</v>
      </c>
      <c r="BL93" s="8">
        <v>556.73838953197355</v>
      </c>
      <c r="BM93" s="8">
        <v>13.298079702854597</v>
      </c>
      <c r="BN93" s="8">
        <v>49.957503451361347</v>
      </c>
      <c r="BO93" s="8">
        <v>-0.96261820643213469</v>
      </c>
      <c r="BP93" s="8">
        <v>-8.8833440115624054</v>
      </c>
      <c r="BQ93" s="8">
        <v>24.629850256570581</v>
      </c>
      <c r="BR93" s="66"/>
      <c r="BS93" s="14">
        <v>4.8899999999999997</v>
      </c>
      <c r="BT93" s="14">
        <v>21.282023902932757</v>
      </c>
      <c r="BU93" s="14">
        <v>24.439168649407737</v>
      </c>
      <c r="BV93" s="14">
        <v>513.50919977037245</v>
      </c>
      <c r="BW93" s="14">
        <v>6.3162263194387753</v>
      </c>
      <c r="BX93" s="14">
        <v>7.5298825612934461</v>
      </c>
      <c r="BY93" s="14">
        <v>966.66599210366996</v>
      </c>
      <c r="BZ93" s="14">
        <v>11.890110603981181</v>
      </c>
      <c r="CA93" s="14">
        <v>532.82909713369111</v>
      </c>
      <c r="CB93" s="14">
        <v>13.374084796036284</v>
      </c>
      <c r="CC93" s="14">
        <v>42.481253541280559</v>
      </c>
      <c r="CD93" s="14">
        <v>-0.83882135850387096</v>
      </c>
      <c r="CE93" s="14">
        <v>-7.874474626322856</v>
      </c>
      <c r="CF93" s="14">
        <v>23.146683232133121</v>
      </c>
      <c r="CG93" s="66"/>
      <c r="CH93" s="14">
        <v>4.8600000000000003</v>
      </c>
      <c r="CI93" s="14">
        <v>21.230364540289468</v>
      </c>
      <c r="CJ93" s="14">
        <v>24.572557480596885</v>
      </c>
      <c r="CK93" s="14">
        <v>548.05993790721857</v>
      </c>
      <c r="CL93" s="14">
        <v>6.7412046483052714</v>
      </c>
      <c r="CM93" s="14">
        <v>7.2772024874448604</v>
      </c>
      <c r="CN93" s="14">
        <v>997.0857858518217</v>
      </c>
      <c r="CO93" s="14">
        <v>12.264277808755494</v>
      </c>
      <c r="CP93" s="14">
        <v>491.64598580917686</v>
      </c>
      <c r="CQ93" s="14">
        <v>12.567231237951091</v>
      </c>
      <c r="CR93" s="14">
        <v>44.066824473356995</v>
      </c>
      <c r="CS93" s="14">
        <v>-0.92634561975369911</v>
      </c>
      <c r="CT93" s="14">
        <v>-8.7020093288915827</v>
      </c>
      <c r="CU93" s="14">
        <v>22.900855744841898</v>
      </c>
      <c r="CV93" s="66"/>
      <c r="CW93" s="8">
        <f t="shared" si="10"/>
        <v>-13.98601398601398</v>
      </c>
      <c r="CX93" s="8">
        <f t="shared" si="11"/>
        <v>16.452861872700613</v>
      </c>
      <c r="CY93" s="8">
        <f t="shared" si="12"/>
        <v>12.791483983981978</v>
      </c>
      <c r="CZ93" s="8">
        <f t="shared" si="13"/>
        <v>27.139780665329418</v>
      </c>
      <c r="DA93" s="8">
        <f t="shared" si="14"/>
        <v>-6.0668029993183215</v>
      </c>
      <c r="DB93" s="8">
        <f t="shared" si="15"/>
        <v>4.5933333333333337</v>
      </c>
    </row>
    <row r="94" spans="1:106" ht="15.75" x14ac:dyDescent="0.25">
      <c r="A94" s="10">
        <v>93</v>
      </c>
      <c r="B94" s="3" t="s">
        <v>482</v>
      </c>
      <c r="C94" s="3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5"/>
      <c r="K94" s="8">
        <v>5.53</v>
      </c>
      <c r="L94" s="8">
        <v>18.51369351031083</v>
      </c>
      <c r="M94" s="8">
        <v>21.968212751527446</v>
      </c>
      <c r="N94" s="8">
        <v>505.34357274664131</v>
      </c>
      <c r="O94" s="8">
        <v>5.9243091763967328</v>
      </c>
      <c r="P94" s="8">
        <v>6.3902325339376178</v>
      </c>
      <c r="Q94" s="8">
        <v>807.3157348454647</v>
      </c>
      <c r="R94" s="8">
        <v>9.4644283100288948</v>
      </c>
      <c r="S94" s="8">
        <v>357.39410009564955</v>
      </c>
      <c r="T94" s="8">
        <v>11.297351267823922</v>
      </c>
      <c r="U94" s="8">
        <v>47.67426881467523</v>
      </c>
      <c r="V94" s="8">
        <v>-0.92708819983209811</v>
      </c>
      <c r="W94" s="8">
        <v>-8.6456539599639619</v>
      </c>
      <c r="X94" s="8">
        <v>20.559291842882317</v>
      </c>
      <c r="Y94" s="66"/>
      <c r="Z94" s="8">
        <v>5.44</v>
      </c>
      <c r="AA94" s="8">
        <v>19.477496657961616</v>
      </c>
      <c r="AB94" s="8">
        <v>22.674937747799358</v>
      </c>
      <c r="AC94" s="8">
        <v>425.65132786177907</v>
      </c>
      <c r="AD94" s="8">
        <v>4.9900507369493443</v>
      </c>
      <c r="AE94" s="8">
        <v>6.2084815096363766</v>
      </c>
      <c r="AF94" s="8">
        <v>660.6620996455066</v>
      </c>
      <c r="AG94" s="8">
        <v>7.7451594331243445</v>
      </c>
      <c r="AH94" s="8">
        <v>230.01879651005274</v>
      </c>
      <c r="AI94" s="8">
        <v>6.4108557892470115</v>
      </c>
      <c r="AJ94" s="8">
        <v>34.995164496955361</v>
      </c>
      <c r="AK94" s="8">
        <v>-0.8037473783571929</v>
      </c>
      <c r="AL94" s="8">
        <v>-7.8902852785148676</v>
      </c>
      <c r="AM94" s="8">
        <v>20.317260222186245</v>
      </c>
      <c r="AN94" s="66"/>
      <c r="AO94" s="8">
        <v>6.14</v>
      </c>
      <c r="AP94" s="8">
        <v>16.640677625627568</v>
      </c>
      <c r="AQ94" s="8">
        <v>18.105099289925359</v>
      </c>
      <c r="AR94" s="8">
        <v>398.88144834886862</v>
      </c>
      <c r="AS94" s="8">
        <v>4.6762186207370293</v>
      </c>
      <c r="AT94" s="8">
        <v>5.5776669123201463</v>
      </c>
      <c r="AU94" s="8">
        <v>556.2069640984555</v>
      </c>
      <c r="AV94" s="8">
        <v>6.5205974689150707</v>
      </c>
      <c r="AW94" s="8">
        <v>270.82050173822711</v>
      </c>
      <c r="AX94" s="8">
        <v>8.0507640200920161</v>
      </c>
      <c r="AY94" s="8">
        <v>28.236625442622309</v>
      </c>
      <c r="AZ94" s="8">
        <v>-0.83838255210400536</v>
      </c>
      <c r="BA94" s="8">
        <v>-8.2489498148135549</v>
      </c>
      <c r="BB94" s="8">
        <v>17.815502963156479</v>
      </c>
      <c r="BC94" s="66"/>
      <c r="BD94" s="8">
        <v>6.18</v>
      </c>
      <c r="BE94" s="8">
        <v>17.028120580928075</v>
      </c>
      <c r="BF94" s="8">
        <v>19.173584946021048</v>
      </c>
      <c r="BG94" s="8">
        <v>446.58662133333979</v>
      </c>
      <c r="BH94" s="8">
        <v>5.235482078937161</v>
      </c>
      <c r="BI94" s="8">
        <v>5.4136725531146572</v>
      </c>
      <c r="BJ94" s="8">
        <v>604.41843362512759</v>
      </c>
      <c r="BK94" s="8">
        <v>7.0857964082664431</v>
      </c>
      <c r="BL94" s="8">
        <v>206.42864388805776</v>
      </c>
      <c r="BM94" s="8">
        <v>6.6053072544861893</v>
      </c>
      <c r="BN94" s="8">
        <v>34.635386436283355</v>
      </c>
      <c r="BO94" s="8">
        <v>-0.96708510305541473</v>
      </c>
      <c r="BP94" s="8">
        <v>-9.4728142088395746</v>
      </c>
      <c r="BQ94" s="8">
        <v>18.086249448759624</v>
      </c>
      <c r="BR94" s="66"/>
      <c r="BS94" s="14">
        <v>6.61</v>
      </c>
      <c r="BT94" s="14">
        <v>14.911963613720786</v>
      </c>
      <c r="BU94" s="14">
        <v>16.151911908525271</v>
      </c>
      <c r="BV94" s="14">
        <v>285.31243710110851</v>
      </c>
      <c r="BW94" s="14">
        <v>3.3448116893447657</v>
      </c>
      <c r="BX94" s="14">
        <v>5.2638128970902027</v>
      </c>
      <c r="BY94" s="14">
        <v>375.45782152826308</v>
      </c>
      <c r="BZ94" s="14">
        <v>4.4016157271777621</v>
      </c>
      <c r="CA94" s="14">
        <v>218.14604795517107</v>
      </c>
      <c r="CB94" s="14">
        <v>7.1966443540095772</v>
      </c>
      <c r="CC94" s="14">
        <v>23.171919219800145</v>
      </c>
      <c r="CD94" s="14">
        <v>-0.63543514078810692</v>
      </c>
      <c r="CE94" s="14">
        <v>-6.310171608533234</v>
      </c>
      <c r="CF94" s="14">
        <v>16.064083544486685</v>
      </c>
      <c r="CG94" s="66"/>
      <c r="CH94" s="14">
        <v>6.23</v>
      </c>
      <c r="CI94" s="14">
        <v>16.988020005408753</v>
      </c>
      <c r="CJ94" s="14">
        <v>19.017064711683432</v>
      </c>
      <c r="CK94" s="14">
        <v>448.26035219016234</v>
      </c>
      <c r="CL94" s="14">
        <v>5.2551037771414109</v>
      </c>
      <c r="CM94" s="14">
        <v>5.3892648210193945</v>
      </c>
      <c r="CN94" s="14">
        <v>603.9484366790515</v>
      </c>
      <c r="CO94" s="14">
        <v>7.0802864792385876</v>
      </c>
      <c r="CP94" s="14">
        <v>205.89394447552203</v>
      </c>
      <c r="CQ94" s="14">
        <v>6.5370829895204823</v>
      </c>
      <c r="CR94" s="14">
        <v>33.847021338738628</v>
      </c>
      <c r="CS94" s="14">
        <v>-0.97510587281687788</v>
      </c>
      <c r="CT94" s="14">
        <v>-9.5648684258758507</v>
      </c>
      <c r="CU94" s="14">
        <v>18.017247678639041</v>
      </c>
      <c r="CV94" s="66"/>
      <c r="CW94" s="8">
        <f t="shared" si="10"/>
        <v>-21.507352941176467</v>
      </c>
      <c r="CX94" s="8">
        <f t="shared" si="11"/>
        <v>5.0437260886262836</v>
      </c>
      <c r="CY94" s="8">
        <f t="shared" si="12"/>
        <v>13.19512166292918</v>
      </c>
      <c r="CZ94" s="8">
        <f t="shared" si="13"/>
        <v>8.5843675604951581</v>
      </c>
      <c r="DA94" s="8">
        <f t="shared" si="14"/>
        <v>-8.9006555723651015</v>
      </c>
      <c r="DB94" s="8">
        <f t="shared" si="15"/>
        <v>6.0216666666666656</v>
      </c>
    </row>
    <row r="95" spans="1:106" ht="15.75" x14ac:dyDescent="0.25">
      <c r="A95" s="10">
        <v>94</v>
      </c>
      <c r="B95" s="3" t="s">
        <v>484</v>
      </c>
      <c r="C95" s="3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5"/>
      <c r="K95" s="8">
        <v>4.88</v>
      </c>
      <c r="L95" s="8">
        <v>20.716768808883085</v>
      </c>
      <c r="M95" s="8">
        <v>25.789992257697929</v>
      </c>
      <c r="N95" s="8">
        <v>538.98532297789018</v>
      </c>
      <c r="O95" s="8">
        <v>6.9907305185199773</v>
      </c>
      <c r="P95" s="8">
        <v>7.4650599116390763</v>
      </c>
      <c r="Q95" s="8">
        <v>1005.889431881022</v>
      </c>
      <c r="R95" s="8">
        <v>13.046555536718834</v>
      </c>
      <c r="S95" s="8">
        <v>481.83054448986127</v>
      </c>
      <c r="T95" s="8">
        <v>15.264560324748981</v>
      </c>
      <c r="U95" s="8">
        <v>57.227785979531021</v>
      </c>
      <c r="V95" s="8">
        <v>-0.93646006880942068</v>
      </c>
      <c r="W95" s="8">
        <v>-8.2973500932365933</v>
      </c>
      <c r="X95" s="8">
        <v>23.434916585681371</v>
      </c>
      <c r="Y95" s="66"/>
      <c r="Z95" s="8">
        <v>4.9000000000000004</v>
      </c>
      <c r="AA95" s="8">
        <v>21.081450453155593</v>
      </c>
      <c r="AB95" s="8">
        <v>25.368992604313817</v>
      </c>
      <c r="AC95" s="8">
        <v>531.8515916342559</v>
      </c>
      <c r="AD95" s="8">
        <v>6.8982048201589619</v>
      </c>
      <c r="AE95" s="8">
        <v>7.1057512378618632</v>
      </c>
      <c r="AF95" s="8">
        <v>944.80127640347905</v>
      </c>
      <c r="AG95" s="8">
        <v>12.254231859967303</v>
      </c>
      <c r="AH95" s="8">
        <v>404.91287960507088</v>
      </c>
      <c r="AI95" s="8">
        <v>11.80081938463845</v>
      </c>
      <c r="AJ95" s="8">
        <v>49.926042027020564</v>
      </c>
      <c r="AK95" s="8">
        <v>-0.97079176982765403</v>
      </c>
      <c r="AL95" s="8">
        <v>-9.0113637957507002</v>
      </c>
      <c r="AM95" s="8">
        <v>22.751255007741886</v>
      </c>
      <c r="AN95" s="66"/>
      <c r="AO95" s="8">
        <v>5.09</v>
      </c>
      <c r="AP95" s="8">
        <v>19.589549941244119</v>
      </c>
      <c r="AQ95" s="8">
        <v>24.143214031372107</v>
      </c>
      <c r="AR95" s="8">
        <v>500.42699722107608</v>
      </c>
      <c r="AS95" s="8">
        <v>6.4906225320502742</v>
      </c>
      <c r="AT95" s="8">
        <v>7.0199430359437693</v>
      </c>
      <c r="AU95" s="8">
        <v>878.24225353508621</v>
      </c>
      <c r="AV95" s="8">
        <v>11.390950110701509</v>
      </c>
      <c r="AW95" s="8">
        <v>411.98323015787525</v>
      </c>
      <c r="AX95" s="8">
        <v>14.016617004352909</v>
      </c>
      <c r="AY95" s="8">
        <v>54.543724200329571</v>
      </c>
      <c r="AZ95" s="8">
        <v>-0.9245976069630123</v>
      </c>
      <c r="BA95" s="8">
        <v>-8.3260739525444638</v>
      </c>
      <c r="BB95" s="8">
        <v>22.235609213300396</v>
      </c>
      <c r="BC95" s="66"/>
      <c r="BD95" s="8">
        <v>5.17</v>
      </c>
      <c r="BE95" s="8">
        <v>19.641063629954569</v>
      </c>
      <c r="BF95" s="8">
        <v>23.790924751493751</v>
      </c>
      <c r="BG95" s="8">
        <v>505.56173429380476</v>
      </c>
      <c r="BH95" s="8">
        <v>6.5572209376628381</v>
      </c>
      <c r="BI95" s="8">
        <v>6.6821415996867133</v>
      </c>
      <c r="BJ95" s="8">
        <v>844.55877398359837</v>
      </c>
      <c r="BK95" s="8">
        <v>10.95406970147339</v>
      </c>
      <c r="BL95" s="8">
        <v>354.13295498092094</v>
      </c>
      <c r="BM95" s="8">
        <v>11.662065155818828</v>
      </c>
      <c r="BN95" s="8">
        <v>51.390621755971047</v>
      </c>
      <c r="BO95" s="8">
        <v>-0.98130529559120205</v>
      </c>
      <c r="BP95" s="8">
        <v>-9.056748126734492</v>
      </c>
      <c r="BQ95" s="8">
        <v>21.570248225047717</v>
      </c>
      <c r="BR95" s="66"/>
      <c r="BS95" s="14">
        <v>5.28</v>
      </c>
      <c r="BT95" s="14">
        <v>19.935467551777059</v>
      </c>
      <c r="BU95" s="14">
        <v>22.784628864968447</v>
      </c>
      <c r="BV95" s="14">
        <v>442.9985568849857</v>
      </c>
      <c r="BW95" s="14">
        <v>5.7457659777559762</v>
      </c>
      <c r="BX95" s="14">
        <v>7.0359206723716579</v>
      </c>
      <c r="BY95" s="14">
        <v>779.22567605447068</v>
      </c>
      <c r="BZ95" s="14">
        <v>10.106688405375756</v>
      </c>
      <c r="CA95" s="14">
        <v>419.44325767788132</v>
      </c>
      <c r="CB95" s="14">
        <v>12.098040816615063</v>
      </c>
      <c r="CC95" s="14">
        <v>40.624627829040477</v>
      </c>
      <c r="CD95" s="14">
        <v>-0.81663313805088744</v>
      </c>
      <c r="CE95" s="14">
        <v>-7.7336859044959212</v>
      </c>
      <c r="CF95" s="14">
        <v>21.799613155998301</v>
      </c>
      <c r="CG95" s="66"/>
      <c r="CH95" s="14">
        <v>5.31</v>
      </c>
      <c r="CI95" s="14">
        <v>20.079428899860275</v>
      </c>
      <c r="CJ95" s="14">
        <v>23.073598894837293</v>
      </c>
      <c r="CK95" s="14">
        <v>487.89710148885985</v>
      </c>
      <c r="CL95" s="14">
        <v>6.3281076717102449</v>
      </c>
      <c r="CM95" s="14">
        <v>6.5524644614168404</v>
      </c>
      <c r="CN95" s="14">
        <v>799.23210458350991</v>
      </c>
      <c r="CO95" s="14">
        <v>10.366175156725161</v>
      </c>
      <c r="CP95" s="14">
        <v>318.68939051909285</v>
      </c>
      <c r="CQ95" s="14">
        <v>9.3196587354583524</v>
      </c>
      <c r="CR95" s="14">
        <v>40.893617823653585</v>
      </c>
      <c r="CS95" s="14">
        <v>-0.96575993795499626</v>
      </c>
      <c r="CT95" s="14">
        <v>-9.2676162972611991</v>
      </c>
      <c r="CU95" s="14">
        <v>21.270839161011544</v>
      </c>
      <c r="CV95" s="66"/>
      <c r="CW95" s="8">
        <f t="shared" si="10"/>
        <v>-8.8114754098360599</v>
      </c>
      <c r="CX95" s="8">
        <f t="shared" si="11"/>
        <v>8.2644276780923374</v>
      </c>
      <c r="CY95" s="8">
        <f t="shared" si="12"/>
        <v>7.7864642023622004</v>
      </c>
      <c r="CZ95" s="8">
        <f t="shared" si="13"/>
        <v>15.407385177769765</v>
      </c>
      <c r="DA95" s="8">
        <f t="shared" si="14"/>
        <v>-3.8606403013182633</v>
      </c>
      <c r="DB95" s="8">
        <f t="shared" si="15"/>
        <v>5.1049999999999995</v>
      </c>
    </row>
    <row r="96" spans="1:106" ht="15.75" x14ac:dyDescent="0.25">
      <c r="A96" s="10">
        <v>95</v>
      </c>
      <c r="B96" s="3" t="s">
        <v>486</v>
      </c>
      <c r="C96" s="3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5"/>
      <c r="K96" s="8">
        <v>4.66</v>
      </c>
      <c r="L96" s="8">
        <v>22.669838545680104</v>
      </c>
      <c r="M96" s="8">
        <v>26.569464350110746</v>
      </c>
      <c r="N96" s="8">
        <v>504.21120629308422</v>
      </c>
      <c r="O96" s="8">
        <v>6.6960319560834556</v>
      </c>
      <c r="P96" s="8">
        <v>8.2795978849432608</v>
      </c>
      <c r="Q96" s="8">
        <v>1043.6665092972275</v>
      </c>
      <c r="R96" s="8">
        <v>13.860113005275267</v>
      </c>
      <c r="S96" s="8">
        <v>610.63233473891216</v>
      </c>
      <c r="T96" s="8">
        <v>15.647644141628225</v>
      </c>
      <c r="U96" s="8">
        <v>47.171022443636716</v>
      </c>
      <c r="V96" s="8">
        <v>-0.80873878769649243</v>
      </c>
      <c r="W96" s="8">
        <v>-7.4143462415673236</v>
      </c>
      <c r="X96" s="8">
        <v>24.834879548120391</v>
      </c>
      <c r="Y96" s="66"/>
      <c r="Z96" s="8">
        <v>4.82</v>
      </c>
      <c r="AA96" s="8">
        <v>21.525516367864508</v>
      </c>
      <c r="AB96" s="8">
        <v>26.833222382117043</v>
      </c>
      <c r="AC96" s="8">
        <v>540.20401264750978</v>
      </c>
      <c r="AD96" s="8">
        <v>7.1740240723440873</v>
      </c>
      <c r="AE96" s="8">
        <v>7.3066304060286829</v>
      </c>
      <c r="AF96" s="8">
        <v>986.76776606724957</v>
      </c>
      <c r="AG96" s="8">
        <v>13.104485605142758</v>
      </c>
      <c r="AH96" s="8">
        <v>409.13514899558692</v>
      </c>
      <c r="AI96" s="8">
        <v>12.496560754019189</v>
      </c>
      <c r="AJ96" s="8">
        <v>55.791284480050926</v>
      </c>
      <c r="AK96" s="8">
        <v>-0.98185123287812914</v>
      </c>
      <c r="AL96" s="8">
        <v>-8.9126113849631636</v>
      </c>
      <c r="AM96" s="8">
        <v>23.299602958117799</v>
      </c>
      <c r="AN96" s="66"/>
      <c r="AO96" s="8">
        <v>5</v>
      </c>
      <c r="AP96" s="8">
        <v>19.877011746501321</v>
      </c>
      <c r="AQ96" s="8">
        <v>23.214875095846729</v>
      </c>
      <c r="AR96" s="8">
        <v>387.22722081877771</v>
      </c>
      <c r="AS96" s="8">
        <v>5.1424597718297171</v>
      </c>
      <c r="AT96" s="8">
        <v>7.5943706171350094</v>
      </c>
      <c r="AU96" s="8">
        <v>735.18675698524385</v>
      </c>
      <c r="AV96" s="8">
        <v>9.7634363477456034</v>
      </c>
      <c r="AW96" s="8">
        <v>463.03050853810521</v>
      </c>
      <c r="AX96" s="8">
        <v>13.855344465209969</v>
      </c>
      <c r="AY96" s="8">
        <v>41.161278188102443</v>
      </c>
      <c r="AZ96" s="8">
        <v>-0.67714100760725304</v>
      </c>
      <c r="BA96" s="8">
        <v>-6.3564032204457837</v>
      </c>
      <c r="BB96" s="8">
        <v>22.349153015638624</v>
      </c>
      <c r="BC96" s="66"/>
      <c r="BD96" s="8">
        <v>5.38</v>
      </c>
      <c r="BE96" s="8">
        <v>20.080541134160267</v>
      </c>
      <c r="BF96" s="8">
        <v>23.824918596259419</v>
      </c>
      <c r="BG96" s="8">
        <v>450.69793806902402</v>
      </c>
      <c r="BH96" s="8">
        <v>5.9853643833867736</v>
      </c>
      <c r="BI96" s="8">
        <v>6.546240377071264</v>
      </c>
      <c r="BJ96" s="8">
        <v>737.59426001255224</v>
      </c>
      <c r="BK96" s="8">
        <v>9.7954084995026864</v>
      </c>
      <c r="BL96" s="8">
        <v>274.04698794718115</v>
      </c>
      <c r="BM96" s="8">
        <v>8.7158706284878988</v>
      </c>
      <c r="BN96" s="8">
        <v>44.620214779515145</v>
      </c>
      <c r="BO96" s="8">
        <v>-0.91432089850397102</v>
      </c>
      <c r="BP96" s="8">
        <v>-8.7233109559985706</v>
      </c>
      <c r="BQ96" s="8">
        <v>21.230667630229345</v>
      </c>
      <c r="BR96" s="66"/>
      <c r="BS96" s="14">
        <v>5.54</v>
      </c>
      <c r="BT96" s="14">
        <v>17.952712459462305</v>
      </c>
      <c r="BU96" s="14">
        <v>20.223104504226409</v>
      </c>
      <c r="BV96" s="14">
        <v>339.17798670147755</v>
      </c>
      <c r="BW96" s="14">
        <v>4.5043557330873512</v>
      </c>
      <c r="BX96" s="14">
        <v>6.5496120102609456</v>
      </c>
      <c r="BY96" s="14">
        <v>555.37105382903121</v>
      </c>
      <c r="BZ96" s="14">
        <v>7.3754456019791661</v>
      </c>
      <c r="CA96" s="14">
        <v>333.02373664463295</v>
      </c>
      <c r="CB96" s="14">
        <v>10.73389113022121</v>
      </c>
      <c r="CC96" s="14">
        <v>33.508855734456155</v>
      </c>
      <c r="CD96" s="14">
        <v>-0.68772863583836819</v>
      </c>
      <c r="CE96" s="14">
        <v>-6.6465984769731445</v>
      </c>
      <c r="CF96" s="14">
        <v>19.786412042052401</v>
      </c>
      <c r="CG96" s="66"/>
      <c r="CH96" s="14">
        <v>5.66</v>
      </c>
      <c r="CI96" s="14">
        <v>17.780027258263008</v>
      </c>
      <c r="CJ96" s="14">
        <v>19.846715389872347</v>
      </c>
      <c r="CK96" s="14">
        <v>381.05714040894844</v>
      </c>
      <c r="CL96" s="14">
        <v>5.060519792947523</v>
      </c>
      <c r="CM96" s="14">
        <v>6.1128849902221267</v>
      </c>
      <c r="CN96" s="14">
        <v>582.33961850570654</v>
      </c>
      <c r="CO96" s="14">
        <v>7.7335938712577237</v>
      </c>
      <c r="CP96" s="14">
        <v>298.38128148852286</v>
      </c>
      <c r="CQ96" s="14">
        <v>9.7073040088061191</v>
      </c>
      <c r="CR96" s="14">
        <v>33.813426282224491</v>
      </c>
      <c r="CS96" s="14">
        <v>-0.8278447575967951</v>
      </c>
      <c r="CT96" s="14">
        <v>-8.0276368609275242</v>
      </c>
      <c r="CU96" s="14">
        <v>19.307718513961767</v>
      </c>
      <c r="CV96" s="66"/>
      <c r="CW96" s="8">
        <f t="shared" si="10"/>
        <v>-21.459227467811161</v>
      </c>
      <c r="CX96" s="8">
        <f t="shared" si="11"/>
        <v>29.460512790083015</v>
      </c>
      <c r="CY96" s="8">
        <f t="shared" si="12"/>
        <v>16.337837682628642</v>
      </c>
      <c r="CZ96" s="8">
        <f t="shared" si="13"/>
        <v>40.985139712597856</v>
      </c>
      <c r="DA96" s="8">
        <f t="shared" si="14"/>
        <v>-8.5394581861013013</v>
      </c>
      <c r="DB96" s="8">
        <f t="shared" si="15"/>
        <v>5.1766666666666667</v>
      </c>
    </row>
    <row r="97" spans="1:106" ht="15.75" x14ac:dyDescent="0.25">
      <c r="A97" s="10">
        <v>96</v>
      </c>
      <c r="B97" s="3" t="s">
        <v>488</v>
      </c>
      <c r="C97" s="3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5"/>
      <c r="K97" s="8">
        <v>4.9800000000000004</v>
      </c>
      <c r="L97" s="8">
        <v>22.394783114205122</v>
      </c>
      <c r="M97" s="8">
        <v>25.150775571823562</v>
      </c>
      <c r="N97" s="8">
        <v>424.27822162935149</v>
      </c>
      <c r="O97" s="8">
        <v>5.7490273933516463</v>
      </c>
      <c r="P97" s="8">
        <v>8.2756407397334932</v>
      </c>
      <c r="Q97" s="8">
        <v>877.79353397438433</v>
      </c>
      <c r="R97" s="8">
        <v>11.894221327566184</v>
      </c>
      <c r="S97" s="8">
        <v>563.5910018300749</v>
      </c>
      <c r="T97" s="8">
        <v>14.143406870454948</v>
      </c>
      <c r="U97" s="8">
        <v>38.485126142878435</v>
      </c>
      <c r="V97" s="8">
        <v>-0.69469272218996636</v>
      </c>
      <c r="W97" s="8">
        <v>-6.5561349744975983</v>
      </c>
      <c r="X97" s="8">
        <v>24.243240570003643</v>
      </c>
      <c r="Y97" s="66"/>
      <c r="Z97" s="8">
        <v>4.82</v>
      </c>
      <c r="AA97" s="8">
        <v>21.16049473425285</v>
      </c>
      <c r="AB97" s="8">
        <v>26.066248020091852</v>
      </c>
      <c r="AC97" s="8">
        <v>512.02113668625896</v>
      </c>
      <c r="AD97" s="8">
        <v>6.9379557816566253</v>
      </c>
      <c r="AE97" s="8">
        <v>7.1478498663680377</v>
      </c>
      <c r="AF97" s="8">
        <v>914.96255336012166</v>
      </c>
      <c r="AG97" s="8">
        <v>12.397866576695415</v>
      </c>
      <c r="AH97" s="8">
        <v>382.81550843122284</v>
      </c>
      <c r="AI97" s="8">
        <v>11.91513157559277</v>
      </c>
      <c r="AJ97" s="8">
        <v>52.751218470492681</v>
      </c>
      <c r="AK97" s="8">
        <v>-0.97063535347895258</v>
      </c>
      <c r="AL97" s="8">
        <v>-8.9324257643454512</v>
      </c>
      <c r="AM97" s="8">
        <v>22.85916941677451</v>
      </c>
      <c r="AN97" s="66"/>
      <c r="AO97" s="8">
        <v>4.9000000000000004</v>
      </c>
      <c r="AP97" s="8">
        <v>20.539820474541457</v>
      </c>
      <c r="AQ97" s="8">
        <v>25.309323926651597</v>
      </c>
      <c r="AR97" s="8">
        <v>494.80812389992116</v>
      </c>
      <c r="AS97" s="8">
        <v>6.7047171260151917</v>
      </c>
      <c r="AT97" s="8">
        <v>7.4672948559189978</v>
      </c>
      <c r="AU97" s="8">
        <v>923.7195395662028</v>
      </c>
      <c r="AV97" s="8">
        <v>12.516524926371313</v>
      </c>
      <c r="AW97" s="8">
        <v>463.54800716179022</v>
      </c>
      <c r="AX97" s="8">
        <v>15.177829946935658</v>
      </c>
      <c r="AY97" s="8">
        <v>54.836521211945211</v>
      </c>
      <c r="AZ97" s="8">
        <v>-0.89787764583859409</v>
      </c>
      <c r="BA97" s="8">
        <v>-8.0319184105443711</v>
      </c>
      <c r="BB97" s="8">
        <v>23.256580170353693</v>
      </c>
      <c r="BC97" s="66"/>
      <c r="BD97" s="8">
        <v>4.91</v>
      </c>
      <c r="BE97" s="8">
        <v>21.44401785281914</v>
      </c>
      <c r="BF97" s="8">
        <v>26.448289947623497</v>
      </c>
      <c r="BG97" s="8">
        <v>493.04078003155422</v>
      </c>
      <c r="BH97" s="8">
        <v>6.6807693771213312</v>
      </c>
      <c r="BI97" s="8">
        <v>7.1533869892893183</v>
      </c>
      <c r="BJ97" s="8">
        <v>881.72787526669413</v>
      </c>
      <c r="BK97" s="8">
        <v>11.947532185185558</v>
      </c>
      <c r="BL97" s="8">
        <v>350.84119390546869</v>
      </c>
      <c r="BM97" s="8">
        <v>10.836623778530408</v>
      </c>
      <c r="BN97" s="8">
        <v>51.841847493413354</v>
      </c>
      <c r="BO97" s="8">
        <v>-0.93393093189622856</v>
      </c>
      <c r="BP97" s="8">
        <v>-8.6656819455051028</v>
      </c>
      <c r="BQ97" s="8">
        <v>22.837573357111129</v>
      </c>
      <c r="BR97" s="66"/>
      <c r="BS97" s="14">
        <v>4.96</v>
      </c>
      <c r="BT97" s="14">
        <v>18.478471787138108</v>
      </c>
      <c r="BU97" s="14">
        <v>26.889882741709322</v>
      </c>
      <c r="BV97" s="14">
        <v>626.15491746726275</v>
      </c>
      <c r="BW97" s="14">
        <v>8.4844839765211759</v>
      </c>
      <c r="BX97" s="14">
        <v>6.5407015656930465</v>
      </c>
      <c r="BY97" s="14">
        <v>1023.8731122611315</v>
      </c>
      <c r="BZ97" s="14">
        <v>13.873619407332406</v>
      </c>
      <c r="CA97" s="14">
        <v>296.622210728526</v>
      </c>
      <c r="CB97" s="14">
        <v>15.545348385827975</v>
      </c>
      <c r="CC97" s="14">
        <v>79.403115971381638</v>
      </c>
      <c r="CD97" s="14">
        <v>-1.2971825562296799</v>
      </c>
      <c r="CE97" s="14">
        <v>-9.9581973336807845</v>
      </c>
      <c r="CF97" s="14">
        <v>21.950413447568287</v>
      </c>
      <c r="CG97" s="66"/>
      <c r="CH97" s="14">
        <v>5.14</v>
      </c>
      <c r="CI97" s="14">
        <v>19.716855438440817</v>
      </c>
      <c r="CJ97" s="14">
        <v>24.253033580678125</v>
      </c>
      <c r="CK97" s="14">
        <v>487.91838838014371</v>
      </c>
      <c r="CL97" s="14">
        <v>6.6113602761537091</v>
      </c>
      <c r="CM97" s="14">
        <v>6.6736414270785547</v>
      </c>
      <c r="CN97" s="14">
        <v>814.04809243178272</v>
      </c>
      <c r="CO97" s="14">
        <v>11.030461957070226</v>
      </c>
      <c r="CP97" s="14">
        <v>327.26533668567197</v>
      </c>
      <c r="CQ97" s="14">
        <v>11.441617381350438</v>
      </c>
      <c r="CR97" s="14">
        <v>53.311330846633197</v>
      </c>
      <c r="CS97" s="14">
        <v>-0.99066759105873736</v>
      </c>
      <c r="CT97" s="14">
        <v>-9.1031761896640226</v>
      </c>
      <c r="CU97" s="14">
        <v>21.593117403339974</v>
      </c>
      <c r="CV97" s="66"/>
      <c r="CW97" s="8">
        <f t="shared" si="10"/>
        <v>-6.6390041493775804</v>
      </c>
      <c r="CX97" s="8">
        <f t="shared" si="11"/>
        <v>4.7073736959582151</v>
      </c>
      <c r="CY97" s="8">
        <f t="shared" si="12"/>
        <v>6.7065512173335637</v>
      </c>
      <c r="CZ97" s="8">
        <f t="shared" si="13"/>
        <v>11.029354213212249</v>
      </c>
      <c r="DA97" s="8">
        <f t="shared" si="14"/>
        <v>-3.6640726329442153</v>
      </c>
      <c r="DB97" s="8">
        <f t="shared" si="15"/>
        <v>4.9516666666666671</v>
      </c>
    </row>
    <row r="98" spans="1:106" ht="15.75" x14ac:dyDescent="0.25">
      <c r="A98" s="10">
        <v>97</v>
      </c>
      <c r="B98" s="3" t="s">
        <v>490</v>
      </c>
      <c r="C98" s="3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5"/>
      <c r="K98" s="8">
        <v>4.49</v>
      </c>
      <c r="L98" s="8">
        <v>24.041520915193253</v>
      </c>
      <c r="M98" s="8">
        <v>28.15306361111384</v>
      </c>
      <c r="N98" s="8">
        <v>473.55789279223086</v>
      </c>
      <c r="O98" s="8">
        <v>6.3141052372297448</v>
      </c>
      <c r="P98" s="8">
        <v>9.3898543403500287</v>
      </c>
      <c r="Q98" s="8">
        <v>1111.6599087605357</v>
      </c>
      <c r="R98" s="8">
        <v>14.822132116807143</v>
      </c>
      <c r="S98" s="8">
        <v>755.06435470308304</v>
      </c>
      <c r="T98" s="8">
        <v>17.798067659884623</v>
      </c>
      <c r="U98" s="8">
        <v>46.334062840286109</v>
      </c>
      <c r="V98" s="8">
        <v>-0.67243910377787297</v>
      </c>
      <c r="W98" s="8">
        <v>-6.1096293201737906</v>
      </c>
      <c r="X98" s="8">
        <v>26.586808695389713</v>
      </c>
      <c r="Y98" s="66"/>
      <c r="Z98" s="8">
        <v>4.43</v>
      </c>
      <c r="AA98" s="8">
        <v>23.219175605071261</v>
      </c>
      <c r="AB98" s="8">
        <v>28.309519885450396</v>
      </c>
      <c r="AC98" s="8">
        <v>548.91801327488452</v>
      </c>
      <c r="AD98" s="8">
        <v>7.3189068436651272</v>
      </c>
      <c r="AE98" s="8">
        <v>7.805789375495241</v>
      </c>
      <c r="AF98" s="8">
        <v>1071.1845990097622</v>
      </c>
      <c r="AG98" s="8">
        <v>14.282461320130164</v>
      </c>
      <c r="AH98" s="8">
        <v>473.62201426174266</v>
      </c>
      <c r="AI98" s="8">
        <v>12.371928585238798</v>
      </c>
      <c r="AJ98" s="8">
        <v>49.986091928612865</v>
      </c>
      <c r="AK98" s="8">
        <v>-0.93762545869369895</v>
      </c>
      <c r="AL98" s="8">
        <v>-8.7051886931994424</v>
      </c>
      <c r="AM98" s="8">
        <v>24.623191765365121</v>
      </c>
      <c r="AN98" s="66"/>
      <c r="AO98" s="8">
        <v>4.79</v>
      </c>
      <c r="AP98" s="8">
        <v>22.474246407736096</v>
      </c>
      <c r="AQ98" s="8">
        <v>26.0476006137886</v>
      </c>
      <c r="AR98" s="8">
        <v>532.12114626709717</v>
      </c>
      <c r="AS98" s="8">
        <v>7.0949486168946292</v>
      </c>
      <c r="AT98" s="8">
        <v>7.7795845802438048</v>
      </c>
      <c r="AU98" s="8">
        <v>1034.9203660802918</v>
      </c>
      <c r="AV98" s="8">
        <v>13.798938214403892</v>
      </c>
      <c r="AW98" s="8">
        <v>529.98163745272552</v>
      </c>
      <c r="AX98" s="8">
        <v>13.724888662621815</v>
      </c>
      <c r="AY98" s="8">
        <v>46.086820182218382</v>
      </c>
      <c r="AZ98" s="8">
        <v>-0.91199581979122613</v>
      </c>
      <c r="BA98" s="8">
        <v>-8.4740375895263185</v>
      </c>
      <c r="BB98" s="8">
        <v>24.13838607266602</v>
      </c>
      <c r="BC98" s="66"/>
      <c r="BD98" s="8">
        <v>4.5</v>
      </c>
      <c r="BE98" s="8">
        <v>22.44250630574879</v>
      </c>
      <c r="BF98" s="8">
        <v>27.704561285067413</v>
      </c>
      <c r="BG98" s="8">
        <v>551.529265628487</v>
      </c>
      <c r="BH98" s="8">
        <v>7.3537235417131601</v>
      </c>
      <c r="BI98" s="8">
        <v>7.6288027505625831</v>
      </c>
      <c r="BJ98" s="8">
        <v>1051.8769946605908</v>
      </c>
      <c r="BK98" s="8">
        <v>14.025026595474543</v>
      </c>
      <c r="BL98" s="8">
        <v>467.19319926263194</v>
      </c>
      <c r="BM98" s="8">
        <v>12.989577139362511</v>
      </c>
      <c r="BN98" s="8">
        <v>52.851791012978325</v>
      </c>
      <c r="BO98" s="8">
        <v>-0.96394202106888383</v>
      </c>
      <c r="BP98" s="8">
        <v>-8.8354977373888666</v>
      </c>
      <c r="BQ98" s="8">
        <v>24.145181712242405</v>
      </c>
      <c r="BR98" s="66"/>
      <c r="BS98" s="14">
        <v>4.84</v>
      </c>
      <c r="BT98" s="14">
        <v>21.159097523595751</v>
      </c>
      <c r="BU98" s="14">
        <v>25.524494186057659</v>
      </c>
      <c r="BV98" s="14">
        <v>523.09128620766637</v>
      </c>
      <c r="BW98" s="14">
        <v>6.9745504827688851</v>
      </c>
      <c r="BX98" s="14">
        <v>7.3902799435211568</v>
      </c>
      <c r="BY98" s="14">
        <v>966.44776027280045</v>
      </c>
      <c r="BZ98" s="14">
        <v>12.885970136970673</v>
      </c>
      <c r="CA98" s="14">
        <v>464.55748168041254</v>
      </c>
      <c r="CB98" s="14">
        <v>13.816143833728898</v>
      </c>
      <c r="CC98" s="14">
        <v>51.720672322194275</v>
      </c>
      <c r="CD98" s="14">
        <v>-0.94374645291796699</v>
      </c>
      <c r="CE98" s="14">
        <v>-8.6144189413181316</v>
      </c>
      <c r="CF98" s="14">
        <v>23.236658565893705</v>
      </c>
      <c r="CG98" s="66"/>
      <c r="CH98" s="14">
        <v>4.84</v>
      </c>
      <c r="CI98" s="14">
        <v>21.340314153603746</v>
      </c>
      <c r="CJ98" s="14">
        <v>26.351064115819987</v>
      </c>
      <c r="CK98" s="14">
        <v>519.28666260070986</v>
      </c>
      <c r="CL98" s="14">
        <v>6.9238221680094645</v>
      </c>
      <c r="CM98" s="14">
        <v>7.1869640914617694</v>
      </c>
      <c r="CN98" s="14">
        <v>933.02364932158127</v>
      </c>
      <c r="CO98" s="14">
        <v>12.44031532428775</v>
      </c>
      <c r="CP98" s="14">
        <v>384.61398997168607</v>
      </c>
      <c r="CQ98" s="14">
        <v>11.719929539364029</v>
      </c>
      <c r="CR98" s="14">
        <v>53.041541871059152</v>
      </c>
      <c r="CS98" s="14">
        <v>-0.96338621981360406</v>
      </c>
      <c r="CT98" s="14">
        <v>-8.8663326110094847</v>
      </c>
      <c r="CU98" s="14">
        <v>22.987651950563617</v>
      </c>
      <c r="CV98" s="66"/>
      <c r="CW98" s="8">
        <f t="shared" si="10"/>
        <v>-9.2550790067720126</v>
      </c>
      <c r="CX98" s="8">
        <f t="shared" si="11"/>
        <v>5.8460366542898843</v>
      </c>
      <c r="CY98" s="8">
        <f t="shared" si="12"/>
        <v>7.9277732752584038</v>
      </c>
      <c r="CZ98" s="8">
        <f t="shared" si="13"/>
        <v>12.897958934053147</v>
      </c>
      <c r="DA98" s="8">
        <f t="shared" si="14"/>
        <v>-3.9600550964187242</v>
      </c>
      <c r="DB98" s="8">
        <f t="shared" si="15"/>
        <v>4.6483333333333334</v>
      </c>
    </row>
    <row r="99" spans="1:106" ht="15.75" x14ac:dyDescent="0.25">
      <c r="A99" s="10">
        <v>98</v>
      </c>
      <c r="B99" s="3" t="s">
        <v>492</v>
      </c>
      <c r="C99" s="3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5"/>
      <c r="K99" s="8">
        <v>4.83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66"/>
      <c r="Z99" s="8">
        <v>4.45</v>
      </c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66"/>
      <c r="AO99" s="8">
        <v>4.8970000000000002</v>
      </c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66"/>
      <c r="BD99" s="8">
        <v>4.84</v>
      </c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66"/>
      <c r="BS99" s="14">
        <v>5.03</v>
      </c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66"/>
      <c r="CH99" s="14">
        <v>4.8600000000000003</v>
      </c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66"/>
      <c r="CW99" s="8">
        <f t="shared" si="10"/>
        <v>-13.033707865168539</v>
      </c>
      <c r="CX99" s="8" t="s">
        <v>34</v>
      </c>
      <c r="CY99" s="8" t="s">
        <v>34</v>
      </c>
      <c r="CZ99" s="8" t="s">
        <v>34</v>
      </c>
      <c r="DA99" s="15">
        <f t="shared" si="14"/>
        <v>-4.2180251822398818</v>
      </c>
      <c r="DB99" s="15">
        <f t="shared" si="15"/>
        <v>4.8178333333333336</v>
      </c>
    </row>
    <row r="100" spans="1:106" ht="15.75" x14ac:dyDescent="0.25">
      <c r="A100" s="10">
        <v>99</v>
      </c>
      <c r="B100" s="3" t="s">
        <v>493</v>
      </c>
      <c r="C100" s="3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65"/>
      <c r="K100" s="8">
        <v>4.08</v>
      </c>
      <c r="L100" s="8">
        <v>24.793374906356558</v>
      </c>
      <c r="M100" s="8">
        <v>29.318752451789248</v>
      </c>
      <c r="N100" s="8">
        <v>588.47032327168722</v>
      </c>
      <c r="O100" s="8">
        <v>6.8426781775777581</v>
      </c>
      <c r="P100" s="8">
        <v>9.6804525898274427</v>
      </c>
      <c r="Q100" s="8">
        <v>1424.1647662379992</v>
      </c>
      <c r="R100" s="8">
        <v>16.560055421372084</v>
      </c>
      <c r="S100" s="8">
        <v>977.4589404501595</v>
      </c>
      <c r="T100" s="8">
        <v>19.191364823978947</v>
      </c>
      <c r="U100" s="8">
        <v>47.85568481413712</v>
      </c>
      <c r="V100" s="8">
        <v>-0.70685519236655114</v>
      </c>
      <c r="W100" s="8">
        <v>-6.3591666565639686</v>
      </c>
      <c r="X100" s="8">
        <v>27.420227908208282</v>
      </c>
      <c r="Y100" s="66"/>
      <c r="Z100" s="8">
        <v>4.16</v>
      </c>
      <c r="AA100" s="32">
        <v>25.50078960823091</v>
      </c>
      <c r="AB100" s="32">
        <v>29.022957181374593</v>
      </c>
      <c r="AC100" s="32">
        <v>717.22573233921275</v>
      </c>
      <c r="AD100" s="32">
        <v>8.339834096967591</v>
      </c>
      <c r="AE100" s="32">
        <v>8.5840629164575848</v>
      </c>
      <c r="AF100" s="32">
        <v>1539.1777029255425</v>
      </c>
      <c r="AG100" s="32">
        <v>17.897415150297004</v>
      </c>
      <c r="AH100" s="32">
        <v>771.33341873155155</v>
      </c>
      <c r="AI100" s="32">
        <v>14.344293809502107</v>
      </c>
      <c r="AJ100" s="32">
        <v>43.219418557498457</v>
      </c>
      <c r="AK100" s="32">
        <v>-0.97154857532302685</v>
      </c>
      <c r="AL100" s="32">
        <v>-9.1069905592772677</v>
      </c>
      <c r="AM100" s="32">
        <v>26.635683357365345</v>
      </c>
      <c r="AN100" s="66"/>
      <c r="AO100" s="8">
        <v>4.4000000000000004</v>
      </c>
      <c r="AP100" s="8">
        <v>22.886214956579924</v>
      </c>
      <c r="AQ100" s="8">
        <v>28.759314249759683</v>
      </c>
      <c r="AR100" s="8">
        <v>656.51561245222103</v>
      </c>
      <c r="AS100" s="8">
        <v>7.6339024703746636</v>
      </c>
      <c r="AT100" s="8">
        <v>7.8208927778978738</v>
      </c>
      <c r="AU100" s="8">
        <v>1283.6345530011938</v>
      </c>
      <c r="AV100" s="8">
        <v>14.925983174432487</v>
      </c>
      <c r="AW100" s="8">
        <v>565.98869222794531</v>
      </c>
      <c r="AX100" s="8">
        <v>13.681833937213515</v>
      </c>
      <c r="AY100" s="8">
        <v>56.013357580126154</v>
      </c>
      <c r="AZ100" s="8">
        <v>-0.97609092557161126</v>
      </c>
      <c r="BA100" s="8">
        <v>-8.8191901093722844</v>
      </c>
      <c r="BB100" s="8">
        <v>24.68261514587962</v>
      </c>
      <c r="BC100" s="66"/>
      <c r="BD100" s="8">
        <v>4.5199999999999996</v>
      </c>
      <c r="BE100" s="8">
        <v>23.363417037731828</v>
      </c>
      <c r="BF100" s="8">
        <v>26.300732472663334</v>
      </c>
      <c r="BG100" s="8">
        <v>638.63018775726027</v>
      </c>
      <c r="BH100" s="8">
        <v>7.4259324157820963</v>
      </c>
      <c r="BI100" s="8">
        <v>7.9483174422122831</v>
      </c>
      <c r="BJ100" s="8">
        <v>1269.0088651185843</v>
      </c>
      <c r="BK100" s="8">
        <v>14.755917036262607</v>
      </c>
      <c r="BL100" s="8">
        <v>657.12757591962463</v>
      </c>
      <c r="BM100" s="8">
        <v>13.46394228995103</v>
      </c>
      <c r="BN100" s="8">
        <v>40.71372944480725</v>
      </c>
      <c r="BO100" s="8">
        <v>-0.93427728192436299</v>
      </c>
      <c r="BP100" s="8">
        <v>-8.8268470653427205</v>
      </c>
      <c r="BQ100" s="8">
        <v>24.709820730557681</v>
      </c>
      <c r="BR100" s="66"/>
      <c r="BS100" s="14">
        <v>4.7</v>
      </c>
      <c r="BT100" s="14">
        <v>20.401368785706058</v>
      </c>
      <c r="BU100" s="14">
        <v>24.486832013634</v>
      </c>
      <c r="BV100" s="14">
        <v>554.40733301419061</v>
      </c>
      <c r="BW100" s="14">
        <v>6.446596895513844</v>
      </c>
      <c r="BX100" s="14">
        <v>7.3269528428187112</v>
      </c>
      <c r="BY100" s="14">
        <v>1015.5290961769659</v>
      </c>
      <c r="BZ100" s="14">
        <v>11.80847786252286</v>
      </c>
      <c r="CA100" s="14">
        <v>537.23376584488756</v>
      </c>
      <c r="CB100" s="14">
        <v>14.223903858321357</v>
      </c>
      <c r="CC100" s="14">
        <v>48.464174679619319</v>
      </c>
      <c r="CD100" s="14">
        <v>-0.87984692051516</v>
      </c>
      <c r="CE100" s="14">
        <v>-8.0978137704722428</v>
      </c>
      <c r="CF100" s="14">
        <v>22.7892508244678</v>
      </c>
      <c r="CG100" s="66"/>
      <c r="CH100" s="14">
        <v>4.93</v>
      </c>
      <c r="CI100" s="14">
        <v>20.413446664721377</v>
      </c>
      <c r="CJ100" s="14">
        <v>23.579996909863869</v>
      </c>
      <c r="CK100" s="14">
        <v>542.49664555247068</v>
      </c>
      <c r="CL100" s="14">
        <v>6.3081005296798915</v>
      </c>
      <c r="CM100" s="14">
        <v>6.6383675889483929</v>
      </c>
      <c r="CN100" s="14">
        <v>900.32303723718644</v>
      </c>
      <c r="CO100" s="14">
        <v>10.468872526013795</v>
      </c>
      <c r="CP100" s="14">
        <v>359.87013808842426</v>
      </c>
      <c r="CQ100" s="14">
        <v>9.1294392686462444</v>
      </c>
      <c r="CR100" s="14">
        <v>39.159898909155146</v>
      </c>
      <c r="CS100" s="14">
        <v>-0.95024875395295494</v>
      </c>
      <c r="CT100" s="14">
        <v>-9.1728504379914604</v>
      </c>
      <c r="CU100" s="14">
        <v>21.588206145947535</v>
      </c>
      <c r="CV100" s="66" t="s">
        <v>321</v>
      </c>
      <c r="CW100" s="8">
        <f t="shared" si="10"/>
        <v>-20.833333333333321</v>
      </c>
      <c r="CX100" s="8">
        <f t="shared" si="11"/>
        <v>24.361798372301539</v>
      </c>
      <c r="CY100" s="8">
        <f t="shared" si="12"/>
        <v>22.666368437011979</v>
      </c>
      <c r="CZ100" s="8">
        <f t="shared" si="13"/>
        <v>41.50623183236565</v>
      </c>
      <c r="DA100" s="8">
        <f t="shared" si="14"/>
        <v>-9.4320486815415823</v>
      </c>
      <c r="DB100" s="8">
        <f t="shared" si="15"/>
        <v>4.4649999999999999</v>
      </c>
    </row>
    <row r="101" spans="1:106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5"/>
      <c r="K101" s="8">
        <v>4.53</v>
      </c>
      <c r="L101" s="8">
        <v>21.706259221643847</v>
      </c>
      <c r="M101" s="8">
        <v>28.932122275511261</v>
      </c>
      <c r="N101" s="8">
        <v>370.62211141184889</v>
      </c>
      <c r="O101" s="8">
        <v>5.2200297381950547</v>
      </c>
      <c r="P101" s="8">
        <v>7.2470980049635516</v>
      </c>
      <c r="Q101" s="8">
        <v>671.48369105204733</v>
      </c>
      <c r="R101" s="8">
        <v>9.4575167753809488</v>
      </c>
      <c r="S101" s="8">
        <v>255.97602862600297</v>
      </c>
      <c r="T101" s="8">
        <v>8.5453660349043705</v>
      </c>
      <c r="U101" s="8">
        <v>50.584420623835527</v>
      </c>
      <c r="V101" s="8">
        <v>-0.72029241699502977</v>
      </c>
      <c r="W101" s="8">
        <v>-6.787602782150068</v>
      </c>
      <c r="X101" s="8">
        <v>22.974364922061611</v>
      </c>
      <c r="Y101" s="66"/>
      <c r="Z101" s="31">
        <v>4.71</v>
      </c>
      <c r="AA101" s="32">
        <v>22.483379158486777</v>
      </c>
      <c r="AB101" s="32">
        <v>29.020359230223612</v>
      </c>
      <c r="AC101" s="32">
        <v>569.70025898556469</v>
      </c>
      <c r="AD101" s="32">
        <v>8.0239473096558402</v>
      </c>
      <c r="AE101" s="32">
        <v>7.8565080002513605</v>
      </c>
      <c r="AF101" s="32">
        <v>1118.9636606163403</v>
      </c>
      <c r="AG101" s="32">
        <v>15.760051557976624</v>
      </c>
      <c r="AH101" s="32">
        <v>488.8929183571891</v>
      </c>
      <c r="AI101" s="32">
        <v>15.408973728808116</v>
      </c>
      <c r="AJ101" s="32">
        <v>62.899280282029835</v>
      </c>
      <c r="AK101" s="32">
        <v>-1.0213121795839988</v>
      </c>
      <c r="AL101" s="32">
        <v>-8.8576576978028267</v>
      </c>
      <c r="AM101" s="32">
        <v>24.75928711600227</v>
      </c>
      <c r="AN101" s="66"/>
      <c r="AO101" s="8">
        <v>4.87</v>
      </c>
      <c r="AP101" s="8">
        <v>21.470400400235871</v>
      </c>
      <c r="AQ101" s="8">
        <v>25.802334863930259</v>
      </c>
      <c r="AR101" s="8">
        <v>502.63701853282009</v>
      </c>
      <c r="AS101" s="8">
        <v>7.0793946272228183</v>
      </c>
      <c r="AT101" s="8">
        <v>7.4271143185339703</v>
      </c>
      <c r="AU101" s="8">
        <v>933.28564934258316</v>
      </c>
      <c r="AV101" s="8">
        <v>13.144868300599763</v>
      </c>
      <c r="AW101" s="8">
        <v>437.64791499085732</v>
      </c>
      <c r="AX101" s="8">
        <v>13.500786635373514</v>
      </c>
      <c r="AY101" s="8">
        <v>51.679027186318869</v>
      </c>
      <c r="AZ101" s="8">
        <v>-0.95318239676970729</v>
      </c>
      <c r="BA101" s="8">
        <v>-8.7157555574264602</v>
      </c>
      <c r="BB101" s="8">
        <v>23.405537862207229</v>
      </c>
      <c r="BC101" s="66"/>
      <c r="BD101" s="8">
        <v>4.9000000000000004</v>
      </c>
      <c r="BE101" s="8">
        <v>20.472726042961977</v>
      </c>
      <c r="BF101" s="8">
        <v>25.309179557959446</v>
      </c>
      <c r="BG101" s="8">
        <v>466.41144584065876</v>
      </c>
      <c r="BH101" s="8">
        <v>6.5691752935304049</v>
      </c>
      <c r="BI101" s="8">
        <v>6.8599302345456348</v>
      </c>
      <c r="BJ101" s="8">
        <v>799.88749476511975</v>
      </c>
      <c r="BK101" s="8">
        <v>11.266021053029856</v>
      </c>
      <c r="BL101" s="8">
        <v>320.02228261439751</v>
      </c>
      <c r="BM101" s="8">
        <v>10.892776694719752</v>
      </c>
      <c r="BN101" s="8">
        <v>51.549792510695838</v>
      </c>
      <c r="BO101" s="8">
        <v>-0.95761546676509501</v>
      </c>
      <c r="BP101" s="8">
        <v>-8.8900735693901041</v>
      </c>
      <c r="BQ101" s="8">
        <v>22.129837282382688</v>
      </c>
      <c r="BR101" s="66"/>
      <c r="BS101" s="14">
        <v>5.0599999999999996</v>
      </c>
      <c r="BT101" s="14">
        <v>19.929519164372934</v>
      </c>
      <c r="BU101" s="14">
        <v>24.640287129365124</v>
      </c>
      <c r="BV101" s="14">
        <v>474.43825273908453</v>
      </c>
      <c r="BW101" s="14">
        <v>6.6822289118180924</v>
      </c>
      <c r="BX101" s="14">
        <v>7.1242472310937339</v>
      </c>
      <c r="BY101" s="14">
        <v>845.00385210034301</v>
      </c>
      <c r="BZ101" s="14">
        <v>11.901462705638634</v>
      </c>
      <c r="CA101" s="14">
        <v>392.81883328961851</v>
      </c>
      <c r="CB101" s="14">
        <v>14.262116421580098</v>
      </c>
      <c r="CC101" s="14">
        <v>55.790149330960212</v>
      </c>
      <c r="CD101" s="14">
        <v>-0.93795578607288421</v>
      </c>
      <c r="CE101" s="14">
        <v>-8.3973649133617343</v>
      </c>
      <c r="CF101" s="14">
        <v>22.515115501528658</v>
      </c>
      <c r="CG101" s="66"/>
      <c r="CH101" s="14">
        <v>4.93</v>
      </c>
      <c r="CI101" s="14">
        <v>20.816886266231485</v>
      </c>
      <c r="CJ101" s="14">
        <v>26.049582061026207</v>
      </c>
      <c r="CK101" s="14">
        <v>479.35440609850161</v>
      </c>
      <c r="CL101" s="14">
        <v>6.7514705084296001</v>
      </c>
      <c r="CM101" s="14">
        <v>6.9984600686980052</v>
      </c>
      <c r="CN101" s="14">
        <v>838.68566745870282</v>
      </c>
      <c r="CO101" s="14">
        <v>11.812474189559195</v>
      </c>
      <c r="CP101" s="14">
        <v>329.8115113125823</v>
      </c>
      <c r="CQ101" s="14">
        <v>11.288031205797136</v>
      </c>
      <c r="CR101" s="14">
        <v>54.684444642976807</v>
      </c>
      <c r="CS101" s="14">
        <v>-0.96470801321377619</v>
      </c>
      <c r="CT101" s="14">
        <v>-8.8446671625193698</v>
      </c>
      <c r="CU101" s="14">
        <v>22.486533662144783</v>
      </c>
      <c r="CV101" s="66"/>
      <c r="CW101" s="8">
        <f t="shared" si="10"/>
        <v>-11.699779249448108</v>
      </c>
      <c r="CX101" s="8">
        <f t="shared" ref="CX101:CX107" si="16">100*(((MAX(CL101,BH101,AD101))-MIN(CL101,BH101,AD101))/(MAX(CL101,BH101,AD101)))</f>
        <v>18.130378478118807</v>
      </c>
      <c r="CY101" s="8">
        <f t="shared" ref="CY101:CY107" si="17">100*((MAX(CM101,BI101,AE101))-MIN(CM101,BI101,AE101))/(MAX(CM101,BI101,AE101))</f>
        <v>12.684741944816214</v>
      </c>
      <c r="CZ101" s="8">
        <f t="shared" ref="CZ101:CZ107" si="18">100*((MAX(CO101,BK101,AG101))-MIN(CO101,BK101,AG101))/(MAX(CO101,BK101,AG101))</f>
        <v>28.515328699367146</v>
      </c>
      <c r="DA101" s="8">
        <f t="shared" ref="DA101:DA109" si="19">((SUM(CH101,BS101,BD101,AO101,Z101,K101)/(MAX(CH101,BS101,BD101,AO101,Z101,K101)*6)-1))*100</f>
        <v>-4.4795783926218746</v>
      </c>
      <c r="DB101" s="8">
        <f t="shared" ref="DB101:DB109" si="20">AVERAGE(K101,Z101,AO101,BD101,BS101,CH101)</f>
        <v>4.833333333333333</v>
      </c>
    </row>
    <row r="102" spans="1:106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5"/>
      <c r="K102" s="8">
        <v>4.59</v>
      </c>
      <c r="L102" s="8">
        <v>22.129690260580471</v>
      </c>
      <c r="M102" s="8">
        <v>29.071917569819782</v>
      </c>
      <c r="N102" s="8">
        <v>288.36366186979654</v>
      </c>
      <c r="O102" s="8">
        <v>4.1194808838542363</v>
      </c>
      <c r="P102" s="8">
        <v>7.3508636037409794</v>
      </c>
      <c r="Q102" s="8">
        <v>529.9304866700395</v>
      </c>
      <c r="R102" s="8">
        <v>7.5704355238577072</v>
      </c>
      <c r="S102" s="8">
        <v>209.76934769362805</v>
      </c>
      <c r="T102" s="8">
        <v>6.6932132917149607</v>
      </c>
      <c r="U102" s="8">
        <v>41.559966460044734</v>
      </c>
      <c r="V102" s="8">
        <v>-0.56040774335110288</v>
      </c>
      <c r="W102" s="8">
        <v>-5.4355608471932992</v>
      </c>
      <c r="X102" s="8">
        <v>22.862127730560324</v>
      </c>
      <c r="Y102" s="66"/>
      <c r="Z102" s="31">
        <v>4.84</v>
      </c>
      <c r="AA102" s="32">
        <v>23.097506278022657</v>
      </c>
      <c r="AB102" s="32">
        <v>28.976699491404641</v>
      </c>
      <c r="AC102" s="32">
        <v>552.62947501641088</v>
      </c>
      <c r="AD102" s="32">
        <v>7.8947067859487268</v>
      </c>
      <c r="AE102" s="32">
        <v>7.9739491309513211</v>
      </c>
      <c r="AF102" s="32">
        <v>1101.6598305112987</v>
      </c>
      <c r="AG102" s="32">
        <v>15.737997578732838</v>
      </c>
      <c r="AH102" s="32">
        <v>489.94184649621769</v>
      </c>
      <c r="AI102" s="32">
        <v>14.640612567951145</v>
      </c>
      <c r="AJ102" s="32">
        <v>59.098422596969989</v>
      </c>
      <c r="AK102" s="32">
        <v>-0.99006234631031043</v>
      </c>
      <c r="AL102" s="32">
        <v>-8.7733654153386436</v>
      </c>
      <c r="AM102" s="32">
        <v>24.934267028923401</v>
      </c>
      <c r="AN102" s="66"/>
      <c r="AO102" s="8">
        <v>4.97</v>
      </c>
      <c r="AP102" s="8">
        <v>21.279413193751399</v>
      </c>
      <c r="AQ102" s="8">
        <v>25.385801696074129</v>
      </c>
      <c r="AR102" s="8">
        <v>473.21774892298083</v>
      </c>
      <c r="AS102" s="8">
        <v>6.7602535560425832</v>
      </c>
      <c r="AT102" s="8">
        <v>7.5346386340293829</v>
      </c>
      <c r="AU102" s="8">
        <v>891.38118333587693</v>
      </c>
      <c r="AV102" s="8">
        <v>12.734016904798242</v>
      </c>
      <c r="AW102" s="8">
        <v>450.29892028753432</v>
      </c>
      <c r="AX102" s="8">
        <v>14.133280763708974</v>
      </c>
      <c r="AY102" s="8">
        <v>50.531893939159055</v>
      </c>
      <c r="AZ102" s="8">
        <v>-0.89722332873545263</v>
      </c>
      <c r="BA102" s="8">
        <v>-8.1958904987636743</v>
      </c>
      <c r="BB102" s="8">
        <v>23.421790952778661</v>
      </c>
      <c r="BC102" s="66"/>
      <c r="BD102" s="8">
        <v>5.24</v>
      </c>
      <c r="BE102" s="8">
        <v>20.309924596151578</v>
      </c>
      <c r="BF102" s="8">
        <v>25.346089899086937</v>
      </c>
      <c r="BG102" s="8">
        <v>475.31678645604825</v>
      </c>
      <c r="BH102" s="8">
        <v>6.7902398065149754</v>
      </c>
      <c r="BI102" s="8">
        <v>6.8420662251279873</v>
      </c>
      <c r="BJ102" s="8">
        <v>813.03723271182491</v>
      </c>
      <c r="BK102" s="8">
        <v>11.614817610168927</v>
      </c>
      <c r="BL102" s="8">
        <v>308.28562914180048</v>
      </c>
      <c r="BM102" s="8">
        <v>11.390109405238357</v>
      </c>
      <c r="BN102" s="8">
        <v>56.981375990831943</v>
      </c>
      <c r="BO102" s="8">
        <v>-0.99242532636958747</v>
      </c>
      <c r="BP102" s="8">
        <v>-9.0008265095947557</v>
      </c>
      <c r="BQ102" s="8">
        <v>22.082138796684362</v>
      </c>
      <c r="BR102" s="66"/>
      <c r="BS102" s="14">
        <v>5.09</v>
      </c>
      <c r="BT102" s="14">
        <v>20.758714267100483</v>
      </c>
      <c r="BU102" s="14">
        <v>25.11075426746471</v>
      </c>
      <c r="BV102" s="14">
        <v>483.95080083601164</v>
      </c>
      <c r="BW102" s="14">
        <v>6.9135828690858805</v>
      </c>
      <c r="BX102" s="14">
        <v>7.1431776183042546</v>
      </c>
      <c r="BY102" s="14">
        <v>864.23663222305458</v>
      </c>
      <c r="BZ102" s="14">
        <v>12.346237603186495</v>
      </c>
      <c r="CA102" s="14">
        <v>382.72647514782744</v>
      </c>
      <c r="CB102" s="14">
        <v>12.863676670279048</v>
      </c>
      <c r="CC102" s="14">
        <v>52.998859939441111</v>
      </c>
      <c r="CD102" s="14">
        <v>-0.96785817720253209</v>
      </c>
      <c r="CE102" s="14">
        <v>-8.8305713047225911</v>
      </c>
      <c r="CF102" s="14">
        <v>22.691678082259678</v>
      </c>
      <c r="CG102" s="66"/>
      <c r="CH102" s="14">
        <v>5.28</v>
      </c>
      <c r="CI102" s="14">
        <v>20.449616859704836</v>
      </c>
      <c r="CJ102" s="14">
        <v>24.496314463348263</v>
      </c>
      <c r="CK102" s="14">
        <v>457.55174531634049</v>
      </c>
      <c r="CL102" s="14">
        <v>6.5364535045191499</v>
      </c>
      <c r="CM102" s="14">
        <v>6.7917292062190286</v>
      </c>
      <c r="CN102" s="14">
        <v>776.89188800537011</v>
      </c>
      <c r="CO102" s="14">
        <v>11.098455542933859</v>
      </c>
      <c r="CP102" s="14">
        <v>306.49511462684762</v>
      </c>
      <c r="CQ102" s="14">
        <v>10.423916598914698</v>
      </c>
      <c r="CR102" s="14">
        <v>49.37127559843325</v>
      </c>
      <c r="CS102" s="14">
        <v>-0.9624137397194622</v>
      </c>
      <c r="CT102" s="14">
        <v>-8.9955134065318738</v>
      </c>
      <c r="CU102" s="14">
        <v>21.899854915156652</v>
      </c>
      <c r="CV102" s="66"/>
      <c r="CW102" s="8">
        <f t="shared" si="10"/>
        <v>-15.032679738562098</v>
      </c>
      <c r="CX102" s="8">
        <f t="shared" si="16"/>
        <v>17.204607064660632</v>
      </c>
      <c r="CY102" s="8">
        <f t="shared" si="17"/>
        <v>14.826027923145897</v>
      </c>
      <c r="CZ102" s="8">
        <f t="shared" si="18"/>
        <v>29.47987514033241</v>
      </c>
      <c r="DA102" s="8">
        <f t="shared" si="19"/>
        <v>-5.2714646464646409</v>
      </c>
      <c r="DB102" s="8">
        <f t="shared" si="20"/>
        <v>5.0016666666666669</v>
      </c>
    </row>
    <row r="103" spans="1:106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5"/>
      <c r="K103" s="8">
        <v>4.84</v>
      </c>
      <c r="L103" s="8">
        <v>21.591829699367125</v>
      </c>
      <c r="M103" s="8">
        <v>25.683425213177888</v>
      </c>
      <c r="N103" s="8">
        <v>522.98097864611509</v>
      </c>
      <c r="O103" s="8">
        <v>6.6200123879255077</v>
      </c>
      <c r="P103" s="8">
        <v>7.1071420759925124</v>
      </c>
      <c r="Q103" s="8">
        <v>929.2250295698866</v>
      </c>
      <c r="R103" s="8">
        <v>11.762342146454261</v>
      </c>
      <c r="S103" s="8">
        <v>370.08648260701904</v>
      </c>
      <c r="T103" s="8">
        <v>10.13106535683248</v>
      </c>
      <c r="U103" s="8">
        <v>46.652398049576753</v>
      </c>
      <c r="V103" s="8">
        <v>-0.93145913183408835</v>
      </c>
      <c r="W103" s="8">
        <v>-8.7962991866139344</v>
      </c>
      <c r="X103" s="8">
        <v>22.759637393243842</v>
      </c>
      <c r="Y103" s="66"/>
      <c r="Z103" s="31">
        <v>5.04</v>
      </c>
      <c r="AA103" s="32">
        <v>21.214927483404672</v>
      </c>
      <c r="AB103" s="32">
        <v>26.120886861797011</v>
      </c>
      <c r="AC103" s="32">
        <v>563.01973242974429</v>
      </c>
      <c r="AD103" s="32">
        <v>7.126832056072713</v>
      </c>
      <c r="AE103" s="32">
        <v>7.5354980195040921</v>
      </c>
      <c r="AF103" s="32">
        <v>1060.6585196665155</v>
      </c>
      <c r="AG103" s="32">
        <v>13.426057210968551</v>
      </c>
      <c r="AH103" s="32">
        <v>508.18422336622706</v>
      </c>
      <c r="AI103" s="32">
        <v>14.868627734300762</v>
      </c>
      <c r="AJ103" s="32">
        <v>55.820818344282372</v>
      </c>
      <c r="AK103" s="32">
        <v>-0.94576788921267974</v>
      </c>
      <c r="AL103" s="32">
        <v>-8.4528607643543392</v>
      </c>
      <c r="AM103" s="32">
        <v>23.616018424677904</v>
      </c>
      <c r="AN103" s="66"/>
      <c r="AO103" s="8">
        <v>5.0199999999999996</v>
      </c>
      <c r="AP103" s="8">
        <v>20.259904052944979</v>
      </c>
      <c r="AQ103" s="8">
        <v>24.598017495783623</v>
      </c>
      <c r="AR103" s="8">
        <v>532.13558869881979</v>
      </c>
      <c r="AS103" s="8">
        <v>6.735893527833162</v>
      </c>
      <c r="AT103" s="8">
        <v>7.0673291639709364</v>
      </c>
      <c r="AU103" s="8">
        <v>940.19434129950298</v>
      </c>
      <c r="AV103" s="8">
        <v>11.901194193664594</v>
      </c>
      <c r="AW103" s="8">
        <v>431.78828858861516</v>
      </c>
      <c r="AX103" s="8">
        <v>13.24999009293311</v>
      </c>
      <c r="AY103" s="8">
        <v>52.619046718698357</v>
      </c>
      <c r="AZ103" s="8">
        <v>-0.95310312729914637</v>
      </c>
      <c r="BA103" s="8">
        <v>-8.6888432254733612</v>
      </c>
      <c r="BB103" s="8">
        <v>22.428901188085625</v>
      </c>
      <c r="BC103" s="66"/>
      <c r="BD103" s="8">
        <v>5.12</v>
      </c>
      <c r="BE103" s="8">
        <v>21.150874723328009</v>
      </c>
      <c r="BF103" s="8">
        <v>24.825231285971121</v>
      </c>
      <c r="BG103" s="8">
        <v>438.21096972663412</v>
      </c>
      <c r="BH103" s="8">
        <v>5.5469743003371406</v>
      </c>
      <c r="BI103" s="8">
        <v>6.8043470741697449</v>
      </c>
      <c r="BJ103" s="8">
        <v>745.43488243212744</v>
      </c>
      <c r="BK103" s="8">
        <v>9.4358845877484487</v>
      </c>
      <c r="BL103" s="8">
        <v>276.80029592094775</v>
      </c>
      <c r="BM103" s="8">
        <v>7.5421655245321526</v>
      </c>
      <c r="BN103" s="8">
        <v>37.817710696983156</v>
      </c>
      <c r="BO103" s="8">
        <v>-0.8152103706458822</v>
      </c>
      <c r="BP103" s="8">
        <v>-7.9381753603338154</v>
      </c>
      <c r="BQ103" s="8">
        <v>21.923191968768627</v>
      </c>
      <c r="BR103" s="66"/>
      <c r="BS103" s="14">
        <v>5.04</v>
      </c>
      <c r="BT103" s="14">
        <v>20.561742345706513</v>
      </c>
      <c r="BU103" s="14">
        <v>24.665365723769249</v>
      </c>
      <c r="BV103" s="14">
        <v>532.34331130383862</v>
      </c>
      <c r="BW103" s="14">
        <v>6.7385229278966916</v>
      </c>
      <c r="BX103" s="14">
        <v>6.9291932978879434</v>
      </c>
      <c r="BY103" s="14">
        <v>922.17742621550838</v>
      </c>
      <c r="BZ103" s="14">
        <v>11.673131977411499</v>
      </c>
      <c r="CA103" s="14">
        <v>390.70748250530181</v>
      </c>
      <c r="CB103" s="14">
        <v>11.523727380295627</v>
      </c>
      <c r="CC103" s="14">
        <v>49.686070354505624</v>
      </c>
      <c r="CD103" s="14">
        <v>-0.97248303492278543</v>
      </c>
      <c r="CE103" s="14">
        <v>-9.0382084600914947</v>
      </c>
      <c r="CF103" s="14">
        <v>22.222150101002221</v>
      </c>
      <c r="CG103" s="66"/>
      <c r="CH103" s="14">
        <v>5.17</v>
      </c>
      <c r="CI103" s="14">
        <v>19.858361154941868</v>
      </c>
      <c r="CJ103" s="14">
        <v>24.093162714633859</v>
      </c>
      <c r="CK103" s="14">
        <v>521.33100744244064</v>
      </c>
      <c r="CL103" s="14">
        <v>6.5991266764865903</v>
      </c>
      <c r="CM103" s="14">
        <v>6.7110680947790291</v>
      </c>
      <c r="CN103" s="14">
        <v>874.67197271649297</v>
      </c>
      <c r="CO103" s="14">
        <v>11.071797122993582</v>
      </c>
      <c r="CP103" s="14">
        <v>358.37674735384957</v>
      </c>
      <c r="CQ103" s="14">
        <v>11.384940935290972</v>
      </c>
      <c r="CR103" s="14">
        <v>51.583053829608019</v>
      </c>
      <c r="CS103" s="14">
        <v>-0.98331988042566221</v>
      </c>
      <c r="CT103" s="14">
        <v>-9.0854849293970776</v>
      </c>
      <c r="CU103" s="14">
        <v>21.676094197696784</v>
      </c>
      <c r="CV103" s="66"/>
      <c r="CW103" s="8">
        <f t="shared" si="10"/>
        <v>-6.8181818181818201</v>
      </c>
      <c r="CX103" s="8">
        <f t="shared" si="16"/>
        <v>22.167742179211157</v>
      </c>
      <c r="CY103" s="8">
        <f t="shared" si="17"/>
        <v>10.940616301552932</v>
      </c>
      <c r="CZ103" s="8">
        <f t="shared" si="18"/>
        <v>29.71961582258335</v>
      </c>
      <c r="DA103" s="8">
        <f t="shared" si="19"/>
        <v>-2.5467440361057303</v>
      </c>
      <c r="DB103" s="8">
        <f t="shared" si="20"/>
        <v>5.0383333333333331</v>
      </c>
    </row>
    <row r="104" spans="1:106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5"/>
      <c r="K104" s="8">
        <v>4.38</v>
      </c>
      <c r="L104" s="8">
        <v>23.341759573994281</v>
      </c>
      <c r="M104" s="8">
        <v>27.683906518511375</v>
      </c>
      <c r="N104" s="8">
        <v>535.77504911235883</v>
      </c>
      <c r="O104" s="8">
        <v>7.240203366383227</v>
      </c>
      <c r="P104" s="8">
        <v>7.734392820388531</v>
      </c>
      <c r="Q104" s="8">
        <v>1035.9736732994852</v>
      </c>
      <c r="R104" s="8">
        <v>13.999644233776827</v>
      </c>
      <c r="S104" s="8">
        <v>435.47332321944606</v>
      </c>
      <c r="T104" s="8">
        <v>11.43551920888577</v>
      </c>
      <c r="U104" s="8">
        <v>48.485862797349455</v>
      </c>
      <c r="V104" s="8">
        <v>-0.93610494508339703</v>
      </c>
      <c r="W104" s="8">
        <v>-8.7488880600274133</v>
      </c>
      <c r="X104" s="8">
        <v>24.346641779759693</v>
      </c>
      <c r="Y104" s="66"/>
      <c r="Z104" s="31">
        <v>4.87</v>
      </c>
      <c r="AA104" s="32">
        <v>24.055974471999814</v>
      </c>
      <c r="AB104" s="32">
        <v>29.732847133582577</v>
      </c>
      <c r="AC104" s="32">
        <v>600.86946796563109</v>
      </c>
      <c r="AD104" s="32">
        <v>8.1198576752112306</v>
      </c>
      <c r="AE104" s="32">
        <v>8.6186358015535856</v>
      </c>
      <c r="AF104" s="32">
        <v>1294.6687771672609</v>
      </c>
      <c r="AG104" s="32">
        <v>17.495524015773796</v>
      </c>
      <c r="AH104" s="32">
        <v>672.11965569023414</v>
      </c>
      <c r="AI104" s="32">
        <v>17.339361662951344</v>
      </c>
      <c r="AJ104" s="32">
        <v>58.078910164736754</v>
      </c>
      <c r="AK104" s="32">
        <v>-0.94212794950072654</v>
      </c>
      <c r="AL104" s="32">
        <v>-8.2513839224943428</v>
      </c>
      <c r="AM104" s="32">
        <v>26.278753817630488</v>
      </c>
      <c r="AN104" s="66"/>
      <c r="AO104" s="8">
        <v>4.7</v>
      </c>
      <c r="AP104" s="8">
        <v>22.562268628772163</v>
      </c>
      <c r="AQ104" s="8">
        <v>26.294408294427509</v>
      </c>
      <c r="AR104" s="8">
        <v>534.22950358382502</v>
      </c>
      <c r="AS104" s="8">
        <v>7.2193176159976353</v>
      </c>
      <c r="AT104" s="8">
        <v>7.7828025353149703</v>
      </c>
      <c r="AU104" s="8">
        <v>1039.4506837330628</v>
      </c>
      <c r="AV104" s="8">
        <v>14.046630861257604</v>
      </c>
      <c r="AW104" s="8">
        <v>524.48976800896662</v>
      </c>
      <c r="AX104" s="8">
        <v>13.750188262624761</v>
      </c>
      <c r="AY104" s="8">
        <v>46.756438786185555</v>
      </c>
      <c r="AZ104" s="8">
        <v>-0.9275987130907557</v>
      </c>
      <c r="BA104" s="8">
        <v>-8.6076518265791258</v>
      </c>
      <c r="BB104" s="8">
        <v>24.185997740519582</v>
      </c>
      <c r="BC104" s="66"/>
      <c r="BD104" s="8">
        <v>4.8499999999999996</v>
      </c>
      <c r="BE104" s="8">
        <v>22.007292744763678</v>
      </c>
      <c r="BF104" s="8">
        <v>26.2314302673981</v>
      </c>
      <c r="BG104" s="8">
        <v>496.33214658955922</v>
      </c>
      <c r="BH104" s="8">
        <v>6.7071911701291782</v>
      </c>
      <c r="BI104" s="8">
        <v>7.2640681234080864</v>
      </c>
      <c r="BJ104" s="8">
        <v>901.34763116598162</v>
      </c>
      <c r="BK104" s="8">
        <v>12.180373394134886</v>
      </c>
      <c r="BL104" s="8">
        <v>370.00994802244685</v>
      </c>
      <c r="BM104" s="8">
        <v>10.430215378934431</v>
      </c>
      <c r="BN104" s="8">
        <v>46.111843432508117</v>
      </c>
      <c r="BO104" s="8">
        <v>-0.92333814278470183</v>
      </c>
      <c r="BP104" s="8">
        <v>-8.7282263585184161</v>
      </c>
      <c r="BQ104" s="8">
        <v>23.147877675853994</v>
      </c>
      <c r="BR104" s="66"/>
      <c r="BS104" s="14">
        <v>4.9400000000000004</v>
      </c>
      <c r="BT104" s="14">
        <v>21.832344299611758</v>
      </c>
      <c r="BU104" s="14">
        <v>25.421072359824091</v>
      </c>
      <c r="BV104" s="14">
        <v>517.95965658148054</v>
      </c>
      <c r="BW104" s="14">
        <v>6.9994548186686556</v>
      </c>
      <c r="BX104" s="14">
        <v>7.4519001860062133</v>
      </c>
      <c r="BY104" s="14">
        <v>964.94591530581226</v>
      </c>
      <c r="BZ104" s="14">
        <v>13.03980966629476</v>
      </c>
      <c r="CA104" s="14">
        <v>461.70158229880627</v>
      </c>
      <c r="CB104" s="14">
        <v>12.75798303063052</v>
      </c>
      <c r="CC104" s="14">
        <v>46.539971444769478</v>
      </c>
      <c r="CD104" s="14">
        <v>-0.93928456419918294</v>
      </c>
      <c r="CE104" s="14">
        <v>-8.7549435205356438</v>
      </c>
      <c r="CF104" s="14">
        <v>23.419267438674815</v>
      </c>
      <c r="CG104" s="66"/>
      <c r="CH104" s="14">
        <v>5.01</v>
      </c>
      <c r="CI104" s="14">
        <v>21.14949105131284</v>
      </c>
      <c r="CJ104" s="14">
        <v>24.562595439231082</v>
      </c>
      <c r="CK104" s="14">
        <v>503.09131932440545</v>
      </c>
      <c r="CL104" s="14">
        <v>6.7985313422216951</v>
      </c>
      <c r="CM104" s="14">
        <v>7.1446615941977907</v>
      </c>
      <c r="CN104" s="14">
        <v>898.60430688784413</v>
      </c>
      <c r="CO104" s="14">
        <v>12.143301444430326</v>
      </c>
      <c r="CP104" s="14">
        <v>414.23507486246984</v>
      </c>
      <c r="CQ104" s="14">
        <v>11.867297544272983</v>
      </c>
      <c r="CR104" s="14">
        <v>45.008161347669351</v>
      </c>
      <c r="CS104" s="14">
        <v>-0.95155400330546258</v>
      </c>
      <c r="CT104" s="14">
        <v>-8.9442019168240776</v>
      </c>
      <c r="CU104" s="14">
        <v>22.665916580858912</v>
      </c>
      <c r="CV104" s="66"/>
      <c r="CW104" s="8">
        <f t="shared" si="10"/>
        <v>-14.383561643835616</v>
      </c>
      <c r="CX104" s="8">
        <f t="shared" si="16"/>
        <v>17.397675693192529</v>
      </c>
      <c r="CY104" s="8">
        <f t="shared" si="17"/>
        <v>17.102175347635619</v>
      </c>
      <c r="CZ104" s="8">
        <f t="shared" si="18"/>
        <v>30.591953499180459</v>
      </c>
      <c r="DA104" s="8">
        <f t="shared" si="19"/>
        <v>-4.3579507651363869</v>
      </c>
      <c r="DB104" s="8">
        <f t="shared" si="20"/>
        <v>4.791666666666667</v>
      </c>
    </row>
    <row r="105" spans="1:106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5"/>
      <c r="K105" s="8">
        <v>5.81</v>
      </c>
      <c r="L105" s="8">
        <v>19.190058913737911</v>
      </c>
      <c r="M105" s="8">
        <v>22.568806630407007</v>
      </c>
      <c r="N105" s="8">
        <v>307.21738273238549</v>
      </c>
      <c r="O105" s="8">
        <v>4.5179026872409631</v>
      </c>
      <c r="P105" s="8">
        <v>6.1265356775534219</v>
      </c>
      <c r="Q105" s="8">
        <v>470.54456401863604</v>
      </c>
      <c r="R105" s="8">
        <v>6.9197730002740592</v>
      </c>
      <c r="S105" s="8">
        <v>161.16085303394075</v>
      </c>
      <c r="T105" s="8">
        <v>5.8682396942957844</v>
      </c>
      <c r="U105" s="8">
        <v>35.223187840553152</v>
      </c>
      <c r="V105" s="8">
        <v>-0.73743187423094347</v>
      </c>
      <c r="W105" s="8">
        <v>-7.2468397152205908</v>
      </c>
      <c r="X105" s="8">
        <v>19.925822967843558</v>
      </c>
      <c r="Y105" s="66"/>
      <c r="Z105" s="31">
        <v>5.72</v>
      </c>
      <c r="AA105" s="32">
        <v>20.239432542294274</v>
      </c>
      <c r="AB105" s="32">
        <v>22.690908543147678</v>
      </c>
      <c r="AC105" s="32">
        <v>397.81645559747153</v>
      </c>
      <c r="AD105" s="32">
        <v>5.8502419940804637</v>
      </c>
      <c r="AE105" s="32">
        <v>6.9411160350966208</v>
      </c>
      <c r="AF105" s="32">
        <v>690.32254474322815</v>
      </c>
      <c r="AG105" s="32">
        <v>10.151802128576884</v>
      </c>
      <c r="AH105" s="32">
        <v>345.23251726649494</v>
      </c>
      <c r="AI105" s="32">
        <v>11.018845044800429</v>
      </c>
      <c r="AJ105" s="32">
        <v>39.505408998682988</v>
      </c>
      <c r="AK105" s="32">
        <v>-0.84283881215926493</v>
      </c>
      <c r="AL105" s="32">
        <v>-8.0261431932746294</v>
      </c>
      <c r="AM105" s="32">
        <v>21.71760610384915</v>
      </c>
      <c r="AN105" s="66"/>
      <c r="AO105" s="8">
        <v>6.13</v>
      </c>
      <c r="AP105" s="8">
        <v>17.964192161148176</v>
      </c>
      <c r="AQ105" s="8">
        <v>20.916487553068475</v>
      </c>
      <c r="AR105" s="8">
        <v>390.02480646204742</v>
      </c>
      <c r="AS105" s="8">
        <v>5.7356589185595208</v>
      </c>
      <c r="AT105" s="8">
        <v>6.0030679834788394</v>
      </c>
      <c r="AU105" s="8">
        <v>585.33635710871192</v>
      </c>
      <c r="AV105" s="8">
        <v>8.6078876045398811</v>
      </c>
      <c r="AW105" s="8">
        <v>230.57498971385178</v>
      </c>
      <c r="AX105" s="8">
        <v>9.4999646894408727</v>
      </c>
      <c r="AY105" s="8">
        <v>45.699614391124982</v>
      </c>
      <c r="AZ105" s="8">
        <v>-0.95545459993868831</v>
      </c>
      <c r="BA105" s="8">
        <v>-9.0200091096812702</v>
      </c>
      <c r="BB105" s="8">
        <v>19.6069950567605</v>
      </c>
      <c r="BC105" s="66"/>
      <c r="BD105" s="8">
        <v>5.96</v>
      </c>
      <c r="BE105" s="8">
        <v>17.954780415224942</v>
      </c>
      <c r="BF105" s="8">
        <v>20.314629823835855</v>
      </c>
      <c r="BG105" s="8">
        <v>361.41320951677881</v>
      </c>
      <c r="BH105" s="8">
        <v>5.3149001399526297</v>
      </c>
      <c r="BI105" s="8">
        <v>5.7006901114334303</v>
      </c>
      <c r="BJ105" s="8">
        <v>515.07617740842988</v>
      </c>
      <c r="BK105" s="8">
        <v>7.5746496677710278</v>
      </c>
      <c r="BL105" s="8">
        <v>176.66749961043479</v>
      </c>
      <c r="BM105" s="8">
        <v>6.6451010571787341</v>
      </c>
      <c r="BN105" s="8">
        <v>34.771199218023732</v>
      </c>
      <c r="BO105" s="8">
        <v>-0.93232574233301113</v>
      </c>
      <c r="BP105" s="8">
        <v>-9.1359322739604298</v>
      </c>
      <c r="BQ105" s="8">
        <v>18.898633293678014</v>
      </c>
      <c r="BR105" s="66"/>
      <c r="BS105" s="14">
        <v>6.28</v>
      </c>
      <c r="BT105" s="14">
        <v>18.137224663614163</v>
      </c>
      <c r="BU105" s="14">
        <v>20.652834454156935</v>
      </c>
      <c r="BV105" s="14">
        <v>374.49389007675251</v>
      </c>
      <c r="BW105" s="14">
        <v>5.5072630893640078</v>
      </c>
      <c r="BX105" s="14">
        <v>6.0960347024275547</v>
      </c>
      <c r="BY105" s="14">
        <v>570.73193743874333</v>
      </c>
      <c r="BZ105" s="14">
        <v>8.3931167270403435</v>
      </c>
      <c r="CA105" s="14">
        <v>244.20232087156768</v>
      </c>
      <c r="CB105" s="14">
        <v>9.4488741000221648</v>
      </c>
      <c r="CC105" s="14">
        <v>41.505134685344501</v>
      </c>
      <c r="CD105" s="14">
        <v>-0.90341727995264121</v>
      </c>
      <c r="CE105" s="14">
        <v>-8.6122461116758995</v>
      </c>
      <c r="CF105" s="14">
        <v>19.686968266140717</v>
      </c>
      <c r="CG105" s="66"/>
      <c r="CH105" s="14">
        <v>6</v>
      </c>
      <c r="CI105" s="14">
        <v>17.649149206278516</v>
      </c>
      <c r="CJ105" s="14">
        <v>21.520866862257119</v>
      </c>
      <c r="CK105" s="14">
        <v>211.34541282784787</v>
      </c>
      <c r="CL105" s="14">
        <v>3.1080207768801156</v>
      </c>
      <c r="CM105" s="14">
        <v>5.6738097084270134</v>
      </c>
      <c r="CN105" s="14">
        <v>299.78341378353957</v>
      </c>
      <c r="CO105" s="14">
        <v>4.4085796144638172</v>
      </c>
      <c r="CP105" s="14">
        <v>101.64051554973646</v>
      </c>
      <c r="CQ105" s="14">
        <v>4.2451203398009447</v>
      </c>
      <c r="CR105" s="14">
        <v>31.330266504168076</v>
      </c>
      <c r="CS105" s="14">
        <v>-0.54778375317450878</v>
      </c>
      <c r="CT105" s="14">
        <v>-5.4396077169811239</v>
      </c>
      <c r="CU105" s="14">
        <v>18.41539612119637</v>
      </c>
      <c r="CV105" s="66"/>
      <c r="CW105" s="8">
        <f t="shared" si="10"/>
        <v>-9.7902097902097989</v>
      </c>
      <c r="CX105" s="8">
        <f t="shared" si="16"/>
        <v>46.8736373636347</v>
      </c>
      <c r="CY105" s="8">
        <f t="shared" si="17"/>
        <v>18.257961979913315</v>
      </c>
      <c r="CZ105" s="8">
        <f t="shared" si="18"/>
        <v>56.573428455093151</v>
      </c>
      <c r="DA105" s="8">
        <f t="shared" si="19"/>
        <v>-4.7239915074310019</v>
      </c>
      <c r="DB105" s="8">
        <f t="shared" si="20"/>
        <v>5.9833333333333343</v>
      </c>
    </row>
    <row r="106" spans="1:106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5"/>
      <c r="K106" s="8">
        <v>4.6399999999999997</v>
      </c>
      <c r="L106" s="8">
        <v>22.278342783094676</v>
      </c>
      <c r="M106" s="8">
        <v>28.363298501636745</v>
      </c>
      <c r="N106" s="8">
        <v>573.23366918975125</v>
      </c>
      <c r="O106" s="8">
        <v>7.5425482788125162</v>
      </c>
      <c r="P106" s="8">
        <v>7.5958514452877388</v>
      </c>
      <c r="Q106" s="8">
        <v>1088.5494486506414</v>
      </c>
      <c r="R106" s="8">
        <v>14.32301906119265</v>
      </c>
      <c r="S106" s="8">
        <v>440.2401088089108</v>
      </c>
      <c r="T106" s="8">
        <v>13.21471832229796</v>
      </c>
      <c r="U106" s="8">
        <v>60.523306990181304</v>
      </c>
      <c r="V106" s="8">
        <v>-0.99298259492577501</v>
      </c>
      <c r="W106" s="8">
        <v>-8.8101156416213904</v>
      </c>
      <c r="X106" s="8">
        <v>24.038868057236485</v>
      </c>
      <c r="Y106" s="66"/>
      <c r="Z106" s="31">
        <v>4.8099999999999996</v>
      </c>
      <c r="AA106" s="32">
        <v>24.436650597838902</v>
      </c>
      <c r="AB106" s="32">
        <v>27.609559226425265</v>
      </c>
      <c r="AC106" s="32">
        <v>474.10364636769248</v>
      </c>
      <c r="AD106" s="32">
        <v>6.2382058732591119</v>
      </c>
      <c r="AE106" s="32">
        <v>9.2394038627742958</v>
      </c>
      <c r="AF106" s="32">
        <v>1095.1087654012592</v>
      </c>
      <c r="AG106" s="32">
        <v>14.409325860542884</v>
      </c>
      <c r="AH106" s="32">
        <v>741.69542230891625</v>
      </c>
      <c r="AI106" s="32">
        <v>16.311311907392682</v>
      </c>
      <c r="AJ106" s="32">
        <v>41.160947352879553</v>
      </c>
      <c r="AK106" s="32">
        <v>-0.67517406597983465</v>
      </c>
      <c r="AL106" s="32">
        <v>-6.2709840829580035</v>
      </c>
      <c r="AM106" s="32">
        <v>26.391853860109318</v>
      </c>
      <c r="AN106" s="66"/>
      <c r="AO106" s="8">
        <v>4.9800000000000004</v>
      </c>
      <c r="AP106" s="8">
        <v>21.234689186317627</v>
      </c>
      <c r="AQ106" s="8">
        <v>24.473460061566939</v>
      </c>
      <c r="AR106" s="8">
        <v>462.22369458129748</v>
      </c>
      <c r="AS106" s="8">
        <v>6.0818907181749671</v>
      </c>
      <c r="AT106" s="8">
        <v>7.6559402965357313</v>
      </c>
      <c r="AU106" s="8">
        <v>884.68925233964501</v>
      </c>
      <c r="AV106" s="8">
        <v>11.640648057100591</v>
      </c>
      <c r="AW106" s="8">
        <v>506.55838088455067</v>
      </c>
      <c r="AX106" s="8">
        <v>13.742971343007159</v>
      </c>
      <c r="AY106" s="8">
        <v>42.953352971466053</v>
      </c>
      <c r="AZ106" s="8">
        <v>-0.79440153431277261</v>
      </c>
      <c r="BA106" s="8">
        <v>-7.4300906820542316</v>
      </c>
      <c r="BB106" s="8">
        <v>23.237374391096594</v>
      </c>
      <c r="BC106" s="66"/>
      <c r="BD106" s="8">
        <v>5</v>
      </c>
      <c r="BE106" s="8">
        <v>20.720236342600579</v>
      </c>
      <c r="BF106" s="8">
        <v>25.975387076160921</v>
      </c>
      <c r="BG106" s="8">
        <v>542.22758890310672</v>
      </c>
      <c r="BH106" s="8">
        <v>7.1345735381987723</v>
      </c>
      <c r="BI106" s="8">
        <v>7.0878639393588552</v>
      </c>
      <c r="BJ106" s="8">
        <v>960.80884357795696</v>
      </c>
      <c r="BK106" s="8">
        <v>12.64222162602575</v>
      </c>
      <c r="BL106" s="8">
        <v>389.45210222864841</v>
      </c>
      <c r="BM106" s="8">
        <v>12.768204768754895</v>
      </c>
      <c r="BN106" s="8">
        <v>58.126284757401557</v>
      </c>
      <c r="BO106" s="8">
        <v>-1.006590081192239</v>
      </c>
      <c r="BP106" s="8">
        <v>-9.0274217888036734</v>
      </c>
      <c r="BQ106" s="8">
        <v>22.712449171959943</v>
      </c>
      <c r="BR106" s="66"/>
      <c r="BS106" s="14">
        <v>5.13</v>
      </c>
      <c r="BT106" s="14">
        <v>20.989571113515815</v>
      </c>
      <c r="BU106" s="14">
        <v>24.176468743326353</v>
      </c>
      <c r="BV106" s="14">
        <v>460.28338131071877</v>
      </c>
      <c r="BW106" s="14">
        <v>6.0563602804041947</v>
      </c>
      <c r="BX106" s="14">
        <v>7.503719111118321</v>
      </c>
      <c r="BY106" s="14">
        <v>863.45930121785045</v>
      </c>
      <c r="BZ106" s="14">
        <v>11.361306594971717</v>
      </c>
      <c r="CA106" s="14">
        <v>478.98702034260396</v>
      </c>
      <c r="CB106" s="14">
        <v>13.292287515671951</v>
      </c>
      <c r="CC106" s="14">
        <v>43.21205581233346</v>
      </c>
      <c r="CD106" s="14">
        <v>-0.80711447093354494</v>
      </c>
      <c r="CE106" s="14">
        <v>-7.555145986593395</v>
      </c>
      <c r="CF106" s="14">
        <v>22.956751887486384</v>
      </c>
      <c r="CG106" s="66"/>
      <c r="CH106" s="14">
        <v>4.92</v>
      </c>
      <c r="CI106" s="14">
        <v>19.384133433969318</v>
      </c>
      <c r="CJ106" s="14">
        <v>23.338311772218088</v>
      </c>
      <c r="CK106" s="14">
        <v>462.05915245452331</v>
      </c>
      <c r="CL106" s="14">
        <v>6.0797256901910961</v>
      </c>
      <c r="CM106" s="14">
        <v>6.9893753763075308</v>
      </c>
      <c r="CN106" s="14">
        <v>807.37621564079313</v>
      </c>
      <c r="CO106" s="14">
        <v>10.623371258431488</v>
      </c>
      <c r="CP106" s="14">
        <v>418.59965022409148</v>
      </c>
      <c r="CQ106" s="14">
        <v>13.607455327236577</v>
      </c>
      <c r="CR106" s="14">
        <v>48.24807893601831</v>
      </c>
      <c r="CS106" s="14">
        <v>-0.86985250653442558</v>
      </c>
      <c r="CT106" s="14">
        <v>-8.0264952544409063</v>
      </c>
      <c r="CU106" s="14">
        <v>21.863840035542509</v>
      </c>
      <c r="CV106" s="66"/>
      <c r="CW106" s="8">
        <f t="shared" si="10"/>
        <v>-10.560344827586214</v>
      </c>
      <c r="CX106" s="8">
        <f t="shared" si="16"/>
        <v>14.78501612408901</v>
      </c>
      <c r="CY106" s="8">
        <f t="shared" si="17"/>
        <v>24.352528798228697</v>
      </c>
      <c r="CZ106" s="8">
        <f t="shared" si="18"/>
        <v>26.274335376636117</v>
      </c>
      <c r="DA106" s="8">
        <f t="shared" si="19"/>
        <v>-4.2235217673814223</v>
      </c>
      <c r="DB106" s="8">
        <f t="shared" si="20"/>
        <v>4.9133333333333331</v>
      </c>
    </row>
    <row r="107" spans="1:106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5"/>
      <c r="K107" s="8">
        <v>4.5599999999999996</v>
      </c>
      <c r="L107" s="8">
        <v>22.70578782737072</v>
      </c>
      <c r="M107" s="8">
        <v>28.07229748377242</v>
      </c>
      <c r="N107" s="8">
        <v>567.01809427429396</v>
      </c>
      <c r="O107" s="8">
        <v>7.1774442313201767</v>
      </c>
      <c r="P107" s="8">
        <v>7.6125901976662886</v>
      </c>
      <c r="Q107" s="8">
        <v>1079.1190965929775</v>
      </c>
      <c r="R107" s="8">
        <v>13.659735399911108</v>
      </c>
      <c r="S107" s="8">
        <v>440.86099392630712</v>
      </c>
      <c r="T107" s="8">
        <v>11.862344023515112</v>
      </c>
      <c r="U107" s="8">
        <v>54.216732656925807</v>
      </c>
      <c r="V107" s="8">
        <v>-0.94283864557959429</v>
      </c>
      <c r="W107" s="8">
        <v>-8.6393954369434987</v>
      </c>
      <c r="X107" s="8">
        <v>24.051433396380798</v>
      </c>
      <c r="Y107" s="66"/>
      <c r="Z107" s="31">
        <v>4.82</v>
      </c>
      <c r="AA107" s="32">
        <v>23.599753387605492</v>
      </c>
      <c r="AB107" s="32">
        <v>28.3360581969688</v>
      </c>
      <c r="AC107" s="32">
        <v>586.21212523015606</v>
      </c>
      <c r="AD107" s="32">
        <v>7.420406648482988</v>
      </c>
      <c r="AE107" s="32">
        <v>8.5765983812207409</v>
      </c>
      <c r="AF107" s="32">
        <v>1256.9264910752318</v>
      </c>
      <c r="AG107" s="32">
        <v>15.910461912344706</v>
      </c>
      <c r="AH107" s="32">
        <v>699.52729955666302</v>
      </c>
      <c r="AI107" s="32">
        <v>16.841003197712425</v>
      </c>
      <c r="AJ107" s="32">
        <v>53.081630626199541</v>
      </c>
      <c r="AK107" s="32">
        <v>-0.86519227304972779</v>
      </c>
      <c r="AL107" s="32">
        <v>-7.7326922519142389</v>
      </c>
      <c r="AM107" s="32">
        <v>25.869228805864644</v>
      </c>
      <c r="AN107" s="66"/>
      <c r="AO107" s="8">
        <v>5.03</v>
      </c>
      <c r="AP107" s="8">
        <v>21.585072669345358</v>
      </c>
      <c r="AQ107" s="8">
        <v>24.614195570794603</v>
      </c>
      <c r="AR107" s="8">
        <v>464.23541589221725</v>
      </c>
      <c r="AS107" s="8">
        <v>5.8763976695217375</v>
      </c>
      <c r="AT107" s="8">
        <v>7.8700600862311134</v>
      </c>
      <c r="AU107" s="8">
        <v>913.39015430706002</v>
      </c>
      <c r="AV107" s="8">
        <v>11.561900687431139</v>
      </c>
      <c r="AW107" s="8">
        <v>549.00388052577205</v>
      </c>
      <c r="AX107" s="8">
        <v>13.817064310642497</v>
      </c>
      <c r="AY107" s="8">
        <v>41.027077137138029</v>
      </c>
      <c r="AZ107" s="8">
        <v>-0.74667761175072334</v>
      </c>
      <c r="BA107" s="8">
        <v>-7.0130340229554191</v>
      </c>
      <c r="BB107" s="8">
        <v>23.539312747479521</v>
      </c>
      <c r="BC107" s="66"/>
      <c r="BD107" s="8">
        <v>5.13</v>
      </c>
      <c r="BE107" s="8">
        <v>21.738400208002588</v>
      </c>
      <c r="BF107" s="8">
        <v>25.951348653007898</v>
      </c>
      <c r="BG107" s="8">
        <v>485.36436509694357</v>
      </c>
      <c r="BH107" s="8">
        <v>6.1438527227461215</v>
      </c>
      <c r="BI107" s="8">
        <v>7.0855643755389872</v>
      </c>
      <c r="BJ107" s="8">
        <v>859.77011362175051</v>
      </c>
      <c r="BK107" s="8">
        <v>10.883165995212032</v>
      </c>
      <c r="BL107" s="8">
        <v>327.11729772530407</v>
      </c>
      <c r="BM107" s="8">
        <v>8.9420542039260766</v>
      </c>
      <c r="BN107" s="8">
        <v>44.660157738600525</v>
      </c>
      <c r="BO107" s="8">
        <v>-0.86709433393282376</v>
      </c>
      <c r="BP107" s="8">
        <v>-8.2736077043194491</v>
      </c>
      <c r="BQ107" s="8">
        <v>22.621954464221908</v>
      </c>
      <c r="BR107" s="66"/>
      <c r="BS107" s="14">
        <v>5.15</v>
      </c>
      <c r="BT107" s="14">
        <v>21.283480200625679</v>
      </c>
      <c r="BU107" s="14">
        <v>23.704177954226761</v>
      </c>
      <c r="BV107" s="14">
        <v>352.63221450880877</v>
      </c>
      <c r="BW107" s="14">
        <v>4.4636989178330229</v>
      </c>
      <c r="BX107" s="14">
        <v>8.4128177152001467</v>
      </c>
      <c r="BY107" s="14">
        <v>741.65763529249114</v>
      </c>
      <c r="BZ107" s="14">
        <v>9.3880713328163434</v>
      </c>
      <c r="CA107" s="14">
        <v>544.02302343875283</v>
      </c>
      <c r="CB107" s="14">
        <v>13.244958271239598</v>
      </c>
      <c r="CC107" s="14">
        <v>32.771733300611743</v>
      </c>
      <c r="CD107" s="14">
        <v>-0.53058310175532286</v>
      </c>
      <c r="CE107" s="14">
        <v>-5.0883084623554389</v>
      </c>
      <c r="CF107" s="14">
        <v>23.234603811005229</v>
      </c>
      <c r="CG107" s="66"/>
      <c r="CH107" s="14">
        <v>5.23</v>
      </c>
      <c r="CI107" s="14">
        <v>21.330669148933232</v>
      </c>
      <c r="CJ107" s="14">
        <v>25.192014437963227</v>
      </c>
      <c r="CK107" s="14">
        <v>476.20934791729587</v>
      </c>
      <c r="CL107" s="14">
        <v>6.0279664293328592</v>
      </c>
      <c r="CM107" s="14">
        <v>6.9172002289080936</v>
      </c>
      <c r="CN107" s="14">
        <v>823.50885260542327</v>
      </c>
      <c r="CO107" s="14">
        <v>10.42416269120789</v>
      </c>
      <c r="CP107" s="14">
        <v>308.75306197986839</v>
      </c>
      <c r="CQ107" s="14">
        <v>8.5407306447456275</v>
      </c>
      <c r="CR107" s="14">
        <v>42.837795281247729</v>
      </c>
      <c r="CS107" s="14">
        <v>-0.8714459940224103</v>
      </c>
      <c r="CT107" s="14">
        <v>-8.3615319701287021</v>
      </c>
      <c r="CU107" s="14">
        <v>22.185312812058438</v>
      </c>
      <c r="CV107" s="66"/>
      <c r="CW107" s="8">
        <f t="shared" si="10"/>
        <v>-14.692982456140369</v>
      </c>
      <c r="CX107" s="8">
        <f t="shared" si="16"/>
        <v>18.765012284532901</v>
      </c>
      <c r="CY107" s="8">
        <f t="shared" si="17"/>
        <v>19.34797548578296</v>
      </c>
      <c r="CZ107" s="8">
        <f t="shared" si="18"/>
        <v>34.482337793600273</v>
      </c>
      <c r="DA107" s="8">
        <f t="shared" si="19"/>
        <v>-4.6526449968132599</v>
      </c>
      <c r="DB107" s="8">
        <f t="shared" si="20"/>
        <v>4.9866666666666664</v>
      </c>
    </row>
    <row r="108" spans="1:106" ht="15.75" x14ac:dyDescent="0.25">
      <c r="A108" s="10">
        <v>107</v>
      </c>
      <c r="B108" s="1" t="s">
        <v>552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5"/>
      <c r="K108" s="8">
        <v>4.58</v>
      </c>
      <c r="L108" s="8">
        <v>23.573162971433753</v>
      </c>
      <c r="M108" s="8">
        <v>28.471682222432712</v>
      </c>
      <c r="N108" s="8">
        <v>475.12904998591443</v>
      </c>
      <c r="O108" s="8">
        <v>7.1989249997865823</v>
      </c>
      <c r="P108" s="8">
        <v>7.8552927990161194</v>
      </c>
      <c r="Q108" s="8">
        <v>933.06945123943092</v>
      </c>
      <c r="R108" s="8">
        <v>14.137415927870165</v>
      </c>
      <c r="S108" s="8">
        <v>403.76870097211014</v>
      </c>
      <c r="T108" s="8">
        <v>11.704557394966052</v>
      </c>
      <c r="U108" s="8">
        <v>48.33943650376645</v>
      </c>
      <c r="V108" s="8">
        <v>-0.91644260551156698</v>
      </c>
      <c r="W108" s="8">
        <v>-8.5747278595525493</v>
      </c>
      <c r="X108" s="8">
        <v>24.692970306980918</v>
      </c>
      <c r="Y108" s="66"/>
      <c r="Z108" s="31">
        <v>4.5199999999999996</v>
      </c>
      <c r="AA108" s="32">
        <v>23.653708920458115</v>
      </c>
      <c r="AB108" s="32">
        <v>29.022223619070189</v>
      </c>
      <c r="AC108" s="32">
        <v>498.49136903725946</v>
      </c>
      <c r="AD108" s="32">
        <v>7.5528995308675677</v>
      </c>
      <c r="AE108" s="32">
        <v>8.7601453699274003</v>
      </c>
      <c r="AF108" s="32">
        <v>1091.7142146051299</v>
      </c>
      <c r="AG108" s="32">
        <v>16.541124463714088</v>
      </c>
      <c r="AH108" s="32">
        <v>605.39523448176328</v>
      </c>
      <c r="AI108" s="32">
        <v>17.982168655060502</v>
      </c>
      <c r="AJ108" s="32">
        <v>57.14208048722945</v>
      </c>
      <c r="AK108" s="32">
        <v>-0.86218883499306165</v>
      </c>
      <c r="AL108" s="32">
        <v>-7.5279300639880056</v>
      </c>
      <c r="AM108" s="32">
        <v>26.252118509993117</v>
      </c>
      <c r="AN108" s="66"/>
      <c r="AO108" s="8">
        <v>4.76</v>
      </c>
      <c r="AP108" s="8">
        <v>22.556075518646146</v>
      </c>
      <c r="AQ108" s="8">
        <v>26.164201651917441</v>
      </c>
      <c r="AR108" s="8">
        <v>418.08558419780655</v>
      </c>
      <c r="AS108" s="8">
        <v>6.3346300636031296</v>
      </c>
      <c r="AT108" s="8">
        <v>8.3385236905041342</v>
      </c>
      <c r="AU108" s="8">
        <v>871.55413712291772</v>
      </c>
      <c r="AV108" s="8">
        <v>13.205365713983602</v>
      </c>
      <c r="AW108" s="8">
        <v>531.68292232194335</v>
      </c>
      <c r="AX108" s="8">
        <v>15.43554697556139</v>
      </c>
      <c r="AY108" s="8">
        <v>44.951931550203135</v>
      </c>
      <c r="AZ108" s="8">
        <v>-0.75968244484535929</v>
      </c>
      <c r="BA108" s="8">
        <v>-7.0124188525648119</v>
      </c>
      <c r="BB108" s="8">
        <v>24.743018466294949</v>
      </c>
      <c r="BC108" s="66"/>
      <c r="BD108" s="8">
        <v>4.88</v>
      </c>
      <c r="BE108" s="8">
        <v>22.58392781581589</v>
      </c>
      <c r="BF108" s="8">
        <v>27.677590434117892</v>
      </c>
      <c r="BG108" s="8">
        <v>322.2992504163451</v>
      </c>
      <c r="BH108" s="8">
        <v>4.8833219760052291</v>
      </c>
      <c r="BI108" s="8">
        <v>7.370885118406532</v>
      </c>
      <c r="BJ108" s="8">
        <v>593.90768714185458</v>
      </c>
      <c r="BK108" s="8">
        <v>8.9986013203311295</v>
      </c>
      <c r="BL108" s="8">
        <v>233.15247973210296</v>
      </c>
      <c r="BM108" s="8">
        <v>7.2414972793651575</v>
      </c>
      <c r="BN108" s="8">
        <v>38.60520156831101</v>
      </c>
      <c r="BO108" s="8">
        <v>-0.66251500295542853</v>
      </c>
      <c r="BP108" s="8">
        <v>-6.4533913305309554</v>
      </c>
      <c r="BQ108" s="8">
        <v>23.140473242623976</v>
      </c>
      <c r="BR108" s="66"/>
      <c r="BS108" s="14">
        <v>5.0199999999999996</v>
      </c>
      <c r="BT108" s="14">
        <v>21.57028752347281</v>
      </c>
      <c r="BU108" s="14">
        <v>25.725466945196661</v>
      </c>
      <c r="BV108" s="14">
        <v>439.76698967494536</v>
      </c>
      <c r="BW108" s="14">
        <v>6.6631362071961417</v>
      </c>
      <c r="BX108" s="14">
        <v>7.7649966789030351</v>
      </c>
      <c r="BY108" s="14">
        <v>853.69730357928404</v>
      </c>
      <c r="BZ108" s="14">
        <v>12.934807629989152</v>
      </c>
      <c r="CA108" s="14">
        <v>448.64796515084163</v>
      </c>
      <c r="CB108" s="14">
        <v>14.743987266856697</v>
      </c>
      <c r="CC108" s="14">
        <v>50.998174507157366</v>
      </c>
      <c r="CD108" s="14">
        <v>-0.85809904147150862</v>
      </c>
      <c r="CE108" s="14">
        <v>-7.793497600489161</v>
      </c>
      <c r="CF108" s="14">
        <v>23.847225264263646</v>
      </c>
      <c r="CG108" s="66"/>
      <c r="CH108" s="14">
        <v>4.9000000000000004</v>
      </c>
      <c r="CI108" s="14">
        <v>22.001418951778057</v>
      </c>
      <c r="CJ108" s="14">
        <v>25.686148985657322</v>
      </c>
      <c r="CK108" s="14">
        <v>352.74015269642695</v>
      </c>
      <c r="CL108" s="14">
        <v>5.344547768127681</v>
      </c>
      <c r="CM108" s="14">
        <v>7.0610808518512735</v>
      </c>
      <c r="CN108" s="14">
        <v>622.68168447095866</v>
      </c>
      <c r="CO108" s="14">
        <v>9.4345709768327062</v>
      </c>
      <c r="CP108" s="14">
        <v>237.13353464175583</v>
      </c>
      <c r="CQ108" s="14">
        <v>7.1924807577077914</v>
      </c>
      <c r="CR108" s="14">
        <v>34.265631818653034</v>
      </c>
      <c r="CS108" s="14">
        <v>-0.75690221939980307</v>
      </c>
      <c r="CT108" s="14">
        <v>-7.4305507504608581</v>
      </c>
      <c r="CU108" s="14">
        <v>22.604350032987959</v>
      </c>
      <c r="CV108" s="66"/>
      <c r="CW108" s="8">
        <f t="shared" si="10"/>
        <v>-11.061946902654867</v>
      </c>
      <c r="CX108" s="8">
        <f t="shared" ref="CX108:CX109" si="21">100*(((MAX(CL108,BH108,AD108))-MIN(CL108,BH108,AD108))/(MAX(CL108,BH108,AD108)))</f>
        <v>35.345069055296918</v>
      </c>
      <c r="CY108" s="8">
        <f t="shared" ref="CY108:CY109" si="22">100*((MAX(CM108,BI108,AE108))-MIN(CM108,BI108,AE108))/(MAX(CM108,BI108,AE108))</f>
        <v>19.395391815172673</v>
      </c>
      <c r="CZ108" s="8">
        <f t="shared" ref="CZ108:CZ109" si="23">100*((MAX(CO108,BK108,AG108))-MIN(CO108,BK108,AG108))/(MAX(CO108,BK108,AG108))</f>
        <v>45.598611871453059</v>
      </c>
      <c r="DA108" s="8">
        <f t="shared" si="19"/>
        <v>-4.8472775564408881</v>
      </c>
      <c r="DB108" s="8">
        <f t="shared" si="20"/>
        <v>4.7766666666666664</v>
      </c>
    </row>
    <row r="109" spans="1:106" ht="15.75" x14ac:dyDescent="0.25">
      <c r="A109" s="10">
        <v>108</v>
      </c>
      <c r="B109" s="1" t="s">
        <v>553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5"/>
      <c r="K109" s="8">
        <v>4.3</v>
      </c>
      <c r="L109" s="8">
        <v>23.4456985871787</v>
      </c>
      <c r="M109" s="8">
        <v>28.826487907737775</v>
      </c>
      <c r="N109" s="8">
        <v>525.06922803548287</v>
      </c>
      <c r="O109" s="8">
        <v>7.836854149783326</v>
      </c>
      <c r="P109" s="8">
        <v>8.4080879434616413</v>
      </c>
      <c r="Q109" s="8">
        <v>1103.7070614319637</v>
      </c>
      <c r="R109" s="8">
        <v>16.473239722865131</v>
      </c>
      <c r="S109" s="8">
        <v>572.83881356751863</v>
      </c>
      <c r="T109" s="8">
        <v>16.85003354067921</v>
      </c>
      <c r="U109" s="8">
        <v>56.965511941724635</v>
      </c>
      <c r="V109" s="8">
        <v>-0.93206139166009527</v>
      </c>
      <c r="W109" s="8">
        <v>-8.2177307999913936</v>
      </c>
      <c r="X109" s="8">
        <v>25.689605817853757</v>
      </c>
      <c r="Y109" s="66"/>
      <c r="Z109" s="31">
        <v>4.4800000000000004</v>
      </c>
      <c r="AA109" s="32">
        <v>25.270034875733636</v>
      </c>
      <c r="AB109" s="32">
        <v>30.003104278714503</v>
      </c>
      <c r="AC109" s="32">
        <v>532.40138575908702</v>
      </c>
      <c r="AD109" s="32">
        <v>7.9462893396878655</v>
      </c>
      <c r="AE109" s="32">
        <v>9.1573750748789866</v>
      </c>
      <c r="AF109" s="32">
        <v>1218.849794945324</v>
      </c>
      <c r="AG109" s="32">
        <v>18.191787984258568</v>
      </c>
      <c r="AH109" s="32">
        <v>707.86828827203772</v>
      </c>
      <c r="AI109" s="32">
        <v>17.896942235615164</v>
      </c>
      <c r="AJ109" s="32">
        <v>52.21232767654331</v>
      </c>
      <c r="AK109" s="32">
        <v>-0.86774750129942368</v>
      </c>
      <c r="AL109" s="32">
        <v>-7.7490668732984505</v>
      </c>
      <c r="AM109" s="32">
        <v>27.276357840736665</v>
      </c>
      <c r="AN109" s="66"/>
      <c r="AO109" s="8">
        <v>4.58</v>
      </c>
      <c r="AP109" s="8">
        <v>23.194693426595471</v>
      </c>
      <c r="AQ109" s="8">
        <v>27.018165245584637</v>
      </c>
      <c r="AR109" s="8">
        <v>418.68819322626734</v>
      </c>
      <c r="AS109" s="8">
        <v>6.2490775108398111</v>
      </c>
      <c r="AT109" s="8">
        <v>8.8627254760892491</v>
      </c>
      <c r="AU109" s="8">
        <v>927.67962916105444</v>
      </c>
      <c r="AV109" s="8">
        <v>13.845964614344096</v>
      </c>
      <c r="AW109" s="8">
        <v>608.94278995492323</v>
      </c>
      <c r="AX109" s="8">
        <v>16.705842257670163</v>
      </c>
      <c r="AY109" s="8">
        <v>45.063344085448378</v>
      </c>
      <c r="AZ109" s="8">
        <v>-0.70509658994845326</v>
      </c>
      <c r="BA109" s="8">
        <v>-6.4685598989255304</v>
      </c>
      <c r="BB109" s="8">
        <v>25.566323926730412</v>
      </c>
      <c r="BC109" s="66"/>
      <c r="BD109" s="8">
        <v>4.91</v>
      </c>
      <c r="BE109" s="8">
        <v>21.747402279704392</v>
      </c>
      <c r="BF109" s="8">
        <v>26.859904703857055</v>
      </c>
      <c r="BG109" s="8">
        <v>494.75397705441384</v>
      </c>
      <c r="BH109" s="8">
        <v>7.3843877172300569</v>
      </c>
      <c r="BI109" s="8">
        <v>7.4824952433581586</v>
      </c>
      <c r="BJ109" s="8">
        <v>925.49856998554583</v>
      </c>
      <c r="BK109" s="8">
        <v>13.813411492321579</v>
      </c>
      <c r="BL109" s="8">
        <v>402.15902998168775</v>
      </c>
      <c r="BM109" s="8">
        <v>13.593320241066035</v>
      </c>
      <c r="BN109" s="8">
        <v>56.995142866583073</v>
      </c>
      <c r="BO109" s="8">
        <v>-0.98688839445435173</v>
      </c>
      <c r="BP109" s="8">
        <v>-8.8519588218318788</v>
      </c>
      <c r="BQ109" s="8">
        <v>23.641638721947018</v>
      </c>
      <c r="BR109" s="66"/>
      <c r="BS109" s="14">
        <v>4.8899999999999997</v>
      </c>
      <c r="BT109" s="14">
        <v>21.104142007208452</v>
      </c>
      <c r="BU109" s="14">
        <v>24.755650513958699</v>
      </c>
      <c r="BV109" s="14">
        <v>390.41902876007867</v>
      </c>
      <c r="BW109" s="14">
        <v>5.8271496829862492</v>
      </c>
      <c r="BX109" s="14">
        <v>7.9200814651461213</v>
      </c>
      <c r="BY109" s="14">
        <v>773.03762833076235</v>
      </c>
      <c r="BZ109" s="14">
        <v>11.537875049712872</v>
      </c>
      <c r="CA109" s="14">
        <v>470.53729939969452</v>
      </c>
      <c r="CB109" s="14">
        <v>14.851181479180296</v>
      </c>
      <c r="CC109" s="14">
        <v>44.726548377517446</v>
      </c>
      <c r="CD109" s="14">
        <v>-0.73574365473761494</v>
      </c>
      <c r="CE109" s="14">
        <v>-6.8114661783608037</v>
      </c>
      <c r="CF109" s="14">
        <v>23.511910791123874</v>
      </c>
      <c r="CG109" s="66"/>
      <c r="CH109" s="14">
        <v>5</v>
      </c>
      <c r="CI109" s="14">
        <v>20.658462995221818</v>
      </c>
      <c r="CJ109" s="14">
        <v>25.048825336577952</v>
      </c>
      <c r="CK109" s="14">
        <v>460.72615250381591</v>
      </c>
      <c r="CL109" s="14">
        <v>6.8765097388629242</v>
      </c>
      <c r="CM109" s="14">
        <v>7.1808554907596633</v>
      </c>
      <c r="CN109" s="14">
        <v>827.10198048590007</v>
      </c>
      <c r="CO109" s="14">
        <v>12.344805678894032</v>
      </c>
      <c r="CP109" s="14">
        <v>380.17552806501385</v>
      </c>
      <c r="CQ109" s="14">
        <v>13.335729775815494</v>
      </c>
      <c r="CR109" s="14">
        <v>52.877248672181167</v>
      </c>
      <c r="CS109" s="14">
        <v>-0.95761706216085651</v>
      </c>
      <c r="CT109" s="14">
        <v>-8.7218930676177173</v>
      </c>
      <c r="CU109" s="14">
        <v>22.766496744650279</v>
      </c>
      <c r="CV109" s="66"/>
      <c r="CW109" s="8">
        <f t="shared" si="10"/>
        <v>-16.279069767441865</v>
      </c>
      <c r="CX109" s="8">
        <f t="shared" si="21"/>
        <v>13.462630859436626</v>
      </c>
      <c r="CY109" s="8">
        <f t="shared" si="22"/>
        <v>21.583909886375849</v>
      </c>
      <c r="CZ109" s="8">
        <f t="shared" si="23"/>
        <v>32.140778632776254</v>
      </c>
      <c r="DA109" s="8">
        <f t="shared" si="19"/>
        <v>-6.133333333333324</v>
      </c>
      <c r="DB109" s="8">
        <f t="shared" si="20"/>
        <v>4.6933333333333342</v>
      </c>
    </row>
    <row r="110" spans="1:106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65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66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66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66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66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66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66"/>
      <c r="CW110" s="8"/>
      <c r="CX110" s="8"/>
      <c r="CY110" s="8"/>
      <c r="CZ110" s="8"/>
      <c r="DA110" s="8"/>
      <c r="DB110" s="8"/>
    </row>
    <row r="111" spans="1:106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65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66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66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66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66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66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66"/>
      <c r="CW111" s="8"/>
      <c r="CX111" s="8"/>
      <c r="CY111" s="8"/>
      <c r="CZ111" s="8"/>
      <c r="DA111" s="8"/>
      <c r="DB111" s="8"/>
    </row>
    <row r="112" spans="1:106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65"/>
      <c r="Q112" s="8"/>
      <c r="R112" s="8"/>
      <c r="S112" s="8"/>
      <c r="T112" s="8"/>
      <c r="U112" s="8"/>
      <c r="V112" s="8"/>
      <c r="W112" s="8"/>
      <c r="X112" s="8"/>
      <c r="Y112" s="66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66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66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66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66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66"/>
      <c r="CW112" s="8"/>
      <c r="CX112" s="8"/>
      <c r="CY112" s="8"/>
      <c r="CZ112" s="8"/>
      <c r="DA112" s="8"/>
      <c r="DB112" s="8"/>
    </row>
    <row r="113" spans="1:106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65"/>
      <c r="Q113" s="8"/>
      <c r="R113" s="8"/>
      <c r="S113" s="8"/>
      <c r="T113" s="8"/>
      <c r="U113" s="8"/>
      <c r="V113" s="8"/>
      <c r="W113" s="8"/>
      <c r="X113" s="8"/>
      <c r="Y113" s="66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66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66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66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66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66"/>
      <c r="CW113" s="8"/>
      <c r="CX113" s="8"/>
      <c r="CY113" s="8"/>
      <c r="CZ113" s="8"/>
      <c r="DA113" s="8"/>
      <c r="DB113" s="8"/>
    </row>
    <row r="114" spans="1:106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65"/>
      <c r="Q114" s="8"/>
      <c r="R114" s="8"/>
      <c r="S114" s="8"/>
      <c r="T114" s="8"/>
      <c r="U114" s="8"/>
      <c r="V114" s="8"/>
      <c r="W114" s="8"/>
      <c r="X114" s="8"/>
      <c r="Y114" s="66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66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66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66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66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66"/>
      <c r="CW114" s="8"/>
      <c r="CX114" s="8"/>
      <c r="CY114" s="8"/>
      <c r="CZ114" s="8"/>
      <c r="DA114" s="8"/>
      <c r="DB114" s="8"/>
    </row>
    <row r="115" spans="1:106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65"/>
      <c r="Q115" s="8"/>
      <c r="R115" s="8"/>
      <c r="S115" s="8"/>
      <c r="T115" s="8"/>
      <c r="U115" s="8"/>
      <c r="V115" s="8"/>
      <c r="W115" s="8"/>
      <c r="X115" s="8"/>
      <c r="Y115" s="66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66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66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66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66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66"/>
      <c r="CW115" s="8"/>
      <c r="CX115" s="8"/>
      <c r="CY115" s="8"/>
      <c r="CZ115" s="8"/>
      <c r="DA115" s="8"/>
      <c r="DB115" s="8"/>
    </row>
    <row r="116" spans="1:106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65"/>
      <c r="Q116" s="8"/>
      <c r="R116" s="8"/>
      <c r="S116" s="8"/>
      <c r="T116" s="8"/>
      <c r="U116" s="8"/>
      <c r="V116" s="8"/>
      <c r="W116" s="8"/>
      <c r="X116" s="8"/>
      <c r="Y116" s="66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66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66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66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66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66"/>
      <c r="CW116" s="8"/>
      <c r="CX116" s="8"/>
      <c r="CY116" s="8"/>
      <c r="CZ116" s="8"/>
      <c r="DA116" s="8"/>
      <c r="DB116" s="8"/>
    </row>
    <row r="117" spans="1:106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65"/>
      <c r="Q117" s="8"/>
      <c r="R117" s="8"/>
      <c r="S117" s="8"/>
      <c r="T117" s="8"/>
      <c r="U117" s="8"/>
      <c r="V117" s="8"/>
      <c r="W117" s="8"/>
      <c r="X117" s="8"/>
      <c r="Y117" s="66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66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66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66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66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66"/>
      <c r="CW117" s="8"/>
      <c r="CX117" s="8"/>
      <c r="CY117" s="8"/>
      <c r="CZ117" s="8"/>
      <c r="DA117" s="8"/>
      <c r="DB117" s="8"/>
    </row>
    <row r="118" spans="1:106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65"/>
      <c r="Q118" s="8"/>
      <c r="R118" s="8"/>
      <c r="S118" s="8"/>
      <c r="T118" s="8"/>
      <c r="U118" s="8"/>
      <c r="V118" s="8"/>
      <c r="W118" s="8"/>
      <c r="X118" s="8"/>
      <c r="Y118" s="66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66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66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66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66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66"/>
      <c r="CW118" s="8"/>
      <c r="CX118" s="8"/>
      <c r="CY118" s="8"/>
      <c r="CZ118" s="8"/>
      <c r="DA118" s="8"/>
      <c r="DB118" s="8"/>
    </row>
    <row r="119" spans="1:106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65"/>
      <c r="Q119" s="8"/>
      <c r="R119" s="8"/>
      <c r="S119" s="8"/>
      <c r="T119" s="8"/>
      <c r="U119" s="8"/>
      <c r="V119" s="8"/>
      <c r="W119" s="8"/>
      <c r="X119" s="8"/>
      <c r="Y119" s="66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66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66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66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66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66"/>
      <c r="CW119" s="8"/>
      <c r="CX119" s="8"/>
      <c r="CY119" s="8"/>
      <c r="CZ119" s="8"/>
      <c r="DA119" s="8"/>
      <c r="DB119" s="8"/>
    </row>
    <row r="120" spans="1:106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65"/>
      <c r="Q120" s="8"/>
      <c r="R120" s="8"/>
      <c r="S120" s="8"/>
      <c r="T120" s="8"/>
      <c r="U120" s="8"/>
      <c r="V120" s="8"/>
      <c r="W120" s="8"/>
      <c r="X120" s="8"/>
      <c r="Y120" s="66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66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66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66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66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66"/>
      <c r="CW120" s="8"/>
      <c r="CX120" s="8"/>
      <c r="CY120" s="8"/>
      <c r="CZ120" s="8"/>
      <c r="DA120" s="8"/>
      <c r="DB120" s="8"/>
    </row>
    <row r="121" spans="1:106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65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66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66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66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66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66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66"/>
      <c r="CW121" s="8"/>
      <c r="CX121" s="8"/>
      <c r="CY121" s="8"/>
      <c r="CZ121" s="8"/>
      <c r="DA121" s="8"/>
      <c r="DB121" s="8"/>
    </row>
    <row r="122" spans="1:106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65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66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66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66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66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66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66"/>
      <c r="CW122" s="8"/>
      <c r="CX122" s="8"/>
      <c r="CY122" s="8"/>
      <c r="CZ122" s="8"/>
      <c r="DA122" s="8"/>
      <c r="DB122" s="8"/>
    </row>
    <row r="123" spans="1:106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65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66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66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66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66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66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66"/>
      <c r="CW123" s="8"/>
      <c r="CX123" s="8"/>
      <c r="CY123" s="8"/>
      <c r="CZ123" s="8"/>
      <c r="DA123" s="8"/>
      <c r="DB123" s="8"/>
    </row>
    <row r="124" spans="1:106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65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66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66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66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66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66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66"/>
      <c r="CW124" s="8"/>
      <c r="CX124" s="8"/>
      <c r="CY124" s="8"/>
      <c r="CZ124" s="8"/>
      <c r="DA124" s="8"/>
      <c r="DB124" s="8"/>
    </row>
    <row r="125" spans="1:106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65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66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66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66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66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66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66"/>
      <c r="CW125" s="8"/>
      <c r="CX125" s="8"/>
      <c r="CY125" s="8"/>
      <c r="CZ125" s="8"/>
      <c r="DA125" s="8"/>
      <c r="DB125" s="8"/>
    </row>
    <row r="126" spans="1:106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65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66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66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66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66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66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66"/>
      <c r="CW126" s="8"/>
      <c r="CX126" s="8"/>
      <c r="CY126" s="8"/>
      <c r="CZ126" s="8"/>
      <c r="DA126" s="8"/>
      <c r="DB126" s="8"/>
    </row>
    <row r="127" spans="1:106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65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66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66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66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66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66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66"/>
      <c r="CW127" s="8"/>
      <c r="CX127" s="8"/>
      <c r="CY127" s="8"/>
      <c r="CZ127" s="8"/>
      <c r="DA127" s="8"/>
      <c r="DB127" s="8"/>
    </row>
    <row r="128" spans="1:106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65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66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66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66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66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66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66"/>
      <c r="CW128" s="8"/>
      <c r="CX128" s="8"/>
      <c r="CY128" s="8"/>
      <c r="CZ128" s="8"/>
      <c r="DA128" s="8"/>
      <c r="DB128" s="8"/>
    </row>
    <row r="129" spans="1:106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65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66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66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66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66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66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</row>
    <row r="130" spans="1:106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65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66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66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66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66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66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</row>
    <row r="131" spans="1:106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65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66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66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66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66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66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</row>
    <row r="132" spans="1:106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65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66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66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66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66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66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</row>
    <row r="133" spans="1:106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65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66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66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66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66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66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</row>
    <row r="134" spans="1:106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65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66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66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66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66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66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</row>
    <row r="135" spans="1:106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65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66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66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66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66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66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</row>
    <row r="136" spans="1:106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65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66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66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66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66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66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</row>
    <row r="137" spans="1:106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65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66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66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66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66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66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</row>
    <row r="138" spans="1:106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65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66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66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66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66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66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</row>
    <row r="139" spans="1:106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65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66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66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66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66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66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</row>
    <row r="140" spans="1:106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65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66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66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66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66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66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</row>
    <row r="141" spans="1:106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65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66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66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66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66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66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</row>
    <row r="142" spans="1:106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65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66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66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66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66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66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</row>
    <row r="143" spans="1:106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65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66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66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66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66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66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</row>
    <row r="144" spans="1:106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65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66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66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66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66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66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</row>
    <row r="145" spans="1:106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65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66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66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66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66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66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</row>
    <row r="146" spans="1:106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65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66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66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66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66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66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06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53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66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66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66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66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</row>
    <row r="148" spans="1:106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53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66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66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66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66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</row>
    <row r="149" spans="1:106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53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66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66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</row>
    <row r="150" spans="1:106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53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66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66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</row>
    <row r="151" spans="1:106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53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66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66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</row>
    <row r="152" spans="1:106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53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66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66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</row>
  </sheetData>
  <mergeCells count="15">
    <mergeCell ref="CV1:CV70"/>
    <mergeCell ref="CV71:CV99"/>
    <mergeCell ref="J74:J146"/>
    <mergeCell ref="BC74:BC146"/>
    <mergeCell ref="Y75:Y148"/>
    <mergeCell ref="AN75:AN148"/>
    <mergeCell ref="BR77:BR152"/>
    <mergeCell ref="CG77:CG152"/>
    <mergeCell ref="CV100:CV128"/>
    <mergeCell ref="J1:J73"/>
    <mergeCell ref="Y1:Y74"/>
    <mergeCell ref="AN1:AN74"/>
    <mergeCell ref="BC1:BC73"/>
    <mergeCell ref="BR1:BR76"/>
    <mergeCell ref="CG1:CG7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5D25-59A1-4050-9450-E6EEB64E2C8E}">
  <dimension ref="A1:OY200"/>
  <sheetViews>
    <sheetView zoomScale="55" zoomScaleNormal="55" workbookViewId="0">
      <selection activeCell="P59" sqref="P59"/>
    </sheetView>
  </sheetViews>
  <sheetFormatPr baseColWidth="10" defaultColWidth="11.42578125" defaultRowHeight="15" x14ac:dyDescent="0.25"/>
  <cols>
    <col min="1" max="1" width="18" style="32" bestFit="1" customWidth="1"/>
    <col min="2" max="2" width="17" style="32" bestFit="1" customWidth="1"/>
    <col min="3" max="3" width="16.7109375" style="32" bestFit="1" customWidth="1"/>
    <col min="4" max="4" width="9.7109375" style="32" bestFit="1" customWidth="1"/>
    <col min="5" max="5" width="8.7109375" style="32" bestFit="1" customWidth="1"/>
    <col min="6" max="6" width="7.42578125" style="32" bestFit="1" customWidth="1"/>
    <col min="7" max="7" width="17.28515625" style="32" bestFit="1" customWidth="1"/>
    <col min="8" max="8" width="8.42578125" style="32" bestFit="1" customWidth="1"/>
    <col min="9" max="9" width="11" style="32" bestFit="1" customWidth="1"/>
    <col min="10" max="10" width="12.85546875" style="32" bestFit="1" customWidth="1"/>
    <col min="11" max="11" width="13.42578125" style="32" bestFit="1" customWidth="1"/>
    <col min="12" max="12" width="17.85546875" style="32" bestFit="1" customWidth="1"/>
    <col min="13" max="13" width="22.7109375" style="32" bestFit="1" customWidth="1"/>
    <col min="14" max="14" width="24" style="32" bestFit="1" customWidth="1"/>
    <col min="15" max="15" width="28.7109375" style="32" bestFit="1" customWidth="1"/>
    <col min="16" max="16" width="24" style="32" bestFit="1" customWidth="1"/>
    <col min="17" max="17" width="28.7109375" style="32" bestFit="1" customWidth="1"/>
    <col min="18" max="18" width="26.42578125" style="32" bestFit="1" customWidth="1"/>
    <col min="19" max="19" width="31" style="32" bestFit="1" customWidth="1"/>
    <col min="20" max="20" width="12.42578125" style="32" bestFit="1" customWidth="1"/>
    <col min="21" max="21" width="15" style="32" bestFit="1" customWidth="1"/>
    <col min="22" max="23" width="19.85546875" style="32" bestFit="1" customWidth="1"/>
    <col min="24" max="25" width="26.140625" style="32" bestFit="1" customWidth="1"/>
    <col min="26" max="26" width="9.42578125" style="32" bestFit="1" customWidth="1"/>
    <col min="27" max="27" width="8.42578125" style="32" bestFit="1" customWidth="1"/>
    <col min="28" max="28" width="12.85546875" style="32" bestFit="1" customWidth="1"/>
    <col min="29" max="29" width="15.140625" style="32" bestFit="1" customWidth="1"/>
    <col min="30" max="30" width="19.42578125" style="32" bestFit="1" customWidth="1"/>
    <col min="31" max="31" width="24.42578125" style="32" bestFit="1" customWidth="1"/>
    <col min="32" max="32" width="13.42578125" style="32" bestFit="1" customWidth="1"/>
    <col min="33" max="33" width="17.85546875" style="32" bestFit="1" customWidth="1"/>
    <col min="34" max="34" width="22.7109375" style="32" bestFit="1" customWidth="1"/>
    <col min="35" max="35" width="24" style="32" bestFit="1" customWidth="1"/>
    <col min="36" max="36" width="28.7109375" style="32" bestFit="1" customWidth="1"/>
    <col min="37" max="37" width="24" style="32" bestFit="1" customWidth="1"/>
    <col min="38" max="38" width="28.7109375" style="32" bestFit="1" customWidth="1"/>
    <col min="39" max="39" width="26.42578125" style="32" bestFit="1" customWidth="1"/>
    <col min="40" max="40" width="31" style="32" bestFit="1" customWidth="1"/>
    <col min="41" max="41" width="12.42578125" style="32" bestFit="1" customWidth="1"/>
    <col min="42" max="42" width="15" style="32" bestFit="1" customWidth="1"/>
    <col min="43" max="44" width="19.85546875" style="32" bestFit="1" customWidth="1"/>
    <col min="45" max="46" width="26.140625" style="32" bestFit="1" customWidth="1"/>
    <col min="47" max="47" width="9.42578125" style="32" bestFit="1" customWidth="1"/>
    <col min="48" max="48" width="8.42578125" style="32" bestFit="1" customWidth="1"/>
    <col min="49" max="49" width="12.85546875" style="32" bestFit="1" customWidth="1"/>
    <col min="50" max="50" width="29" style="32" bestFit="1" customWidth="1"/>
    <col min="51" max="51" width="18.42578125" style="32" bestFit="1" customWidth="1"/>
    <col min="52" max="52" width="28" style="32" bestFit="1" customWidth="1"/>
    <col min="53" max="53" width="26.140625" style="32" bestFit="1" customWidth="1"/>
    <col min="54" max="54" width="25.28515625" style="32" bestFit="1" customWidth="1"/>
    <col min="55" max="55" width="12.85546875" style="32" bestFit="1" customWidth="1"/>
    <col min="56" max="56" width="15.140625" style="32" bestFit="1" customWidth="1"/>
    <col min="57" max="57" width="19.42578125" style="32" bestFit="1" customWidth="1"/>
    <col min="58" max="58" width="24.42578125" style="32" bestFit="1" customWidth="1"/>
    <col min="59" max="59" width="13.42578125" style="32" bestFit="1" customWidth="1"/>
    <col min="60" max="60" width="17.85546875" style="32" bestFit="1" customWidth="1"/>
    <col min="61" max="61" width="24.42578125" style="32" bestFit="1" customWidth="1"/>
    <col min="62" max="62" width="24" style="32" bestFit="1" customWidth="1"/>
    <col min="63" max="63" width="28.7109375" style="32" bestFit="1" customWidth="1"/>
    <col min="64" max="64" width="24" style="32" bestFit="1" customWidth="1"/>
    <col min="65" max="65" width="28.7109375" style="32" bestFit="1" customWidth="1"/>
    <col min="66" max="66" width="26.42578125" style="32" bestFit="1" customWidth="1"/>
    <col min="67" max="67" width="31" style="32" bestFit="1" customWidth="1"/>
    <col min="68" max="68" width="19.42578125" style="32" bestFit="1" customWidth="1"/>
    <col min="69" max="69" width="24" style="32" bestFit="1" customWidth="1"/>
    <col min="70" max="70" width="19.42578125" style="32" bestFit="1" customWidth="1"/>
    <col min="71" max="71" width="24" style="32" bestFit="1" customWidth="1"/>
    <col min="72" max="72" width="6.42578125" style="32" bestFit="1" customWidth="1"/>
    <col min="73" max="73" width="16.28515625" style="32" bestFit="1" customWidth="1"/>
    <col min="74" max="74" width="20.7109375" style="32" bestFit="1" customWidth="1"/>
    <col min="75" max="75" width="16.28515625" style="32" bestFit="1" customWidth="1"/>
    <col min="76" max="76" width="20.140625" style="32" bestFit="1" customWidth="1"/>
    <col min="77" max="77" width="13.42578125" style="32" bestFit="1" customWidth="1"/>
    <col min="78" max="78" width="24.85546875" style="32" bestFit="1" customWidth="1"/>
    <col min="79" max="79" width="28" style="32" bestFit="1" customWidth="1"/>
    <col min="80" max="80" width="12.42578125" style="32" bestFit="1" customWidth="1"/>
    <col min="81" max="81" width="7.42578125" style="32" bestFit="1" customWidth="1"/>
    <col min="82" max="82" width="19.42578125" style="32" customWidth="1"/>
    <col min="83" max="83" width="24.42578125" style="32" bestFit="1" customWidth="1"/>
    <col min="84" max="84" width="19.85546875" style="32" bestFit="1" customWidth="1"/>
    <col min="85" max="85" width="27.7109375" style="32" bestFit="1" customWidth="1"/>
    <col min="86" max="86" width="19.85546875" style="32" bestFit="1" customWidth="1"/>
    <col min="87" max="87" width="37.85546875" style="32" bestFit="1" customWidth="1"/>
    <col min="88" max="88" width="26.140625" style="32" bestFit="1" customWidth="1"/>
    <col min="89" max="89" width="40.85546875" style="32" bestFit="1" customWidth="1"/>
    <col min="90" max="90" width="17" style="32" bestFit="1" customWidth="1"/>
    <col min="91" max="91" width="20.42578125" style="32" bestFit="1" customWidth="1"/>
    <col min="92" max="92" width="14.42578125" style="32" bestFit="1" customWidth="1"/>
    <col min="93" max="94" width="9.42578125" style="32" bestFit="1" customWidth="1"/>
    <col min="95" max="95" width="8.42578125" style="32" bestFit="1" customWidth="1"/>
    <col min="96" max="96" width="12.85546875" style="32" bestFit="1" customWidth="1"/>
    <col min="97" max="97" width="15.140625" style="32" bestFit="1" customWidth="1"/>
    <col min="98" max="98" width="19.42578125" style="32" bestFit="1" customWidth="1"/>
    <col min="99" max="99" width="24.42578125" style="32" bestFit="1" customWidth="1"/>
    <col min="100" max="100" width="13.42578125" style="32" bestFit="1" customWidth="1"/>
    <col min="101" max="101" width="17.85546875" style="32" bestFit="1" customWidth="1"/>
    <col min="102" max="102" width="24.42578125" style="32" bestFit="1" customWidth="1"/>
    <col min="103" max="103" width="24" style="32" bestFit="1" customWidth="1"/>
    <col min="104" max="104" width="28.7109375" style="32" bestFit="1" customWidth="1"/>
    <col min="105" max="105" width="24" style="32" bestFit="1" customWidth="1"/>
    <col min="106" max="106" width="28.7109375" style="32" bestFit="1" customWidth="1"/>
    <col min="107" max="107" width="26.42578125" style="32" bestFit="1" customWidth="1"/>
    <col min="108" max="108" width="31" style="32" bestFit="1" customWidth="1"/>
    <col min="109" max="109" width="19.42578125" style="32" bestFit="1" customWidth="1"/>
    <col min="110" max="110" width="24" style="32" bestFit="1" customWidth="1"/>
    <col min="111" max="111" width="19.42578125" style="32" bestFit="1" customWidth="1"/>
    <col min="112" max="112" width="24" style="32" bestFit="1" customWidth="1"/>
    <col min="113" max="113" width="6.42578125" style="32" bestFit="1" customWidth="1"/>
    <col min="114" max="114" width="16.28515625" style="32" bestFit="1" customWidth="1"/>
    <col min="115" max="115" width="20.7109375" style="32" bestFit="1" customWidth="1"/>
    <col min="116" max="116" width="16.28515625" style="32" bestFit="1" customWidth="1"/>
    <col min="117" max="117" width="20.140625" style="32" bestFit="1" customWidth="1"/>
    <col min="118" max="118" width="13.42578125" style="32" bestFit="1" customWidth="1"/>
    <col min="119" max="119" width="24.85546875" style="32" bestFit="1" customWidth="1"/>
    <col min="120" max="120" width="28" style="32" bestFit="1" customWidth="1"/>
    <col min="121" max="121" width="12.42578125" style="32" bestFit="1" customWidth="1"/>
    <col min="122" max="122" width="7.42578125" style="32" bestFit="1" customWidth="1"/>
    <col min="123" max="123" width="19.42578125" style="32" customWidth="1"/>
    <col min="124" max="124" width="19.85546875" style="32" bestFit="1" customWidth="1"/>
    <col min="125" max="125" width="24.42578125" style="32" bestFit="1" customWidth="1"/>
    <col min="126" max="126" width="27.7109375" style="32" bestFit="1" customWidth="1"/>
    <col min="127" max="127" width="19.85546875" style="32" bestFit="1" customWidth="1"/>
    <col min="128" max="128" width="26.140625" style="32" bestFit="1" customWidth="1"/>
    <col min="129" max="129" width="37.85546875" style="32" bestFit="1" customWidth="1"/>
    <col min="130" max="130" width="40.85546875" style="32" bestFit="1" customWidth="1"/>
    <col min="131" max="131" width="9.42578125" style="32" bestFit="1" customWidth="1"/>
    <col min="132" max="132" width="8.42578125" style="32" bestFit="1" customWidth="1"/>
    <col min="133" max="133" width="12.85546875" style="32" bestFit="1" customWidth="1"/>
    <col min="134" max="134" width="29" style="32" bestFit="1" customWidth="1"/>
    <col min="135" max="135" width="42.28515625" style="32" bestFit="1" customWidth="1"/>
    <col min="136" max="136" width="44.85546875" style="32" bestFit="1" customWidth="1"/>
    <col min="137" max="137" width="18.42578125" style="32" bestFit="1" customWidth="1"/>
    <col min="138" max="138" width="28" style="32" bestFit="1" customWidth="1"/>
    <col min="139" max="139" width="20.42578125" style="32" bestFit="1" customWidth="1"/>
    <col min="140" max="140" width="24.42578125" style="32" bestFit="1" customWidth="1"/>
    <col min="141" max="141" width="13.7109375" style="32" bestFit="1" customWidth="1"/>
    <col min="142" max="142" width="25.28515625" style="32" bestFit="1" customWidth="1"/>
    <col min="143" max="143" width="37" style="32" bestFit="1" customWidth="1"/>
    <col min="144" max="144" width="40.140625" style="32" bestFit="1" customWidth="1"/>
    <col min="145" max="145" width="12.85546875" style="32" bestFit="1" customWidth="1"/>
    <col min="146" max="146" width="13.42578125" style="32" bestFit="1" customWidth="1"/>
    <col min="147" max="147" width="17.85546875" style="32" bestFit="1" customWidth="1"/>
    <col min="148" max="148" width="22.7109375" style="32" bestFit="1" customWidth="1"/>
    <col min="149" max="149" width="24" style="32" bestFit="1" customWidth="1"/>
    <col min="150" max="150" width="28.7109375" style="32" bestFit="1" customWidth="1"/>
    <col min="151" max="151" width="24" style="32" bestFit="1" customWidth="1"/>
    <col min="152" max="152" width="28.7109375" style="32" bestFit="1" customWidth="1"/>
    <col min="153" max="153" width="26.42578125" style="32" bestFit="1" customWidth="1"/>
    <col min="154" max="154" width="31" style="32" bestFit="1" customWidth="1"/>
    <col min="155" max="155" width="12.42578125" style="32" bestFit="1" customWidth="1"/>
    <col min="156" max="156" width="15" style="32" bestFit="1" customWidth="1"/>
    <col min="157" max="158" width="19.85546875" style="32" bestFit="1" customWidth="1"/>
    <col min="159" max="160" width="26.140625" style="32" bestFit="1" customWidth="1"/>
    <col min="161" max="161" width="9.42578125" style="32" bestFit="1" customWidth="1"/>
    <col min="162" max="162" width="8.42578125" style="32" bestFit="1" customWidth="1"/>
    <col min="163" max="163" width="12.85546875" style="32" bestFit="1" customWidth="1"/>
    <col min="164" max="164" width="15.140625" style="32" bestFit="1" customWidth="1"/>
    <col min="165" max="165" width="19.42578125" style="32" bestFit="1" customWidth="1"/>
    <col min="166" max="166" width="24.42578125" style="32" bestFit="1" customWidth="1"/>
    <col min="167" max="167" width="13.42578125" style="32" bestFit="1" customWidth="1"/>
    <col min="168" max="168" width="17.85546875" style="32" bestFit="1" customWidth="1"/>
    <col min="169" max="169" width="22.7109375" style="32" bestFit="1" customWidth="1"/>
    <col min="170" max="170" width="24" style="32" bestFit="1" customWidth="1"/>
    <col min="171" max="171" width="28.7109375" style="32" bestFit="1" customWidth="1"/>
    <col min="172" max="172" width="24" style="32" bestFit="1" customWidth="1"/>
    <col min="173" max="173" width="28.7109375" style="32" bestFit="1" customWidth="1"/>
    <col min="174" max="174" width="26.42578125" style="32" bestFit="1" customWidth="1"/>
    <col min="175" max="175" width="31" style="32" bestFit="1" customWidth="1"/>
    <col min="176" max="176" width="12.42578125" style="32" bestFit="1" customWidth="1"/>
    <col min="177" max="177" width="15" style="32" bestFit="1" customWidth="1"/>
    <col min="178" max="179" width="19.85546875" style="32" bestFit="1" customWidth="1"/>
    <col min="180" max="181" width="26.140625" style="32" bestFit="1" customWidth="1"/>
    <col min="182" max="182" width="9.42578125" style="32" bestFit="1" customWidth="1"/>
    <col min="183" max="183" width="8.42578125" style="32" bestFit="1" customWidth="1"/>
    <col min="184" max="184" width="12.85546875" style="32" bestFit="1" customWidth="1"/>
    <col min="185" max="185" width="29" style="32" bestFit="1" customWidth="1"/>
    <col min="186" max="186" width="18.42578125" style="32" bestFit="1" customWidth="1"/>
    <col min="187" max="187" width="28" style="32" bestFit="1" customWidth="1"/>
    <col min="188" max="188" width="26.140625" style="32" bestFit="1" customWidth="1"/>
    <col min="189" max="189" width="25.28515625" style="32" bestFit="1" customWidth="1"/>
    <col min="190" max="190" width="12.85546875" style="32" bestFit="1" customWidth="1"/>
    <col min="191" max="191" width="15.140625" style="32" bestFit="1" customWidth="1"/>
    <col min="192" max="192" width="19.42578125" style="32" bestFit="1" customWidth="1"/>
    <col min="193" max="193" width="24.42578125" style="32" bestFit="1" customWidth="1"/>
    <col min="194" max="194" width="13.42578125" style="32" bestFit="1" customWidth="1"/>
    <col min="195" max="195" width="17.85546875" style="32" bestFit="1" customWidth="1"/>
    <col min="196" max="196" width="24.42578125" style="32" bestFit="1" customWidth="1"/>
    <col min="197" max="197" width="24" style="32" bestFit="1" customWidth="1"/>
    <col min="198" max="198" width="28.7109375" style="32" bestFit="1" customWidth="1"/>
    <col min="199" max="199" width="24" style="32" bestFit="1" customWidth="1"/>
    <col min="200" max="200" width="28.7109375" style="32" bestFit="1" customWidth="1"/>
    <col min="201" max="201" width="26.42578125" style="32" bestFit="1" customWidth="1"/>
    <col min="202" max="202" width="31" style="32" bestFit="1" customWidth="1"/>
    <col min="203" max="203" width="19.42578125" style="32" bestFit="1" customWidth="1"/>
    <col min="204" max="204" width="24" style="32" bestFit="1" customWidth="1"/>
    <col min="205" max="205" width="19.42578125" style="32" bestFit="1" customWidth="1"/>
    <col min="206" max="206" width="24" style="32" bestFit="1" customWidth="1"/>
    <col min="207" max="207" width="6.42578125" style="32" bestFit="1" customWidth="1"/>
    <col min="208" max="208" width="16.28515625" style="32" bestFit="1" customWidth="1"/>
    <col min="209" max="209" width="20.7109375" style="32" bestFit="1" customWidth="1"/>
    <col min="210" max="210" width="16.28515625" style="32" bestFit="1" customWidth="1"/>
    <col min="211" max="211" width="20.140625" style="32" bestFit="1" customWidth="1"/>
    <col min="212" max="212" width="13.42578125" style="32" bestFit="1" customWidth="1"/>
    <col min="213" max="213" width="24.85546875" style="32" bestFit="1" customWidth="1"/>
    <col min="214" max="214" width="28" style="32" bestFit="1" customWidth="1"/>
    <col min="215" max="215" width="12.42578125" style="32" bestFit="1" customWidth="1"/>
    <col min="216" max="216" width="7.42578125" style="32" bestFit="1" customWidth="1"/>
    <col min="217" max="217" width="19.42578125" style="32" customWidth="1"/>
    <col min="218" max="218" width="24.42578125" style="32" bestFit="1" customWidth="1"/>
    <col min="219" max="219" width="19.85546875" style="32" bestFit="1" customWidth="1"/>
    <col min="220" max="220" width="27.7109375" style="32" bestFit="1" customWidth="1"/>
    <col min="221" max="221" width="19.85546875" style="32" bestFit="1" customWidth="1"/>
    <col min="222" max="222" width="37.85546875" style="32" bestFit="1" customWidth="1"/>
    <col min="223" max="223" width="26.140625" style="32" bestFit="1" customWidth="1"/>
    <col min="224" max="224" width="40.85546875" style="32" bestFit="1" customWidth="1"/>
    <col min="225" max="225" width="17" style="32" bestFit="1" customWidth="1"/>
    <col min="226" max="226" width="19.42578125" style="32" customWidth="1"/>
    <col min="227" max="227" width="20.42578125" style="32" bestFit="1" customWidth="1"/>
    <col min="228" max="228" width="14.42578125" style="32" customWidth="1"/>
    <col min="229" max="230" width="9.42578125" style="32" bestFit="1" customWidth="1"/>
    <col min="231" max="231" width="8.42578125" style="32" bestFit="1" customWidth="1"/>
    <col min="232" max="232" width="12.85546875" style="32" bestFit="1" customWidth="1"/>
    <col min="233" max="233" width="15.140625" style="32" bestFit="1" customWidth="1"/>
    <col min="234" max="234" width="19.42578125" style="32" bestFit="1" customWidth="1"/>
    <col min="235" max="235" width="24.42578125" style="32" bestFit="1" customWidth="1"/>
    <col min="236" max="236" width="13.42578125" style="32" bestFit="1" customWidth="1"/>
    <col min="237" max="237" width="17.85546875" style="32" bestFit="1" customWidth="1"/>
    <col min="238" max="238" width="24.42578125" style="32" bestFit="1" customWidth="1"/>
    <col min="239" max="239" width="24" style="32" bestFit="1" customWidth="1"/>
    <col min="240" max="240" width="28.7109375" style="32" bestFit="1" customWidth="1"/>
    <col min="241" max="241" width="24" style="32" bestFit="1" customWidth="1"/>
    <col min="242" max="242" width="28.7109375" style="32" bestFit="1" customWidth="1"/>
    <col min="243" max="243" width="26.42578125" style="32" bestFit="1" customWidth="1"/>
    <col min="244" max="244" width="31" style="32" bestFit="1" customWidth="1"/>
    <col min="245" max="245" width="19.42578125" style="32" bestFit="1" customWidth="1"/>
    <col min="246" max="246" width="24" style="32" bestFit="1" customWidth="1"/>
    <col min="247" max="247" width="19.42578125" style="32" bestFit="1" customWidth="1"/>
    <col min="248" max="248" width="24" style="32" bestFit="1" customWidth="1"/>
    <col min="249" max="249" width="6.42578125" style="32" bestFit="1" customWidth="1"/>
    <col min="250" max="250" width="16.28515625" style="32" bestFit="1" customWidth="1"/>
    <col min="251" max="251" width="20.7109375" style="32" bestFit="1" customWidth="1"/>
    <col min="252" max="252" width="16.28515625" style="32" bestFit="1" customWidth="1"/>
    <col min="253" max="253" width="20.140625" style="32" bestFit="1" customWidth="1"/>
    <col min="254" max="254" width="13.42578125" style="32" bestFit="1" customWidth="1"/>
    <col min="255" max="255" width="24.85546875" style="32" bestFit="1" customWidth="1"/>
    <col min="256" max="256" width="28" style="32" bestFit="1" customWidth="1"/>
    <col min="257" max="257" width="12.42578125" style="32" bestFit="1" customWidth="1"/>
    <col min="258" max="258" width="7.42578125" style="32" bestFit="1" customWidth="1"/>
    <col min="259" max="259" width="19.42578125" style="32" customWidth="1"/>
    <col min="260" max="260" width="19.85546875" style="32" bestFit="1" customWidth="1"/>
    <col min="261" max="261" width="24.42578125" style="32" bestFit="1" customWidth="1"/>
    <col min="262" max="262" width="27.7109375" style="32" bestFit="1" customWidth="1"/>
    <col min="263" max="263" width="19.85546875" style="32" bestFit="1" customWidth="1"/>
    <col min="264" max="264" width="26.140625" style="32" bestFit="1" customWidth="1"/>
    <col min="265" max="265" width="37.85546875" style="32" bestFit="1" customWidth="1"/>
    <col min="266" max="266" width="40.85546875" style="32" bestFit="1" customWidth="1"/>
    <col min="267" max="267" width="9.42578125" style="32" bestFit="1" customWidth="1"/>
    <col min="268" max="268" width="8.42578125" style="32" bestFit="1" customWidth="1"/>
    <col min="269" max="269" width="12.85546875" style="32" bestFit="1" customWidth="1"/>
    <col min="270" max="270" width="29" style="32" bestFit="1" customWidth="1"/>
    <col min="271" max="271" width="42.28515625" style="32" bestFit="1" customWidth="1"/>
    <col min="272" max="272" width="44.85546875" style="32" bestFit="1" customWidth="1"/>
    <col min="273" max="273" width="18.42578125" style="32" bestFit="1" customWidth="1"/>
    <col min="274" max="274" width="28" style="32" bestFit="1" customWidth="1"/>
    <col min="275" max="275" width="20.42578125" style="32" bestFit="1" customWidth="1"/>
    <col min="276" max="276" width="24.42578125" style="32" bestFit="1" customWidth="1"/>
    <col min="277" max="277" width="13.7109375" style="32" bestFit="1" customWidth="1"/>
    <col min="278" max="278" width="25.28515625" style="32" bestFit="1" customWidth="1"/>
    <col min="279" max="279" width="37" style="32" bestFit="1" customWidth="1"/>
    <col min="280" max="280" width="40.140625" style="32" bestFit="1" customWidth="1"/>
    <col min="281" max="281" width="12.85546875" style="32" bestFit="1" customWidth="1"/>
    <col min="282" max="282" width="13.42578125" style="32" bestFit="1" customWidth="1"/>
    <col min="283" max="283" width="17.85546875" style="32" bestFit="1" customWidth="1"/>
    <col min="284" max="284" width="22.7109375" style="32" bestFit="1" customWidth="1"/>
    <col min="285" max="285" width="24" style="32" bestFit="1" customWidth="1"/>
    <col min="286" max="286" width="28.7109375" style="32" bestFit="1" customWidth="1"/>
    <col min="287" max="287" width="24" style="32" bestFit="1" customWidth="1"/>
    <col min="288" max="288" width="28.7109375" style="32" bestFit="1" customWidth="1"/>
    <col min="289" max="289" width="26.42578125" style="32" bestFit="1" customWidth="1"/>
    <col min="290" max="290" width="31" style="32" bestFit="1" customWidth="1"/>
    <col min="291" max="291" width="12.42578125" style="32" bestFit="1" customWidth="1"/>
    <col min="292" max="292" width="15" style="32" bestFit="1" customWidth="1"/>
    <col min="293" max="294" width="19.85546875" style="32" bestFit="1" customWidth="1"/>
    <col min="295" max="296" width="26.140625" style="32" bestFit="1" customWidth="1"/>
    <col min="297" max="297" width="9.42578125" style="32" bestFit="1" customWidth="1"/>
    <col min="298" max="298" width="8.42578125" style="32" bestFit="1" customWidth="1"/>
    <col min="299" max="299" width="12.85546875" style="32" bestFit="1" customWidth="1"/>
    <col min="300" max="300" width="15.140625" style="32" bestFit="1" customWidth="1"/>
    <col min="301" max="301" width="19.42578125" style="32" bestFit="1" customWidth="1"/>
    <col min="302" max="302" width="24.42578125" style="32" bestFit="1" customWidth="1"/>
    <col min="303" max="303" width="13.42578125" style="32" bestFit="1" customWidth="1"/>
    <col min="304" max="304" width="17.85546875" style="32" bestFit="1" customWidth="1"/>
    <col min="305" max="305" width="22.7109375" style="32" bestFit="1" customWidth="1"/>
    <col min="306" max="306" width="24" style="32" bestFit="1" customWidth="1"/>
    <col min="307" max="307" width="28.7109375" style="32" bestFit="1" customWidth="1"/>
    <col min="308" max="308" width="24" style="32" bestFit="1" customWidth="1"/>
    <col min="309" max="309" width="28.7109375" style="32" bestFit="1" customWidth="1"/>
    <col min="310" max="310" width="26.42578125" style="32" bestFit="1" customWidth="1"/>
    <col min="311" max="311" width="31" style="32" bestFit="1" customWidth="1"/>
    <col min="312" max="312" width="12.42578125" style="32" bestFit="1" customWidth="1"/>
    <col min="313" max="313" width="15" style="32" bestFit="1" customWidth="1"/>
    <col min="314" max="315" width="19.85546875" style="32" bestFit="1" customWidth="1"/>
    <col min="316" max="317" width="26.140625" style="32" bestFit="1" customWidth="1"/>
    <col min="318" max="318" width="9.42578125" style="32" bestFit="1" customWidth="1"/>
    <col min="319" max="319" width="8.42578125" style="32" bestFit="1" customWidth="1"/>
    <col min="320" max="320" width="12.85546875" style="32" bestFit="1" customWidth="1"/>
    <col min="321" max="321" width="29" style="32" bestFit="1" customWidth="1"/>
    <col min="322" max="322" width="18.42578125" style="32" bestFit="1" customWidth="1"/>
    <col min="323" max="323" width="28" style="32" bestFit="1" customWidth="1"/>
    <col min="324" max="324" width="26.140625" style="32" bestFit="1" customWidth="1"/>
    <col min="325" max="325" width="25.28515625" style="32" bestFit="1" customWidth="1"/>
    <col min="326" max="326" width="12.85546875" style="32" bestFit="1" customWidth="1"/>
    <col min="327" max="327" width="15.140625" style="32" bestFit="1" customWidth="1"/>
    <col min="328" max="328" width="19.42578125" style="32" bestFit="1" customWidth="1"/>
    <col min="329" max="329" width="24.42578125" style="32" bestFit="1" customWidth="1"/>
    <col min="330" max="330" width="13.42578125" style="32" bestFit="1" customWidth="1"/>
    <col min="331" max="331" width="17.85546875" style="32" bestFit="1" customWidth="1"/>
    <col min="332" max="332" width="24.42578125" style="32" bestFit="1" customWidth="1"/>
    <col min="333" max="333" width="24" style="32" bestFit="1" customWidth="1"/>
    <col min="334" max="334" width="28.7109375" style="32" bestFit="1" customWidth="1"/>
    <col min="335" max="335" width="24" style="32" bestFit="1" customWidth="1"/>
    <col min="336" max="336" width="28.7109375" style="32" bestFit="1" customWidth="1"/>
    <col min="337" max="337" width="26.42578125" style="32" bestFit="1" customWidth="1"/>
    <col min="338" max="338" width="31" style="32" bestFit="1" customWidth="1"/>
    <col min="339" max="339" width="19.42578125" style="32" bestFit="1" customWidth="1"/>
    <col min="340" max="340" width="24" style="32" bestFit="1" customWidth="1"/>
    <col min="341" max="341" width="19.42578125" style="32" bestFit="1" customWidth="1"/>
    <col min="342" max="342" width="24" style="32" bestFit="1" customWidth="1"/>
    <col min="343" max="343" width="6.42578125" style="32" bestFit="1" customWidth="1"/>
    <col min="344" max="344" width="16.28515625" style="32" bestFit="1" customWidth="1"/>
    <col min="345" max="345" width="20.7109375" style="32" bestFit="1" customWidth="1"/>
    <col min="346" max="346" width="16.28515625" style="32" bestFit="1" customWidth="1"/>
    <col min="347" max="347" width="20.140625" style="32" bestFit="1" customWidth="1"/>
    <col min="348" max="348" width="13.42578125" style="32" bestFit="1" customWidth="1"/>
    <col min="349" max="349" width="24.85546875" style="32" bestFit="1" customWidth="1"/>
    <col min="350" max="350" width="28" style="32" bestFit="1" customWidth="1"/>
    <col min="351" max="351" width="12.42578125" style="32" bestFit="1" customWidth="1"/>
    <col min="352" max="352" width="7.42578125" style="32" bestFit="1" customWidth="1"/>
    <col min="353" max="353" width="19.42578125" style="32" customWidth="1"/>
    <col min="354" max="354" width="24.42578125" style="32" bestFit="1" customWidth="1"/>
    <col min="355" max="355" width="19.85546875" style="32" bestFit="1" customWidth="1"/>
    <col min="356" max="356" width="27.7109375" style="32" bestFit="1" customWidth="1"/>
    <col min="357" max="357" width="19.85546875" style="32" bestFit="1" customWidth="1"/>
    <col min="358" max="358" width="37.85546875" style="32" bestFit="1" customWidth="1"/>
    <col min="359" max="359" width="26.140625" style="32" bestFit="1" customWidth="1"/>
    <col min="360" max="360" width="40.85546875" style="32" bestFit="1" customWidth="1"/>
    <col min="361" max="361" width="17" style="32" bestFit="1" customWidth="1"/>
    <col min="362" max="362" width="20.42578125" style="32" bestFit="1" customWidth="1"/>
    <col min="363" max="363" width="14.42578125" style="32" customWidth="1"/>
    <col min="364" max="365" width="9.42578125" style="32" bestFit="1" customWidth="1"/>
    <col min="366" max="366" width="8.42578125" style="32" bestFit="1" customWidth="1"/>
    <col min="367" max="367" width="12.85546875" style="32" bestFit="1" customWidth="1"/>
    <col min="368" max="368" width="15.140625" style="32" bestFit="1" customWidth="1"/>
    <col min="369" max="369" width="19.42578125" style="32" bestFit="1" customWidth="1"/>
    <col min="370" max="370" width="24.42578125" style="32" bestFit="1" customWidth="1"/>
    <col min="371" max="371" width="13.42578125" style="32" bestFit="1" customWidth="1"/>
    <col min="372" max="372" width="17.85546875" style="32" bestFit="1" customWidth="1"/>
    <col min="373" max="373" width="24.42578125" style="32" bestFit="1" customWidth="1"/>
    <col min="374" max="374" width="24" style="32" bestFit="1" customWidth="1"/>
    <col min="375" max="375" width="28.7109375" style="32" bestFit="1" customWidth="1"/>
    <col min="376" max="376" width="24" style="32" bestFit="1" customWidth="1"/>
    <col min="377" max="377" width="28.7109375" style="32" bestFit="1" customWidth="1"/>
    <col min="378" max="378" width="26.42578125" style="32" bestFit="1" customWidth="1"/>
    <col min="379" max="379" width="31" style="32" bestFit="1" customWidth="1"/>
    <col min="380" max="380" width="19.42578125" style="32" bestFit="1" customWidth="1"/>
    <col min="381" max="381" width="24" style="32" bestFit="1" customWidth="1"/>
    <col min="382" max="382" width="19.42578125" style="32" bestFit="1" customWidth="1"/>
    <col min="383" max="383" width="24" style="32" bestFit="1" customWidth="1"/>
    <col min="384" max="384" width="6.42578125" style="32" bestFit="1" customWidth="1"/>
    <col min="385" max="385" width="16.28515625" style="32" bestFit="1" customWidth="1"/>
    <col min="386" max="386" width="20.7109375" style="32" bestFit="1" customWidth="1"/>
    <col min="387" max="387" width="16.28515625" style="32" bestFit="1" customWidth="1"/>
    <col min="388" max="388" width="20.140625" style="32" bestFit="1" customWidth="1"/>
    <col min="389" max="389" width="13.42578125" style="32" bestFit="1" customWidth="1"/>
    <col min="390" max="390" width="24.85546875" style="32" bestFit="1" customWidth="1"/>
    <col min="391" max="391" width="28" style="32" bestFit="1" customWidth="1"/>
    <col min="392" max="392" width="12.42578125" style="32" bestFit="1" customWidth="1"/>
    <col min="393" max="393" width="7.42578125" style="32" bestFit="1" customWidth="1"/>
    <col min="394" max="394" width="19.42578125" style="32" customWidth="1"/>
    <col min="395" max="395" width="19.85546875" style="32" bestFit="1" customWidth="1"/>
    <col min="396" max="396" width="24.42578125" style="32" bestFit="1" customWidth="1"/>
    <col min="397" max="397" width="27.7109375" style="32" bestFit="1" customWidth="1"/>
    <col min="398" max="398" width="19.85546875" style="32" bestFit="1" customWidth="1"/>
    <col min="399" max="399" width="26.140625" style="32" bestFit="1" customWidth="1"/>
    <col min="400" max="400" width="37.85546875" style="32" bestFit="1" customWidth="1"/>
    <col min="401" max="401" width="40.85546875" style="32" bestFit="1" customWidth="1"/>
    <col min="402" max="402" width="9.42578125" style="32" bestFit="1" customWidth="1"/>
    <col min="403" max="403" width="8.42578125" style="32" bestFit="1" customWidth="1"/>
    <col min="404" max="404" width="12.85546875" style="32" bestFit="1" customWidth="1"/>
    <col min="405" max="405" width="29" style="32" bestFit="1" customWidth="1"/>
    <col min="406" max="406" width="42.28515625" style="32" bestFit="1" customWidth="1"/>
    <col min="407" max="407" width="44.85546875" style="32" bestFit="1" customWidth="1"/>
    <col min="408" max="408" width="18.42578125" style="32" bestFit="1" customWidth="1"/>
    <col min="409" max="409" width="28" style="32" bestFit="1" customWidth="1"/>
    <col min="410" max="410" width="20.42578125" style="32" bestFit="1" customWidth="1"/>
    <col min="411" max="411" width="24.42578125" style="32" bestFit="1" customWidth="1"/>
    <col min="412" max="412" width="13.7109375" style="32" bestFit="1" customWidth="1"/>
    <col min="413" max="413" width="25.28515625" style="32" bestFit="1" customWidth="1"/>
    <col min="414" max="414" width="37" style="32" bestFit="1" customWidth="1"/>
    <col min="415" max="415" width="40.140625" style="32" bestFit="1" customWidth="1"/>
    <col min="416" max="16384" width="11.42578125" style="32"/>
  </cols>
  <sheetData>
    <row r="1" spans="1:415" s="54" customFormat="1" ht="18.75" customHeight="1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8" t="s">
        <v>292</v>
      </c>
      <c r="K1" s="26" t="s">
        <v>133</v>
      </c>
      <c r="L1" s="26" t="s">
        <v>365</v>
      </c>
      <c r="M1" s="26" t="s">
        <v>134</v>
      </c>
      <c r="N1" s="26" t="s">
        <v>278</v>
      </c>
      <c r="O1" s="26" t="s">
        <v>279</v>
      </c>
      <c r="P1" s="26" t="s">
        <v>280</v>
      </c>
      <c r="Q1" s="26" t="s">
        <v>281</v>
      </c>
      <c r="R1" s="26" t="s">
        <v>282</v>
      </c>
      <c r="S1" s="26" t="s">
        <v>283</v>
      </c>
      <c r="T1" s="26" t="s">
        <v>362</v>
      </c>
      <c r="U1" s="26" t="s">
        <v>523</v>
      </c>
      <c r="V1" s="26" t="s">
        <v>284</v>
      </c>
      <c r="W1" s="26" t="s">
        <v>285</v>
      </c>
      <c r="X1" s="26" t="s">
        <v>351</v>
      </c>
      <c r="Y1" s="26" t="s">
        <v>352</v>
      </c>
      <c r="Z1" s="26" t="s">
        <v>128</v>
      </c>
      <c r="AA1" s="26" t="s">
        <v>129</v>
      </c>
      <c r="AB1" s="68" t="s">
        <v>293</v>
      </c>
      <c r="AC1" s="26" t="s">
        <v>131</v>
      </c>
      <c r="AD1" s="26" t="s">
        <v>366</v>
      </c>
      <c r="AE1" s="26" t="s">
        <v>132</v>
      </c>
      <c r="AF1" s="26" t="s">
        <v>133</v>
      </c>
      <c r="AG1" s="26" t="s">
        <v>365</v>
      </c>
      <c r="AH1" s="26" t="s">
        <v>134</v>
      </c>
      <c r="AI1" s="26" t="s">
        <v>278</v>
      </c>
      <c r="AJ1" s="26" t="s">
        <v>279</v>
      </c>
      <c r="AK1" s="26" t="s">
        <v>280</v>
      </c>
      <c r="AL1" s="26" t="s">
        <v>281</v>
      </c>
      <c r="AM1" s="26" t="s">
        <v>282</v>
      </c>
      <c r="AN1" s="26" t="s">
        <v>283</v>
      </c>
      <c r="AO1" s="26" t="s">
        <v>362</v>
      </c>
      <c r="AP1" s="26" t="s">
        <v>523</v>
      </c>
      <c r="AQ1" s="26" t="s">
        <v>284</v>
      </c>
      <c r="AR1" s="26" t="s">
        <v>285</v>
      </c>
      <c r="AS1" s="26" t="s">
        <v>351</v>
      </c>
      <c r="AT1" s="26" t="s">
        <v>352</v>
      </c>
      <c r="AU1" s="26" t="s">
        <v>128</v>
      </c>
      <c r="AV1" s="26" t="s">
        <v>129</v>
      </c>
      <c r="AW1" s="68" t="s">
        <v>294</v>
      </c>
      <c r="AX1" s="26" t="s">
        <v>286</v>
      </c>
      <c r="AY1" s="26" t="s">
        <v>135</v>
      </c>
      <c r="AZ1" s="26" t="s">
        <v>136</v>
      </c>
      <c r="BA1" s="26" t="s">
        <v>137</v>
      </c>
      <c r="BB1" s="26" t="s">
        <v>287</v>
      </c>
      <c r="BC1" s="68" t="s">
        <v>295</v>
      </c>
      <c r="BD1" s="26" t="s">
        <v>131</v>
      </c>
      <c r="BE1" s="26" t="s">
        <v>366</v>
      </c>
      <c r="BF1" s="26" t="s">
        <v>132</v>
      </c>
      <c r="BG1" s="26" t="s">
        <v>133</v>
      </c>
      <c r="BH1" s="26" t="s">
        <v>365</v>
      </c>
      <c r="BI1" s="26" t="s">
        <v>132</v>
      </c>
      <c r="BJ1" s="26" t="s">
        <v>278</v>
      </c>
      <c r="BK1" s="26" t="s">
        <v>279</v>
      </c>
      <c r="BL1" s="26" t="s">
        <v>280</v>
      </c>
      <c r="BM1" s="26" t="s">
        <v>281</v>
      </c>
      <c r="BN1" s="26" t="s">
        <v>282</v>
      </c>
      <c r="BO1" s="26" t="s">
        <v>283</v>
      </c>
      <c r="BP1" s="26" t="s">
        <v>353</v>
      </c>
      <c r="BQ1" s="26" t="s">
        <v>367</v>
      </c>
      <c r="BR1" s="26" t="s">
        <v>354</v>
      </c>
      <c r="BS1" s="26" t="s">
        <v>368</v>
      </c>
      <c r="BT1" s="26" t="s">
        <v>359</v>
      </c>
      <c r="BU1" s="26" t="s">
        <v>355</v>
      </c>
      <c r="BV1" s="26" t="s">
        <v>369</v>
      </c>
      <c r="BW1" s="26" t="s">
        <v>356</v>
      </c>
      <c r="BX1" s="26" t="s">
        <v>528</v>
      </c>
      <c r="BY1" s="26" t="s">
        <v>522</v>
      </c>
      <c r="BZ1" s="26" t="s">
        <v>357</v>
      </c>
      <c r="CA1" s="26" t="s">
        <v>358</v>
      </c>
      <c r="CB1" s="26" t="s">
        <v>362</v>
      </c>
      <c r="CC1" s="26" t="s">
        <v>523</v>
      </c>
      <c r="CD1" s="26" t="s">
        <v>531</v>
      </c>
      <c r="CE1" s="26" t="s">
        <v>360</v>
      </c>
      <c r="CF1" s="26" t="s">
        <v>284</v>
      </c>
      <c r="CG1" s="26" t="s">
        <v>361</v>
      </c>
      <c r="CH1" s="26" t="s">
        <v>285</v>
      </c>
      <c r="CI1" s="26" t="s">
        <v>526</v>
      </c>
      <c r="CJ1" s="26" t="s">
        <v>351</v>
      </c>
      <c r="CK1" s="26" t="s">
        <v>527</v>
      </c>
      <c r="CL1" s="26" t="s">
        <v>524</v>
      </c>
      <c r="CM1" s="26" t="s">
        <v>529</v>
      </c>
      <c r="CN1" s="26" t="s">
        <v>530</v>
      </c>
      <c r="CO1" s="26" t="s">
        <v>525</v>
      </c>
      <c r="CP1" s="26" t="s">
        <v>128</v>
      </c>
      <c r="CQ1" s="26" t="s">
        <v>129</v>
      </c>
      <c r="CR1" s="68" t="s">
        <v>296</v>
      </c>
      <c r="CS1" s="26" t="s">
        <v>131</v>
      </c>
      <c r="CT1" s="26" t="s">
        <v>366</v>
      </c>
      <c r="CU1" s="26" t="s">
        <v>132</v>
      </c>
      <c r="CV1" s="26" t="s">
        <v>133</v>
      </c>
      <c r="CW1" s="26" t="s">
        <v>365</v>
      </c>
      <c r="CX1" s="26" t="s">
        <v>132</v>
      </c>
      <c r="CY1" s="26" t="s">
        <v>278</v>
      </c>
      <c r="CZ1" s="26" t="s">
        <v>279</v>
      </c>
      <c r="DA1" s="26" t="s">
        <v>280</v>
      </c>
      <c r="DB1" s="26" t="s">
        <v>281</v>
      </c>
      <c r="DC1" s="26" t="s">
        <v>282</v>
      </c>
      <c r="DD1" s="26" t="s">
        <v>283</v>
      </c>
      <c r="DE1" s="26" t="s">
        <v>353</v>
      </c>
      <c r="DF1" s="26" t="s">
        <v>367</v>
      </c>
      <c r="DG1" s="26" t="s">
        <v>354</v>
      </c>
      <c r="DH1" s="26" t="s">
        <v>368</v>
      </c>
      <c r="DI1" s="26" t="s">
        <v>359</v>
      </c>
      <c r="DJ1" s="26" t="s">
        <v>355</v>
      </c>
      <c r="DK1" s="26" t="s">
        <v>369</v>
      </c>
      <c r="DL1" s="26" t="s">
        <v>356</v>
      </c>
      <c r="DM1" s="26" t="s">
        <v>528</v>
      </c>
      <c r="DN1" s="26" t="s">
        <v>522</v>
      </c>
      <c r="DO1" s="26" t="s">
        <v>357</v>
      </c>
      <c r="DP1" s="26" t="s">
        <v>358</v>
      </c>
      <c r="DQ1" s="26" t="s">
        <v>362</v>
      </c>
      <c r="DR1" s="26" t="s">
        <v>523</v>
      </c>
      <c r="DS1" s="26" t="s">
        <v>531</v>
      </c>
      <c r="DT1" s="26" t="s">
        <v>284</v>
      </c>
      <c r="DU1" s="26" t="s">
        <v>360</v>
      </c>
      <c r="DV1" s="26" t="s">
        <v>361</v>
      </c>
      <c r="DW1" s="26" t="s">
        <v>285</v>
      </c>
      <c r="DX1" s="26" t="s">
        <v>351</v>
      </c>
      <c r="DY1" s="26" t="s">
        <v>526</v>
      </c>
      <c r="DZ1" s="26" t="s">
        <v>527</v>
      </c>
      <c r="EA1" s="26" t="s">
        <v>128</v>
      </c>
      <c r="EB1" s="26" t="s">
        <v>129</v>
      </c>
      <c r="EC1" s="68" t="s">
        <v>297</v>
      </c>
      <c r="ED1" s="26" t="s">
        <v>286</v>
      </c>
      <c r="EE1" s="26" t="s">
        <v>288</v>
      </c>
      <c r="EF1" s="26" t="s">
        <v>289</v>
      </c>
      <c r="EG1" s="26" t="s">
        <v>135</v>
      </c>
      <c r="EH1" s="26" t="s">
        <v>136</v>
      </c>
      <c r="EI1" s="26" t="s">
        <v>139</v>
      </c>
      <c r="EJ1" s="26" t="s">
        <v>363</v>
      </c>
      <c r="EK1" s="26" t="s">
        <v>138</v>
      </c>
      <c r="EL1" s="26" t="s">
        <v>287</v>
      </c>
      <c r="EM1" s="26" t="s">
        <v>290</v>
      </c>
      <c r="EN1" s="26" t="s">
        <v>291</v>
      </c>
      <c r="EO1" s="68" t="s">
        <v>298</v>
      </c>
      <c r="EP1" s="26" t="s">
        <v>133</v>
      </c>
      <c r="EQ1" s="26" t="s">
        <v>365</v>
      </c>
      <c r="ER1" s="26" t="s">
        <v>134</v>
      </c>
      <c r="ES1" s="26" t="s">
        <v>278</v>
      </c>
      <c r="ET1" s="26" t="s">
        <v>279</v>
      </c>
      <c r="EU1" s="26" t="s">
        <v>280</v>
      </c>
      <c r="EV1" s="26" t="s">
        <v>281</v>
      </c>
      <c r="EW1" s="26" t="s">
        <v>282</v>
      </c>
      <c r="EX1" s="26" t="s">
        <v>283</v>
      </c>
      <c r="EY1" s="26" t="s">
        <v>362</v>
      </c>
      <c r="EZ1" s="26" t="s">
        <v>523</v>
      </c>
      <c r="FA1" s="26" t="s">
        <v>284</v>
      </c>
      <c r="FB1" s="26" t="s">
        <v>285</v>
      </c>
      <c r="FC1" s="26" t="s">
        <v>351</v>
      </c>
      <c r="FD1" s="26" t="s">
        <v>352</v>
      </c>
      <c r="FE1" s="26" t="s">
        <v>128</v>
      </c>
      <c r="FF1" s="26" t="s">
        <v>129</v>
      </c>
      <c r="FG1" s="68" t="s">
        <v>299</v>
      </c>
      <c r="FH1" s="26" t="s">
        <v>131</v>
      </c>
      <c r="FI1" s="26" t="s">
        <v>366</v>
      </c>
      <c r="FJ1" s="26" t="s">
        <v>132</v>
      </c>
      <c r="FK1" s="26" t="s">
        <v>133</v>
      </c>
      <c r="FL1" s="26" t="s">
        <v>365</v>
      </c>
      <c r="FM1" s="26" t="s">
        <v>134</v>
      </c>
      <c r="FN1" s="26" t="s">
        <v>278</v>
      </c>
      <c r="FO1" s="26" t="s">
        <v>279</v>
      </c>
      <c r="FP1" s="26" t="s">
        <v>280</v>
      </c>
      <c r="FQ1" s="26" t="s">
        <v>281</v>
      </c>
      <c r="FR1" s="26" t="s">
        <v>282</v>
      </c>
      <c r="FS1" s="26" t="s">
        <v>283</v>
      </c>
      <c r="FT1" s="26" t="s">
        <v>362</v>
      </c>
      <c r="FU1" s="26" t="s">
        <v>523</v>
      </c>
      <c r="FV1" s="26" t="s">
        <v>284</v>
      </c>
      <c r="FW1" s="26" t="s">
        <v>285</v>
      </c>
      <c r="FX1" s="26" t="s">
        <v>351</v>
      </c>
      <c r="FY1" s="26" t="s">
        <v>352</v>
      </c>
      <c r="FZ1" s="26" t="s">
        <v>128</v>
      </c>
      <c r="GA1" s="26" t="s">
        <v>129</v>
      </c>
      <c r="GB1" s="68" t="s">
        <v>300</v>
      </c>
      <c r="GC1" s="26" t="s">
        <v>286</v>
      </c>
      <c r="GD1" s="26" t="s">
        <v>135</v>
      </c>
      <c r="GE1" s="26" t="s">
        <v>136</v>
      </c>
      <c r="GF1" s="26" t="s">
        <v>137</v>
      </c>
      <c r="GG1" s="26" t="s">
        <v>287</v>
      </c>
      <c r="GH1" s="68" t="s">
        <v>301</v>
      </c>
      <c r="GI1" s="26" t="s">
        <v>131</v>
      </c>
      <c r="GJ1" s="26" t="s">
        <v>366</v>
      </c>
      <c r="GK1" s="26" t="s">
        <v>132</v>
      </c>
      <c r="GL1" s="26" t="s">
        <v>133</v>
      </c>
      <c r="GM1" s="26" t="s">
        <v>365</v>
      </c>
      <c r="GN1" s="26" t="s">
        <v>132</v>
      </c>
      <c r="GO1" s="26" t="s">
        <v>278</v>
      </c>
      <c r="GP1" s="26" t="s">
        <v>279</v>
      </c>
      <c r="GQ1" s="26" t="s">
        <v>280</v>
      </c>
      <c r="GR1" s="26" t="s">
        <v>281</v>
      </c>
      <c r="GS1" s="26" t="s">
        <v>282</v>
      </c>
      <c r="GT1" s="26" t="s">
        <v>283</v>
      </c>
      <c r="GU1" s="26" t="s">
        <v>353</v>
      </c>
      <c r="GV1" s="26" t="s">
        <v>367</v>
      </c>
      <c r="GW1" s="26" t="s">
        <v>354</v>
      </c>
      <c r="GX1" s="26" t="s">
        <v>368</v>
      </c>
      <c r="GY1" s="26" t="s">
        <v>359</v>
      </c>
      <c r="GZ1" s="26" t="s">
        <v>355</v>
      </c>
      <c r="HA1" s="26" t="s">
        <v>369</v>
      </c>
      <c r="HB1" s="26" t="s">
        <v>356</v>
      </c>
      <c r="HC1" s="26" t="s">
        <v>528</v>
      </c>
      <c r="HD1" s="26" t="s">
        <v>522</v>
      </c>
      <c r="HE1" s="26" t="s">
        <v>357</v>
      </c>
      <c r="HF1" s="26" t="s">
        <v>358</v>
      </c>
      <c r="HG1" s="26" t="s">
        <v>362</v>
      </c>
      <c r="HH1" s="26" t="s">
        <v>523</v>
      </c>
      <c r="HI1" s="26" t="s">
        <v>531</v>
      </c>
      <c r="HJ1" s="26" t="s">
        <v>360</v>
      </c>
      <c r="HK1" s="26" t="s">
        <v>284</v>
      </c>
      <c r="HL1" s="26" t="s">
        <v>361</v>
      </c>
      <c r="HM1" s="26" t="s">
        <v>285</v>
      </c>
      <c r="HN1" s="26" t="s">
        <v>526</v>
      </c>
      <c r="HO1" s="26" t="s">
        <v>351</v>
      </c>
      <c r="HP1" s="26" t="s">
        <v>527</v>
      </c>
      <c r="HQ1" s="26" t="s">
        <v>524</v>
      </c>
      <c r="HR1" s="26" t="s">
        <v>531</v>
      </c>
      <c r="HS1" s="26" t="s">
        <v>529</v>
      </c>
      <c r="HT1" s="26" t="s">
        <v>530</v>
      </c>
      <c r="HU1" s="26" t="s">
        <v>525</v>
      </c>
      <c r="HV1" s="26" t="s">
        <v>128</v>
      </c>
      <c r="HW1" s="26" t="s">
        <v>129</v>
      </c>
      <c r="HX1" s="68" t="s">
        <v>302</v>
      </c>
      <c r="HY1" s="26" t="s">
        <v>131</v>
      </c>
      <c r="HZ1" s="26" t="s">
        <v>366</v>
      </c>
      <c r="IA1" s="26" t="s">
        <v>132</v>
      </c>
      <c r="IB1" s="26" t="s">
        <v>133</v>
      </c>
      <c r="IC1" s="26" t="s">
        <v>365</v>
      </c>
      <c r="ID1" s="26" t="s">
        <v>132</v>
      </c>
      <c r="IE1" s="26" t="s">
        <v>278</v>
      </c>
      <c r="IF1" s="26" t="s">
        <v>279</v>
      </c>
      <c r="IG1" s="26" t="s">
        <v>280</v>
      </c>
      <c r="IH1" s="26" t="s">
        <v>281</v>
      </c>
      <c r="II1" s="26" t="s">
        <v>282</v>
      </c>
      <c r="IJ1" s="26" t="s">
        <v>283</v>
      </c>
      <c r="IK1" s="26" t="s">
        <v>353</v>
      </c>
      <c r="IL1" s="26" t="s">
        <v>367</v>
      </c>
      <c r="IM1" s="26" t="s">
        <v>354</v>
      </c>
      <c r="IN1" s="26" t="s">
        <v>368</v>
      </c>
      <c r="IO1" s="26" t="s">
        <v>359</v>
      </c>
      <c r="IP1" s="26" t="s">
        <v>355</v>
      </c>
      <c r="IQ1" s="26" t="s">
        <v>369</v>
      </c>
      <c r="IR1" s="26" t="s">
        <v>356</v>
      </c>
      <c r="IS1" s="26" t="s">
        <v>528</v>
      </c>
      <c r="IT1" s="26" t="s">
        <v>522</v>
      </c>
      <c r="IU1" s="26" t="s">
        <v>357</v>
      </c>
      <c r="IV1" s="26" t="s">
        <v>358</v>
      </c>
      <c r="IW1" s="26" t="s">
        <v>362</v>
      </c>
      <c r="IX1" s="26" t="s">
        <v>523</v>
      </c>
      <c r="IY1" s="26" t="s">
        <v>531</v>
      </c>
      <c r="IZ1" s="26" t="s">
        <v>284</v>
      </c>
      <c r="JA1" s="26" t="s">
        <v>360</v>
      </c>
      <c r="JB1" s="26" t="s">
        <v>361</v>
      </c>
      <c r="JC1" s="26" t="s">
        <v>285</v>
      </c>
      <c r="JD1" s="26" t="s">
        <v>351</v>
      </c>
      <c r="JE1" s="26" t="s">
        <v>526</v>
      </c>
      <c r="JF1" s="26" t="s">
        <v>527</v>
      </c>
      <c r="JG1" s="26" t="s">
        <v>128</v>
      </c>
      <c r="JH1" s="26" t="s">
        <v>129</v>
      </c>
      <c r="JI1" s="68" t="s">
        <v>303</v>
      </c>
      <c r="JJ1" s="26" t="s">
        <v>286</v>
      </c>
      <c r="JK1" s="26" t="s">
        <v>288</v>
      </c>
      <c r="JL1" s="26" t="s">
        <v>289</v>
      </c>
      <c r="JM1" s="26" t="s">
        <v>135</v>
      </c>
      <c r="JN1" s="26" t="s">
        <v>136</v>
      </c>
      <c r="JO1" s="26" t="s">
        <v>139</v>
      </c>
      <c r="JP1" s="26" t="s">
        <v>363</v>
      </c>
      <c r="JQ1" s="26" t="s">
        <v>138</v>
      </c>
      <c r="JR1" s="26" t="s">
        <v>287</v>
      </c>
      <c r="JS1" s="26" t="s">
        <v>290</v>
      </c>
      <c r="JT1" s="26" t="s">
        <v>291</v>
      </c>
      <c r="JU1" s="68" t="s">
        <v>304</v>
      </c>
      <c r="JV1" s="26" t="s">
        <v>133</v>
      </c>
      <c r="JW1" s="26" t="s">
        <v>365</v>
      </c>
      <c r="JX1" s="26" t="s">
        <v>134</v>
      </c>
      <c r="JY1" s="26" t="s">
        <v>278</v>
      </c>
      <c r="JZ1" s="26" t="s">
        <v>279</v>
      </c>
      <c r="KA1" s="26" t="s">
        <v>280</v>
      </c>
      <c r="KB1" s="26" t="s">
        <v>281</v>
      </c>
      <c r="KC1" s="26" t="s">
        <v>282</v>
      </c>
      <c r="KD1" s="26" t="s">
        <v>283</v>
      </c>
      <c r="KE1" s="26" t="s">
        <v>362</v>
      </c>
      <c r="KF1" s="26" t="s">
        <v>523</v>
      </c>
      <c r="KG1" s="26" t="s">
        <v>284</v>
      </c>
      <c r="KH1" s="26" t="s">
        <v>285</v>
      </c>
      <c r="KI1" s="26" t="s">
        <v>351</v>
      </c>
      <c r="KJ1" s="26" t="s">
        <v>352</v>
      </c>
      <c r="KK1" s="26" t="s">
        <v>128</v>
      </c>
      <c r="KL1" s="26" t="s">
        <v>129</v>
      </c>
      <c r="KM1" s="68" t="s">
        <v>305</v>
      </c>
      <c r="KN1" s="26" t="s">
        <v>131</v>
      </c>
      <c r="KO1" s="26" t="s">
        <v>366</v>
      </c>
      <c r="KP1" s="26" t="s">
        <v>132</v>
      </c>
      <c r="KQ1" s="26" t="s">
        <v>133</v>
      </c>
      <c r="KR1" s="26" t="s">
        <v>365</v>
      </c>
      <c r="KS1" s="26" t="s">
        <v>134</v>
      </c>
      <c r="KT1" s="26" t="s">
        <v>278</v>
      </c>
      <c r="KU1" s="26" t="s">
        <v>279</v>
      </c>
      <c r="KV1" s="26" t="s">
        <v>280</v>
      </c>
      <c r="KW1" s="26" t="s">
        <v>281</v>
      </c>
      <c r="KX1" s="26" t="s">
        <v>282</v>
      </c>
      <c r="KY1" s="26" t="s">
        <v>283</v>
      </c>
      <c r="KZ1" s="26" t="s">
        <v>362</v>
      </c>
      <c r="LA1" s="26" t="s">
        <v>523</v>
      </c>
      <c r="LB1" s="26" t="s">
        <v>284</v>
      </c>
      <c r="LC1" s="26" t="s">
        <v>285</v>
      </c>
      <c r="LD1" s="26" t="s">
        <v>351</v>
      </c>
      <c r="LE1" s="26" t="s">
        <v>352</v>
      </c>
      <c r="LF1" s="26" t="s">
        <v>128</v>
      </c>
      <c r="LG1" s="26" t="s">
        <v>129</v>
      </c>
      <c r="LH1" s="68" t="s">
        <v>306</v>
      </c>
      <c r="LI1" s="26" t="s">
        <v>286</v>
      </c>
      <c r="LJ1" s="26" t="s">
        <v>135</v>
      </c>
      <c r="LK1" s="26" t="s">
        <v>136</v>
      </c>
      <c r="LL1" s="26" t="s">
        <v>137</v>
      </c>
      <c r="LM1" s="26" t="s">
        <v>287</v>
      </c>
      <c r="LN1" s="68" t="s">
        <v>307</v>
      </c>
      <c r="LO1" s="26" t="s">
        <v>131</v>
      </c>
      <c r="LP1" s="26" t="s">
        <v>366</v>
      </c>
      <c r="LQ1" s="26" t="s">
        <v>132</v>
      </c>
      <c r="LR1" s="26" t="s">
        <v>133</v>
      </c>
      <c r="LS1" s="26" t="s">
        <v>365</v>
      </c>
      <c r="LT1" s="26" t="s">
        <v>132</v>
      </c>
      <c r="LU1" s="26" t="s">
        <v>278</v>
      </c>
      <c r="LV1" s="26" t="s">
        <v>279</v>
      </c>
      <c r="LW1" s="26" t="s">
        <v>280</v>
      </c>
      <c r="LX1" s="26" t="s">
        <v>281</v>
      </c>
      <c r="LY1" s="26" t="s">
        <v>282</v>
      </c>
      <c r="LZ1" s="26" t="s">
        <v>283</v>
      </c>
      <c r="MA1" s="26" t="s">
        <v>353</v>
      </c>
      <c r="MB1" s="26" t="s">
        <v>367</v>
      </c>
      <c r="MC1" s="26" t="s">
        <v>354</v>
      </c>
      <c r="MD1" s="26" t="s">
        <v>368</v>
      </c>
      <c r="ME1" s="26" t="s">
        <v>359</v>
      </c>
      <c r="MF1" s="26" t="s">
        <v>355</v>
      </c>
      <c r="MG1" s="26" t="s">
        <v>369</v>
      </c>
      <c r="MH1" s="26" t="s">
        <v>356</v>
      </c>
      <c r="MI1" s="26" t="s">
        <v>528</v>
      </c>
      <c r="MJ1" s="26" t="s">
        <v>522</v>
      </c>
      <c r="MK1" s="26" t="s">
        <v>357</v>
      </c>
      <c r="ML1" s="26" t="s">
        <v>358</v>
      </c>
      <c r="MM1" s="26" t="s">
        <v>362</v>
      </c>
      <c r="MN1" s="26" t="s">
        <v>523</v>
      </c>
      <c r="MO1" s="26" t="s">
        <v>531</v>
      </c>
      <c r="MP1" s="26" t="s">
        <v>360</v>
      </c>
      <c r="MQ1" s="26" t="s">
        <v>284</v>
      </c>
      <c r="MR1" s="26" t="s">
        <v>361</v>
      </c>
      <c r="MS1" s="26" t="s">
        <v>285</v>
      </c>
      <c r="MT1" s="26" t="s">
        <v>526</v>
      </c>
      <c r="MU1" s="26" t="s">
        <v>351</v>
      </c>
      <c r="MV1" s="26" t="s">
        <v>527</v>
      </c>
      <c r="MW1" s="26" t="s">
        <v>524</v>
      </c>
      <c r="MX1" s="26" t="s">
        <v>529</v>
      </c>
      <c r="MY1" s="26" t="s">
        <v>530</v>
      </c>
      <c r="MZ1" s="26" t="s">
        <v>525</v>
      </c>
      <c r="NA1" s="26" t="s">
        <v>128</v>
      </c>
      <c r="NB1" s="26" t="s">
        <v>129</v>
      </c>
      <c r="NC1" s="68" t="s">
        <v>308</v>
      </c>
      <c r="ND1" s="26" t="s">
        <v>131</v>
      </c>
      <c r="NE1" s="26" t="s">
        <v>366</v>
      </c>
      <c r="NF1" s="26" t="s">
        <v>132</v>
      </c>
      <c r="NG1" s="26" t="s">
        <v>133</v>
      </c>
      <c r="NH1" s="26" t="s">
        <v>365</v>
      </c>
      <c r="NI1" s="26" t="s">
        <v>132</v>
      </c>
      <c r="NJ1" s="26" t="s">
        <v>278</v>
      </c>
      <c r="NK1" s="26" t="s">
        <v>279</v>
      </c>
      <c r="NL1" s="26" t="s">
        <v>280</v>
      </c>
      <c r="NM1" s="26" t="s">
        <v>281</v>
      </c>
      <c r="NN1" s="26" t="s">
        <v>282</v>
      </c>
      <c r="NO1" s="26" t="s">
        <v>283</v>
      </c>
      <c r="NP1" s="26" t="s">
        <v>353</v>
      </c>
      <c r="NQ1" s="26" t="s">
        <v>367</v>
      </c>
      <c r="NR1" s="26" t="s">
        <v>354</v>
      </c>
      <c r="NS1" s="26" t="s">
        <v>368</v>
      </c>
      <c r="NT1" s="26" t="s">
        <v>359</v>
      </c>
      <c r="NU1" s="26" t="s">
        <v>355</v>
      </c>
      <c r="NV1" s="26" t="s">
        <v>369</v>
      </c>
      <c r="NW1" s="26" t="s">
        <v>356</v>
      </c>
      <c r="NX1" s="26" t="s">
        <v>528</v>
      </c>
      <c r="NY1" s="26" t="s">
        <v>522</v>
      </c>
      <c r="NZ1" s="26" t="s">
        <v>357</v>
      </c>
      <c r="OA1" s="26" t="s">
        <v>358</v>
      </c>
      <c r="OB1" s="26" t="s">
        <v>362</v>
      </c>
      <c r="OC1" s="26" t="s">
        <v>523</v>
      </c>
      <c r="OD1" s="26" t="s">
        <v>531</v>
      </c>
      <c r="OE1" s="26" t="s">
        <v>284</v>
      </c>
      <c r="OF1" s="26" t="s">
        <v>360</v>
      </c>
      <c r="OG1" s="26" t="s">
        <v>361</v>
      </c>
      <c r="OH1" s="26" t="s">
        <v>285</v>
      </c>
      <c r="OI1" s="26" t="s">
        <v>351</v>
      </c>
      <c r="OJ1" s="26" t="s">
        <v>526</v>
      </c>
      <c r="OK1" s="26" t="s">
        <v>527</v>
      </c>
      <c r="OL1" s="26" t="s">
        <v>128</v>
      </c>
      <c r="OM1" s="26" t="s">
        <v>129</v>
      </c>
      <c r="ON1" s="68" t="s">
        <v>309</v>
      </c>
      <c r="OO1" s="26" t="s">
        <v>286</v>
      </c>
      <c r="OP1" s="26" t="s">
        <v>288</v>
      </c>
      <c r="OQ1" s="26" t="s">
        <v>289</v>
      </c>
      <c r="OR1" s="26" t="s">
        <v>135</v>
      </c>
      <c r="OS1" s="26" t="s">
        <v>136</v>
      </c>
      <c r="OT1" s="26" t="s">
        <v>139</v>
      </c>
      <c r="OU1" s="26" t="s">
        <v>363</v>
      </c>
      <c r="OV1" s="26" t="s">
        <v>138</v>
      </c>
      <c r="OW1" s="26" t="s">
        <v>287</v>
      </c>
      <c r="OX1" s="26" t="s">
        <v>290</v>
      </c>
      <c r="OY1" s="26" t="s">
        <v>291</v>
      </c>
    </row>
    <row r="2" spans="1:415" ht="18.75" customHeight="1" x14ac:dyDescent="0.25">
      <c r="A2" s="10">
        <v>1</v>
      </c>
      <c r="B2" s="6" t="s">
        <v>30</v>
      </c>
      <c r="C2" s="6" t="s">
        <v>31</v>
      </c>
      <c r="D2" s="6">
        <v>81.599999999999994</v>
      </c>
      <c r="E2" s="6">
        <v>192</v>
      </c>
      <c r="F2" s="6">
        <v>33</v>
      </c>
      <c r="G2" s="6" t="s">
        <v>32</v>
      </c>
      <c r="H2" s="6" t="s">
        <v>33</v>
      </c>
      <c r="I2" s="6">
        <v>25</v>
      </c>
      <c r="J2" s="69"/>
      <c r="K2" s="32" t="s">
        <v>34</v>
      </c>
      <c r="L2" s="32" t="s">
        <v>34</v>
      </c>
      <c r="M2" s="32" t="s">
        <v>34</v>
      </c>
      <c r="N2" s="32" t="s">
        <v>34</v>
      </c>
      <c r="O2" s="32" t="s">
        <v>34</v>
      </c>
      <c r="P2" s="32" t="s">
        <v>34</v>
      </c>
      <c r="Q2" s="32" t="s">
        <v>34</v>
      </c>
      <c r="R2" s="32" t="s">
        <v>34</v>
      </c>
      <c r="S2" s="32" t="s">
        <v>34</v>
      </c>
      <c r="T2" s="32" t="s">
        <v>34</v>
      </c>
      <c r="U2" s="32" t="s">
        <v>34</v>
      </c>
      <c r="V2" s="32" t="s">
        <v>34</v>
      </c>
      <c r="W2" s="32" t="s">
        <v>34</v>
      </c>
      <c r="X2" s="32" t="s">
        <v>34</v>
      </c>
      <c r="Y2" s="32" t="s">
        <v>34</v>
      </c>
      <c r="Z2" s="32" t="s">
        <v>34</v>
      </c>
      <c r="AA2" s="32" t="s">
        <v>34</v>
      </c>
      <c r="AB2" s="69"/>
      <c r="AC2" s="32" t="s">
        <v>34</v>
      </c>
      <c r="AD2" s="32" t="s">
        <v>34</v>
      </c>
      <c r="AE2" s="32" t="s">
        <v>34</v>
      </c>
      <c r="AF2" s="32" t="s">
        <v>34</v>
      </c>
      <c r="AG2" s="32" t="s">
        <v>34</v>
      </c>
      <c r="AH2" s="32" t="s">
        <v>34</v>
      </c>
      <c r="AI2" s="32" t="s">
        <v>34</v>
      </c>
      <c r="AJ2" s="32" t="s">
        <v>34</v>
      </c>
      <c r="AK2" s="32" t="s">
        <v>34</v>
      </c>
      <c r="AL2" s="32" t="s">
        <v>34</v>
      </c>
      <c r="AM2" s="32" t="s">
        <v>34</v>
      </c>
      <c r="AN2" s="32" t="s">
        <v>34</v>
      </c>
      <c r="AO2" s="32" t="s">
        <v>34</v>
      </c>
      <c r="AP2" s="32" t="s">
        <v>34</v>
      </c>
      <c r="AQ2" s="32" t="s">
        <v>34</v>
      </c>
      <c r="AR2" s="32" t="s">
        <v>34</v>
      </c>
      <c r="AS2" s="32" t="s">
        <v>34</v>
      </c>
      <c r="AT2" s="32" t="s">
        <v>34</v>
      </c>
      <c r="AU2" s="32" t="s">
        <v>34</v>
      </c>
      <c r="AV2" s="32" t="s">
        <v>34</v>
      </c>
      <c r="AW2" s="69"/>
      <c r="AX2" s="8" t="s">
        <v>34</v>
      </c>
      <c r="AY2" s="8" t="s">
        <v>34</v>
      </c>
      <c r="AZ2" s="8" t="s">
        <v>34</v>
      </c>
      <c r="BA2" s="8" t="s">
        <v>34</v>
      </c>
      <c r="BB2" s="8" t="s">
        <v>34</v>
      </c>
      <c r="BC2" s="69"/>
      <c r="BD2" s="8" t="s">
        <v>34</v>
      </c>
      <c r="BE2" s="8" t="s">
        <v>34</v>
      </c>
      <c r="BF2" s="8" t="s">
        <v>34</v>
      </c>
      <c r="BG2" s="8" t="s">
        <v>34</v>
      </c>
      <c r="BH2" s="8" t="s">
        <v>34</v>
      </c>
      <c r="BI2" s="8" t="s">
        <v>34</v>
      </c>
      <c r="BJ2" s="8" t="s">
        <v>34</v>
      </c>
      <c r="BK2" s="8" t="s">
        <v>34</v>
      </c>
      <c r="BL2" s="8" t="s">
        <v>34</v>
      </c>
      <c r="BM2" s="8" t="s">
        <v>34</v>
      </c>
      <c r="BN2" s="8" t="s">
        <v>34</v>
      </c>
      <c r="BO2" s="8" t="s">
        <v>34</v>
      </c>
      <c r="BP2" s="8" t="s">
        <v>34</v>
      </c>
      <c r="BQ2" s="8" t="s">
        <v>34</v>
      </c>
      <c r="BR2" s="8" t="s">
        <v>34</v>
      </c>
      <c r="BS2" s="8" t="s">
        <v>34</v>
      </c>
      <c r="BT2" s="8" t="s">
        <v>34</v>
      </c>
      <c r="BU2" s="8" t="s">
        <v>34</v>
      </c>
      <c r="BV2" s="8" t="s">
        <v>34</v>
      </c>
      <c r="BW2" s="8" t="s">
        <v>34</v>
      </c>
      <c r="BX2" s="8" t="s">
        <v>34</v>
      </c>
      <c r="BY2" s="8" t="s">
        <v>34</v>
      </c>
      <c r="BZ2" s="8" t="s">
        <v>34</v>
      </c>
      <c r="CA2" s="8" t="s">
        <v>34</v>
      </c>
      <c r="CB2" s="8" t="s">
        <v>34</v>
      </c>
      <c r="CC2" s="8" t="s">
        <v>34</v>
      </c>
      <c r="CD2" s="32" t="s">
        <v>34</v>
      </c>
      <c r="CE2" s="8" t="s">
        <v>34</v>
      </c>
      <c r="CF2" s="8" t="s">
        <v>34</v>
      </c>
      <c r="CG2" s="8" t="s">
        <v>34</v>
      </c>
      <c r="CH2" s="8" t="s">
        <v>34</v>
      </c>
      <c r="CI2" s="8" t="s">
        <v>34</v>
      </c>
      <c r="CJ2" s="8" t="s">
        <v>34</v>
      </c>
      <c r="CK2" s="8" t="s">
        <v>34</v>
      </c>
      <c r="CL2" s="8" t="s">
        <v>34</v>
      </c>
      <c r="CM2" s="8" t="s">
        <v>34</v>
      </c>
      <c r="CN2" s="8" t="s">
        <v>34</v>
      </c>
      <c r="CO2" s="8" t="s">
        <v>34</v>
      </c>
      <c r="CP2" s="8" t="s">
        <v>34</v>
      </c>
      <c r="CQ2" s="8" t="s">
        <v>34</v>
      </c>
      <c r="CR2" s="69"/>
      <c r="CS2" s="8" t="s">
        <v>34</v>
      </c>
      <c r="CT2" s="8" t="s">
        <v>34</v>
      </c>
      <c r="CU2" s="8" t="s">
        <v>34</v>
      </c>
      <c r="CV2" s="8" t="s">
        <v>34</v>
      </c>
      <c r="CW2" s="8" t="s">
        <v>34</v>
      </c>
      <c r="CX2" s="8" t="s">
        <v>34</v>
      </c>
      <c r="CY2" s="8" t="s">
        <v>34</v>
      </c>
      <c r="CZ2" s="8" t="s">
        <v>34</v>
      </c>
      <c r="DA2" s="8" t="s">
        <v>34</v>
      </c>
      <c r="DB2" s="8" t="s">
        <v>34</v>
      </c>
      <c r="DC2" s="8" t="s">
        <v>34</v>
      </c>
      <c r="DD2" s="8" t="s">
        <v>34</v>
      </c>
      <c r="DE2" s="8" t="s">
        <v>34</v>
      </c>
      <c r="DF2" s="8" t="s">
        <v>34</v>
      </c>
      <c r="DG2" s="8" t="s">
        <v>34</v>
      </c>
      <c r="DH2" s="8" t="s">
        <v>34</v>
      </c>
      <c r="DI2" s="8" t="s">
        <v>34</v>
      </c>
      <c r="DJ2" s="8" t="s">
        <v>34</v>
      </c>
      <c r="DK2" s="8" t="s">
        <v>34</v>
      </c>
      <c r="DL2" s="8" t="s">
        <v>34</v>
      </c>
      <c r="DM2" s="8" t="s">
        <v>34</v>
      </c>
      <c r="DN2" s="8" t="s">
        <v>34</v>
      </c>
      <c r="DO2" s="8" t="s">
        <v>34</v>
      </c>
      <c r="DP2" s="8" t="s">
        <v>34</v>
      </c>
      <c r="DQ2" s="8" t="s">
        <v>34</v>
      </c>
      <c r="DR2" s="8" t="s">
        <v>34</v>
      </c>
      <c r="DS2" s="32" t="s">
        <v>34</v>
      </c>
      <c r="DT2" s="8" t="s">
        <v>34</v>
      </c>
      <c r="DU2" s="8" t="s">
        <v>34</v>
      </c>
      <c r="DV2" s="8" t="s">
        <v>34</v>
      </c>
      <c r="DW2" s="8" t="s">
        <v>34</v>
      </c>
      <c r="DX2" s="8" t="s">
        <v>34</v>
      </c>
      <c r="DY2" s="8" t="s">
        <v>34</v>
      </c>
      <c r="DZ2" s="8" t="s">
        <v>34</v>
      </c>
      <c r="EA2" s="8" t="s">
        <v>34</v>
      </c>
      <c r="EB2" s="8" t="s">
        <v>34</v>
      </c>
      <c r="EC2" s="69"/>
      <c r="ED2" s="8" t="s">
        <v>34</v>
      </c>
      <c r="EE2" s="8" t="s">
        <v>34</v>
      </c>
      <c r="EF2" s="8" t="s">
        <v>34</v>
      </c>
      <c r="EG2" s="8" t="s">
        <v>34</v>
      </c>
      <c r="EH2" s="8" t="s">
        <v>34</v>
      </c>
      <c r="EI2" s="8" t="s">
        <v>34</v>
      </c>
      <c r="EJ2" s="8" t="s">
        <v>34</v>
      </c>
      <c r="EK2" s="8" t="s">
        <v>34</v>
      </c>
      <c r="EL2" s="8" t="s">
        <v>34</v>
      </c>
      <c r="EM2" s="8" t="s">
        <v>34</v>
      </c>
      <c r="EN2" s="8" t="s">
        <v>34</v>
      </c>
      <c r="EO2" s="69"/>
      <c r="EP2" s="8" t="s">
        <v>34</v>
      </c>
      <c r="EQ2" s="8" t="s">
        <v>34</v>
      </c>
      <c r="ER2" s="8" t="s">
        <v>34</v>
      </c>
      <c r="ES2" s="8" t="s">
        <v>34</v>
      </c>
      <c r="ET2" s="8" t="s">
        <v>34</v>
      </c>
      <c r="EU2" s="8" t="s">
        <v>34</v>
      </c>
      <c r="EV2" s="8" t="s">
        <v>34</v>
      </c>
      <c r="EW2" s="8" t="s">
        <v>34</v>
      </c>
      <c r="EX2" s="8" t="s">
        <v>34</v>
      </c>
      <c r="EY2" s="8" t="s">
        <v>34</v>
      </c>
      <c r="EZ2" s="8" t="s">
        <v>34</v>
      </c>
      <c r="FA2" s="8" t="s">
        <v>34</v>
      </c>
      <c r="FB2" s="8" t="s">
        <v>34</v>
      </c>
      <c r="FC2" s="8" t="s">
        <v>34</v>
      </c>
      <c r="FD2" s="8" t="s">
        <v>34</v>
      </c>
      <c r="FE2" s="8" t="s">
        <v>34</v>
      </c>
      <c r="FF2" s="8" t="s">
        <v>34</v>
      </c>
      <c r="FG2" s="69"/>
      <c r="FH2" s="8" t="s">
        <v>34</v>
      </c>
      <c r="FI2" s="8" t="s">
        <v>34</v>
      </c>
      <c r="FJ2" s="8" t="s">
        <v>34</v>
      </c>
      <c r="FK2" s="8" t="s">
        <v>34</v>
      </c>
      <c r="FL2" s="8" t="s">
        <v>34</v>
      </c>
      <c r="FM2" s="8" t="s">
        <v>34</v>
      </c>
      <c r="FN2" s="8" t="s">
        <v>34</v>
      </c>
      <c r="FO2" s="8" t="s">
        <v>34</v>
      </c>
      <c r="FP2" s="8" t="s">
        <v>34</v>
      </c>
      <c r="FQ2" s="8" t="s">
        <v>34</v>
      </c>
      <c r="FR2" s="8" t="s">
        <v>34</v>
      </c>
      <c r="FS2" s="8" t="s">
        <v>34</v>
      </c>
      <c r="FT2" s="8" t="s">
        <v>34</v>
      </c>
      <c r="FU2" s="8" t="s">
        <v>34</v>
      </c>
      <c r="FV2" s="8" t="s">
        <v>34</v>
      </c>
      <c r="FW2" s="8" t="s">
        <v>34</v>
      </c>
      <c r="FX2" s="8" t="s">
        <v>34</v>
      </c>
      <c r="FY2" s="8" t="s">
        <v>34</v>
      </c>
      <c r="FZ2" s="8" t="s">
        <v>34</v>
      </c>
      <c r="GA2" s="8" t="s">
        <v>34</v>
      </c>
      <c r="GB2" s="69"/>
      <c r="GC2" s="8" t="s">
        <v>34</v>
      </c>
      <c r="GD2" s="8" t="s">
        <v>34</v>
      </c>
      <c r="GE2" s="8" t="s">
        <v>34</v>
      </c>
      <c r="GF2" s="8" t="s">
        <v>34</v>
      </c>
      <c r="GG2" s="8" t="s">
        <v>34</v>
      </c>
      <c r="GH2" s="69"/>
      <c r="GI2" s="8" t="s">
        <v>34</v>
      </c>
      <c r="GJ2" s="8" t="s">
        <v>34</v>
      </c>
      <c r="GK2" s="8" t="s">
        <v>34</v>
      </c>
      <c r="GL2" s="8" t="s">
        <v>34</v>
      </c>
      <c r="GM2" s="8" t="s">
        <v>34</v>
      </c>
      <c r="GN2" s="8" t="s">
        <v>34</v>
      </c>
      <c r="GO2" s="8" t="s">
        <v>34</v>
      </c>
      <c r="GP2" s="8" t="s">
        <v>34</v>
      </c>
      <c r="GQ2" s="8" t="s">
        <v>34</v>
      </c>
      <c r="GR2" s="8" t="s">
        <v>34</v>
      </c>
      <c r="GS2" s="8" t="s">
        <v>34</v>
      </c>
      <c r="GT2" s="8" t="s">
        <v>34</v>
      </c>
      <c r="GU2" s="8" t="s">
        <v>34</v>
      </c>
      <c r="GV2" s="8" t="s">
        <v>34</v>
      </c>
      <c r="GW2" s="8" t="s">
        <v>34</v>
      </c>
      <c r="GX2" s="8" t="s">
        <v>34</v>
      </c>
      <c r="GY2" s="8" t="s">
        <v>34</v>
      </c>
      <c r="GZ2" s="8" t="s">
        <v>34</v>
      </c>
      <c r="HA2" s="8" t="s">
        <v>34</v>
      </c>
      <c r="HB2" s="8" t="s">
        <v>34</v>
      </c>
      <c r="HC2" s="8" t="s">
        <v>34</v>
      </c>
      <c r="HD2" s="8" t="s">
        <v>34</v>
      </c>
      <c r="HE2" s="8" t="s">
        <v>34</v>
      </c>
      <c r="HF2" s="8" t="s">
        <v>34</v>
      </c>
      <c r="HG2" s="8" t="s">
        <v>34</v>
      </c>
      <c r="HH2" s="8" t="s">
        <v>34</v>
      </c>
      <c r="HI2" s="32" t="s">
        <v>34</v>
      </c>
      <c r="HJ2" s="8" t="s">
        <v>34</v>
      </c>
      <c r="HK2" s="8" t="s">
        <v>34</v>
      </c>
      <c r="HL2" s="8" t="s">
        <v>34</v>
      </c>
      <c r="HM2" s="8" t="s">
        <v>34</v>
      </c>
      <c r="HN2" s="8" t="s">
        <v>34</v>
      </c>
      <c r="HO2" s="8" t="s">
        <v>34</v>
      </c>
      <c r="HP2" s="8" t="s">
        <v>34</v>
      </c>
      <c r="HQ2" s="8" t="s">
        <v>34</v>
      </c>
      <c r="HR2" s="32" t="s">
        <v>34</v>
      </c>
      <c r="HS2" s="8" t="s">
        <v>34</v>
      </c>
      <c r="HT2" s="8" t="s">
        <v>34</v>
      </c>
      <c r="HU2" s="8" t="s">
        <v>34</v>
      </c>
      <c r="HV2" s="8" t="s">
        <v>34</v>
      </c>
      <c r="HW2" s="8" t="s">
        <v>34</v>
      </c>
      <c r="HX2" s="69"/>
      <c r="HY2" s="8" t="s">
        <v>34</v>
      </c>
      <c r="HZ2" s="8" t="s">
        <v>34</v>
      </c>
      <c r="IA2" s="8" t="s">
        <v>34</v>
      </c>
      <c r="IB2" s="8" t="s">
        <v>34</v>
      </c>
      <c r="IC2" s="8" t="s">
        <v>34</v>
      </c>
      <c r="ID2" s="8" t="s">
        <v>34</v>
      </c>
      <c r="IE2" s="8" t="s">
        <v>34</v>
      </c>
      <c r="IF2" s="8" t="s">
        <v>34</v>
      </c>
      <c r="IG2" s="8" t="s">
        <v>34</v>
      </c>
      <c r="IH2" s="8" t="s">
        <v>34</v>
      </c>
      <c r="II2" s="8" t="s">
        <v>34</v>
      </c>
      <c r="IJ2" s="8" t="s">
        <v>34</v>
      </c>
      <c r="IK2" s="8" t="s">
        <v>34</v>
      </c>
      <c r="IL2" s="8" t="s">
        <v>34</v>
      </c>
      <c r="IM2" s="8" t="s">
        <v>34</v>
      </c>
      <c r="IN2" s="8" t="s">
        <v>34</v>
      </c>
      <c r="IO2" s="8" t="s">
        <v>34</v>
      </c>
      <c r="IP2" s="8" t="s">
        <v>34</v>
      </c>
      <c r="IQ2" s="8" t="s">
        <v>34</v>
      </c>
      <c r="IR2" s="8" t="s">
        <v>34</v>
      </c>
      <c r="IS2" s="8" t="s">
        <v>34</v>
      </c>
      <c r="IT2" s="8" t="s">
        <v>34</v>
      </c>
      <c r="IU2" s="8" t="s">
        <v>34</v>
      </c>
      <c r="IV2" s="8" t="s">
        <v>34</v>
      </c>
      <c r="IW2" s="8" t="s">
        <v>34</v>
      </c>
      <c r="IX2" s="8" t="s">
        <v>34</v>
      </c>
      <c r="IY2" s="32" t="s">
        <v>34</v>
      </c>
      <c r="IZ2" s="8" t="s">
        <v>34</v>
      </c>
      <c r="JA2" s="8" t="s">
        <v>34</v>
      </c>
      <c r="JB2" s="8" t="s">
        <v>34</v>
      </c>
      <c r="JC2" s="8" t="s">
        <v>34</v>
      </c>
      <c r="JD2" s="8" t="s">
        <v>34</v>
      </c>
      <c r="JE2" s="8" t="s">
        <v>34</v>
      </c>
      <c r="JF2" s="8" t="s">
        <v>34</v>
      </c>
      <c r="JG2" s="8" t="s">
        <v>34</v>
      </c>
      <c r="JH2" s="8" t="s">
        <v>34</v>
      </c>
      <c r="JI2" s="69"/>
      <c r="JJ2" s="8" t="s">
        <v>34</v>
      </c>
      <c r="JK2" s="8" t="s">
        <v>34</v>
      </c>
      <c r="JL2" s="8" t="s">
        <v>34</v>
      </c>
      <c r="JM2" s="8" t="s">
        <v>34</v>
      </c>
      <c r="JN2" s="8" t="s">
        <v>34</v>
      </c>
      <c r="JO2" s="8" t="s">
        <v>34</v>
      </c>
      <c r="JP2" s="8" t="s">
        <v>34</v>
      </c>
      <c r="JQ2" s="8" t="s">
        <v>34</v>
      </c>
      <c r="JR2" s="8" t="s">
        <v>34</v>
      </c>
      <c r="JS2" s="8" t="s">
        <v>34</v>
      </c>
      <c r="JT2" s="8" t="s">
        <v>34</v>
      </c>
      <c r="JU2" s="69"/>
      <c r="JV2" s="8" t="s">
        <v>34</v>
      </c>
      <c r="JW2" s="8" t="s">
        <v>34</v>
      </c>
      <c r="JX2" s="8" t="s">
        <v>34</v>
      </c>
      <c r="JY2" s="8" t="s">
        <v>34</v>
      </c>
      <c r="JZ2" s="8" t="s">
        <v>34</v>
      </c>
      <c r="KA2" s="8" t="s">
        <v>34</v>
      </c>
      <c r="KB2" s="8" t="s">
        <v>34</v>
      </c>
      <c r="KC2" s="8" t="s">
        <v>34</v>
      </c>
      <c r="KD2" s="8" t="s">
        <v>34</v>
      </c>
      <c r="KE2" s="8" t="s">
        <v>34</v>
      </c>
      <c r="KF2" s="8" t="s">
        <v>34</v>
      </c>
      <c r="KG2" s="8" t="s">
        <v>34</v>
      </c>
      <c r="KH2" s="8" t="s">
        <v>34</v>
      </c>
      <c r="KI2" s="8" t="s">
        <v>34</v>
      </c>
      <c r="KJ2" s="8" t="s">
        <v>34</v>
      </c>
      <c r="KK2" s="8" t="s">
        <v>34</v>
      </c>
      <c r="KL2" s="8" t="s">
        <v>34</v>
      </c>
      <c r="KM2" s="69"/>
      <c r="KN2" s="8" t="s">
        <v>34</v>
      </c>
      <c r="KO2" s="8" t="s">
        <v>34</v>
      </c>
      <c r="KP2" s="8" t="s">
        <v>34</v>
      </c>
      <c r="KQ2" s="8" t="s">
        <v>34</v>
      </c>
      <c r="KR2" s="8" t="s">
        <v>34</v>
      </c>
      <c r="KS2" s="8" t="s">
        <v>34</v>
      </c>
      <c r="KT2" s="8" t="s">
        <v>34</v>
      </c>
      <c r="KU2" s="8" t="s">
        <v>34</v>
      </c>
      <c r="KV2" s="8" t="s">
        <v>34</v>
      </c>
      <c r="KW2" s="8" t="s">
        <v>34</v>
      </c>
      <c r="KX2" s="8" t="s">
        <v>34</v>
      </c>
      <c r="KY2" s="8" t="s">
        <v>34</v>
      </c>
      <c r="KZ2" s="8" t="s">
        <v>34</v>
      </c>
      <c r="LA2" s="8" t="s">
        <v>34</v>
      </c>
      <c r="LB2" s="8" t="s">
        <v>34</v>
      </c>
      <c r="LC2" s="8" t="s">
        <v>34</v>
      </c>
      <c r="LD2" s="8" t="s">
        <v>34</v>
      </c>
      <c r="LE2" s="8" t="s">
        <v>34</v>
      </c>
      <c r="LF2" s="8" t="s">
        <v>34</v>
      </c>
      <c r="LG2" s="8" t="s">
        <v>34</v>
      </c>
      <c r="LH2" s="69"/>
      <c r="LI2" s="8" t="s">
        <v>34</v>
      </c>
      <c r="LJ2" s="8" t="s">
        <v>34</v>
      </c>
      <c r="LK2" s="8" t="s">
        <v>34</v>
      </c>
      <c r="LL2" s="8" t="s">
        <v>34</v>
      </c>
      <c r="LM2" s="8" t="s">
        <v>34</v>
      </c>
      <c r="LN2" s="69"/>
      <c r="LO2" s="8" t="s">
        <v>34</v>
      </c>
      <c r="LP2" s="8" t="s">
        <v>34</v>
      </c>
      <c r="LQ2" s="8" t="s">
        <v>34</v>
      </c>
      <c r="LR2" s="8" t="s">
        <v>34</v>
      </c>
      <c r="LS2" s="8" t="s">
        <v>34</v>
      </c>
      <c r="LT2" s="8" t="s">
        <v>34</v>
      </c>
      <c r="LU2" s="8" t="s">
        <v>34</v>
      </c>
      <c r="LV2" s="8" t="s">
        <v>34</v>
      </c>
      <c r="LW2" s="8" t="s">
        <v>34</v>
      </c>
      <c r="LX2" s="8" t="s">
        <v>34</v>
      </c>
      <c r="LY2" s="8" t="s">
        <v>34</v>
      </c>
      <c r="LZ2" s="8" t="s">
        <v>34</v>
      </c>
      <c r="MA2" s="8" t="s">
        <v>34</v>
      </c>
      <c r="MB2" s="8" t="s">
        <v>34</v>
      </c>
      <c r="MC2" s="8" t="s">
        <v>34</v>
      </c>
      <c r="MD2" s="8" t="s">
        <v>34</v>
      </c>
      <c r="ME2" s="8" t="s">
        <v>34</v>
      </c>
      <c r="MF2" s="8" t="s">
        <v>34</v>
      </c>
      <c r="MG2" s="8" t="s">
        <v>34</v>
      </c>
      <c r="MH2" s="8" t="s">
        <v>34</v>
      </c>
      <c r="MI2" s="8" t="s">
        <v>34</v>
      </c>
      <c r="MJ2" s="8" t="s">
        <v>34</v>
      </c>
      <c r="MK2" s="8" t="s">
        <v>34</v>
      </c>
      <c r="ML2" s="8" t="s">
        <v>34</v>
      </c>
      <c r="MM2" s="8" t="s">
        <v>34</v>
      </c>
      <c r="MN2" s="8" t="s">
        <v>34</v>
      </c>
      <c r="MO2" s="32" t="s">
        <v>34</v>
      </c>
      <c r="MP2" s="8" t="s">
        <v>34</v>
      </c>
      <c r="MQ2" s="8" t="s">
        <v>34</v>
      </c>
      <c r="MR2" s="8" t="s">
        <v>34</v>
      </c>
      <c r="MS2" s="8" t="s">
        <v>34</v>
      </c>
      <c r="MT2" s="8" t="s">
        <v>34</v>
      </c>
      <c r="MU2" s="8" t="s">
        <v>34</v>
      </c>
      <c r="MV2" s="8" t="s">
        <v>34</v>
      </c>
      <c r="MW2" s="8" t="s">
        <v>34</v>
      </c>
      <c r="MX2" s="8" t="s">
        <v>34</v>
      </c>
      <c r="MY2" s="8" t="s">
        <v>34</v>
      </c>
      <c r="MZ2" s="8" t="s">
        <v>34</v>
      </c>
      <c r="NA2" s="8" t="s">
        <v>34</v>
      </c>
      <c r="NB2" s="8" t="s">
        <v>34</v>
      </c>
      <c r="NC2" s="69"/>
      <c r="ND2" s="8" t="s">
        <v>34</v>
      </c>
      <c r="NE2" s="8" t="s">
        <v>34</v>
      </c>
      <c r="NF2" s="8" t="s">
        <v>34</v>
      </c>
      <c r="NG2" s="8" t="s">
        <v>34</v>
      </c>
      <c r="NH2" s="8" t="s">
        <v>34</v>
      </c>
      <c r="NI2" s="8" t="s">
        <v>34</v>
      </c>
      <c r="NJ2" s="8" t="s">
        <v>34</v>
      </c>
      <c r="NK2" s="8" t="s">
        <v>34</v>
      </c>
      <c r="NL2" s="8" t="s">
        <v>34</v>
      </c>
      <c r="NM2" s="8" t="s">
        <v>34</v>
      </c>
      <c r="NN2" s="8" t="s">
        <v>34</v>
      </c>
      <c r="NO2" s="8" t="s">
        <v>34</v>
      </c>
      <c r="NP2" s="8" t="s">
        <v>34</v>
      </c>
      <c r="NQ2" s="8" t="s">
        <v>34</v>
      </c>
      <c r="NR2" s="8" t="s">
        <v>34</v>
      </c>
      <c r="NS2" s="8" t="s">
        <v>34</v>
      </c>
      <c r="NT2" s="8" t="s">
        <v>34</v>
      </c>
      <c r="NU2" s="8" t="s">
        <v>34</v>
      </c>
      <c r="NV2" s="8" t="s">
        <v>34</v>
      </c>
      <c r="NW2" s="8" t="s">
        <v>34</v>
      </c>
      <c r="NX2" s="8" t="s">
        <v>34</v>
      </c>
      <c r="NY2" s="8" t="s">
        <v>34</v>
      </c>
      <c r="NZ2" s="8" t="s">
        <v>34</v>
      </c>
      <c r="OA2" s="8" t="s">
        <v>34</v>
      </c>
      <c r="OB2" s="8" t="s">
        <v>34</v>
      </c>
      <c r="OC2" s="8" t="s">
        <v>34</v>
      </c>
      <c r="OD2" s="32" t="s">
        <v>34</v>
      </c>
      <c r="OE2" s="8" t="s">
        <v>34</v>
      </c>
      <c r="OF2" s="8" t="s">
        <v>34</v>
      </c>
      <c r="OG2" s="8" t="s">
        <v>34</v>
      </c>
      <c r="OH2" s="8" t="s">
        <v>34</v>
      </c>
      <c r="OI2" s="8" t="s">
        <v>34</v>
      </c>
      <c r="OJ2" s="8" t="s">
        <v>34</v>
      </c>
      <c r="OK2" s="8" t="s">
        <v>34</v>
      </c>
      <c r="OL2" s="8" t="s">
        <v>34</v>
      </c>
      <c r="OM2" s="8" t="s">
        <v>34</v>
      </c>
      <c r="ON2" s="69"/>
      <c r="OO2" s="8" t="s">
        <v>34</v>
      </c>
      <c r="OP2" s="8" t="s">
        <v>34</v>
      </c>
      <c r="OQ2" s="8" t="s">
        <v>34</v>
      </c>
      <c r="OR2" s="8" t="s">
        <v>34</v>
      </c>
      <c r="OS2" s="8" t="s">
        <v>34</v>
      </c>
      <c r="OT2" s="8" t="s">
        <v>34</v>
      </c>
      <c r="OU2" s="8" t="s">
        <v>34</v>
      </c>
      <c r="OV2" s="8" t="s">
        <v>34</v>
      </c>
      <c r="OW2" s="8" t="s">
        <v>34</v>
      </c>
      <c r="OX2" s="8" t="s">
        <v>34</v>
      </c>
      <c r="OY2" s="8" t="s">
        <v>34</v>
      </c>
    </row>
    <row r="3" spans="1:415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9"/>
      <c r="K3" s="32" t="s">
        <v>34</v>
      </c>
      <c r="L3" s="32" t="s">
        <v>34</v>
      </c>
      <c r="M3" s="32" t="s">
        <v>34</v>
      </c>
      <c r="N3" s="32" t="s">
        <v>34</v>
      </c>
      <c r="O3" s="32" t="s">
        <v>34</v>
      </c>
      <c r="P3" s="32" t="s">
        <v>34</v>
      </c>
      <c r="Q3" s="32" t="s">
        <v>34</v>
      </c>
      <c r="R3" s="32" t="s">
        <v>34</v>
      </c>
      <c r="S3" s="32" t="s">
        <v>34</v>
      </c>
      <c r="T3" s="32" t="s">
        <v>34</v>
      </c>
      <c r="U3" s="32" t="s">
        <v>34</v>
      </c>
      <c r="V3" s="32" t="s">
        <v>34</v>
      </c>
      <c r="W3" s="32" t="s">
        <v>34</v>
      </c>
      <c r="X3" s="32" t="s">
        <v>34</v>
      </c>
      <c r="Y3" s="32" t="s">
        <v>34</v>
      </c>
      <c r="Z3" s="32" t="s">
        <v>34</v>
      </c>
      <c r="AA3" s="32" t="s">
        <v>34</v>
      </c>
      <c r="AB3" s="69"/>
      <c r="AC3" s="32" t="s">
        <v>34</v>
      </c>
      <c r="AD3" s="32" t="s">
        <v>34</v>
      </c>
      <c r="AE3" s="32" t="s">
        <v>34</v>
      </c>
      <c r="AF3" s="32" t="s">
        <v>34</v>
      </c>
      <c r="AG3" s="32" t="s">
        <v>34</v>
      </c>
      <c r="AH3" s="32" t="s">
        <v>34</v>
      </c>
      <c r="AI3" s="32" t="s">
        <v>34</v>
      </c>
      <c r="AJ3" s="32" t="s">
        <v>34</v>
      </c>
      <c r="AK3" s="32" t="s">
        <v>34</v>
      </c>
      <c r="AL3" s="32" t="s">
        <v>34</v>
      </c>
      <c r="AM3" s="32" t="s">
        <v>34</v>
      </c>
      <c r="AN3" s="32" t="s">
        <v>34</v>
      </c>
      <c r="AO3" s="32" t="s">
        <v>34</v>
      </c>
      <c r="AP3" s="32" t="s">
        <v>34</v>
      </c>
      <c r="AQ3" s="32" t="s">
        <v>34</v>
      </c>
      <c r="AR3" s="32" t="s">
        <v>34</v>
      </c>
      <c r="AS3" s="32" t="s">
        <v>34</v>
      </c>
      <c r="AT3" s="32" t="s">
        <v>34</v>
      </c>
      <c r="AU3" s="32" t="s">
        <v>34</v>
      </c>
      <c r="AV3" s="32" t="s">
        <v>34</v>
      </c>
      <c r="AW3" s="69"/>
      <c r="AX3" s="32" t="s">
        <v>34</v>
      </c>
      <c r="AY3" s="32" t="s">
        <v>34</v>
      </c>
      <c r="AZ3" s="32" t="s">
        <v>34</v>
      </c>
      <c r="BA3" s="32" t="s">
        <v>34</v>
      </c>
      <c r="BB3" s="32" t="s">
        <v>34</v>
      </c>
      <c r="BC3" s="69"/>
      <c r="BD3" s="32" t="s">
        <v>34</v>
      </c>
      <c r="BE3" s="32" t="s">
        <v>34</v>
      </c>
      <c r="BF3" s="32" t="s">
        <v>34</v>
      </c>
      <c r="BG3" s="32" t="s">
        <v>34</v>
      </c>
      <c r="BH3" s="32" t="s">
        <v>34</v>
      </c>
      <c r="BI3" s="32" t="s">
        <v>34</v>
      </c>
      <c r="BJ3" s="32" t="s">
        <v>34</v>
      </c>
      <c r="BK3" s="32" t="s">
        <v>34</v>
      </c>
      <c r="BL3" s="32" t="s">
        <v>34</v>
      </c>
      <c r="BM3" s="32" t="s">
        <v>34</v>
      </c>
      <c r="BN3" s="32" t="s">
        <v>34</v>
      </c>
      <c r="BO3" s="32" t="s">
        <v>34</v>
      </c>
      <c r="BP3" s="32" t="s">
        <v>34</v>
      </c>
      <c r="BQ3" s="32" t="s">
        <v>34</v>
      </c>
      <c r="BR3" s="32" t="s">
        <v>34</v>
      </c>
      <c r="BS3" s="32" t="s">
        <v>34</v>
      </c>
      <c r="BT3" s="32" t="s">
        <v>34</v>
      </c>
      <c r="BU3" s="32" t="s">
        <v>34</v>
      </c>
      <c r="BV3" s="8" t="s">
        <v>34</v>
      </c>
      <c r="BW3" s="32" t="s">
        <v>34</v>
      </c>
      <c r="BX3" s="32" t="s">
        <v>34</v>
      </c>
      <c r="BY3" s="32" t="s">
        <v>34</v>
      </c>
      <c r="BZ3" s="32" t="s">
        <v>34</v>
      </c>
      <c r="CA3" s="32" t="s">
        <v>34</v>
      </c>
      <c r="CB3" s="32" t="s">
        <v>34</v>
      </c>
      <c r="CC3" s="32" t="s">
        <v>34</v>
      </c>
      <c r="CD3" s="32" t="s">
        <v>34</v>
      </c>
      <c r="CE3" s="32" t="s">
        <v>34</v>
      </c>
      <c r="CF3" s="32" t="s">
        <v>34</v>
      </c>
      <c r="CG3" s="32" t="s">
        <v>34</v>
      </c>
      <c r="CH3" s="32" t="s">
        <v>34</v>
      </c>
      <c r="CI3" s="32" t="s">
        <v>34</v>
      </c>
      <c r="CJ3" s="32" t="s">
        <v>34</v>
      </c>
      <c r="CK3" s="32" t="s">
        <v>34</v>
      </c>
      <c r="CL3" s="32" t="s">
        <v>34</v>
      </c>
      <c r="CM3" s="32" t="s">
        <v>34</v>
      </c>
      <c r="CN3" s="32" t="s">
        <v>34</v>
      </c>
      <c r="CO3" s="32" t="s">
        <v>34</v>
      </c>
      <c r="CP3" s="32" t="s">
        <v>34</v>
      </c>
      <c r="CQ3" s="17" t="s">
        <v>34</v>
      </c>
      <c r="CR3" s="69"/>
      <c r="CS3" s="32" t="s">
        <v>34</v>
      </c>
      <c r="CT3" s="32" t="s">
        <v>34</v>
      </c>
      <c r="CU3" s="32" t="s">
        <v>34</v>
      </c>
      <c r="CV3" s="32" t="s">
        <v>34</v>
      </c>
      <c r="CW3" s="32" t="s">
        <v>34</v>
      </c>
      <c r="CX3" s="32" t="s">
        <v>34</v>
      </c>
      <c r="CY3" s="32" t="s">
        <v>34</v>
      </c>
      <c r="CZ3" s="32" t="s">
        <v>34</v>
      </c>
      <c r="DA3" s="32" t="s">
        <v>34</v>
      </c>
      <c r="DB3" s="32" t="s">
        <v>34</v>
      </c>
      <c r="DC3" s="32" t="s">
        <v>34</v>
      </c>
      <c r="DD3" s="32" t="s">
        <v>34</v>
      </c>
      <c r="DE3" s="32" t="s">
        <v>34</v>
      </c>
      <c r="DF3" s="32" t="s">
        <v>34</v>
      </c>
      <c r="DG3" s="32" t="s">
        <v>34</v>
      </c>
      <c r="DH3" s="32" t="s">
        <v>34</v>
      </c>
      <c r="DI3" s="32" t="s">
        <v>34</v>
      </c>
      <c r="DJ3" s="32" t="s">
        <v>34</v>
      </c>
      <c r="DK3" s="8" t="s">
        <v>34</v>
      </c>
      <c r="DL3" s="32" t="s">
        <v>34</v>
      </c>
      <c r="DM3" s="32" t="s">
        <v>34</v>
      </c>
      <c r="DN3" s="32" t="s">
        <v>34</v>
      </c>
      <c r="DO3" s="32" t="s">
        <v>34</v>
      </c>
      <c r="DP3" s="32" t="s">
        <v>34</v>
      </c>
      <c r="DQ3" s="32" t="s">
        <v>34</v>
      </c>
      <c r="DR3" s="32" t="s">
        <v>34</v>
      </c>
      <c r="DS3" s="32" t="s">
        <v>34</v>
      </c>
      <c r="DT3" s="32" t="s">
        <v>34</v>
      </c>
      <c r="DU3" s="32" t="s">
        <v>34</v>
      </c>
      <c r="DV3" s="32" t="s">
        <v>34</v>
      </c>
      <c r="DW3" s="32" t="s">
        <v>34</v>
      </c>
      <c r="DX3" s="32" t="s">
        <v>34</v>
      </c>
      <c r="DY3" s="32" t="s">
        <v>34</v>
      </c>
      <c r="DZ3" s="32" t="s">
        <v>34</v>
      </c>
      <c r="EA3" s="32" t="s">
        <v>34</v>
      </c>
      <c r="EB3" s="32" t="s">
        <v>34</v>
      </c>
      <c r="EC3" s="69"/>
      <c r="ED3" s="32" t="s">
        <v>34</v>
      </c>
      <c r="EE3" s="32" t="s">
        <v>34</v>
      </c>
      <c r="EF3" s="32" t="s">
        <v>34</v>
      </c>
      <c r="EG3" s="32" t="s">
        <v>34</v>
      </c>
      <c r="EH3" s="32" t="s">
        <v>34</v>
      </c>
      <c r="EI3" s="32" t="s">
        <v>34</v>
      </c>
      <c r="EJ3" s="32" t="s">
        <v>34</v>
      </c>
      <c r="EK3" s="32" t="s">
        <v>34</v>
      </c>
      <c r="EL3" s="32" t="s">
        <v>34</v>
      </c>
      <c r="EM3" s="32" t="s">
        <v>34</v>
      </c>
      <c r="EN3" s="32" t="s">
        <v>34</v>
      </c>
      <c r="EO3" s="69"/>
      <c r="EP3" s="32" t="s">
        <v>34</v>
      </c>
      <c r="EQ3" s="32" t="s">
        <v>34</v>
      </c>
      <c r="ER3" s="32" t="s">
        <v>34</v>
      </c>
      <c r="ES3" s="32" t="s">
        <v>34</v>
      </c>
      <c r="ET3" s="32" t="s">
        <v>34</v>
      </c>
      <c r="EU3" s="32" t="s">
        <v>34</v>
      </c>
      <c r="EV3" s="32" t="s">
        <v>34</v>
      </c>
      <c r="EW3" s="32" t="s">
        <v>34</v>
      </c>
      <c r="EX3" s="32" t="s">
        <v>34</v>
      </c>
      <c r="EY3" s="32" t="s">
        <v>34</v>
      </c>
      <c r="EZ3" s="32" t="s">
        <v>34</v>
      </c>
      <c r="FA3" s="32" t="s">
        <v>34</v>
      </c>
      <c r="FB3" s="32" t="s">
        <v>34</v>
      </c>
      <c r="FC3" s="32" t="s">
        <v>34</v>
      </c>
      <c r="FD3" s="32" t="s">
        <v>34</v>
      </c>
      <c r="FE3" s="32" t="s">
        <v>34</v>
      </c>
      <c r="FF3" s="32" t="s">
        <v>34</v>
      </c>
      <c r="FG3" s="69"/>
      <c r="FH3" s="32" t="s">
        <v>34</v>
      </c>
      <c r="FI3" s="32" t="s">
        <v>34</v>
      </c>
      <c r="FJ3" s="32" t="s">
        <v>34</v>
      </c>
      <c r="FK3" s="32" t="s">
        <v>34</v>
      </c>
      <c r="FL3" s="32" t="s">
        <v>34</v>
      </c>
      <c r="FM3" s="32" t="s">
        <v>34</v>
      </c>
      <c r="FN3" s="32" t="s">
        <v>34</v>
      </c>
      <c r="FO3" s="32" t="s">
        <v>34</v>
      </c>
      <c r="FP3" s="32" t="s">
        <v>34</v>
      </c>
      <c r="FQ3" s="32" t="s">
        <v>34</v>
      </c>
      <c r="FR3" s="32" t="s">
        <v>34</v>
      </c>
      <c r="FS3" s="32" t="s">
        <v>34</v>
      </c>
      <c r="FT3" s="32" t="s">
        <v>34</v>
      </c>
      <c r="FU3" s="32" t="s">
        <v>34</v>
      </c>
      <c r="FV3" s="32" t="s">
        <v>34</v>
      </c>
      <c r="FW3" s="32" t="s">
        <v>34</v>
      </c>
      <c r="FX3" s="32" t="s">
        <v>34</v>
      </c>
      <c r="FY3" s="32" t="s">
        <v>34</v>
      </c>
      <c r="FZ3" s="32" t="s">
        <v>34</v>
      </c>
      <c r="GA3" s="32" t="s">
        <v>34</v>
      </c>
      <c r="GB3" s="69"/>
      <c r="GC3" s="32" t="s">
        <v>34</v>
      </c>
      <c r="GD3" s="32" t="s">
        <v>34</v>
      </c>
      <c r="GE3" s="32" t="s">
        <v>34</v>
      </c>
      <c r="GF3" s="32" t="s">
        <v>34</v>
      </c>
      <c r="GG3" s="32" t="s">
        <v>34</v>
      </c>
      <c r="GH3" s="69"/>
      <c r="GI3" s="32" t="s">
        <v>34</v>
      </c>
      <c r="GJ3" s="32" t="s">
        <v>34</v>
      </c>
      <c r="GK3" s="32" t="s">
        <v>34</v>
      </c>
      <c r="GL3" s="32" t="s">
        <v>34</v>
      </c>
      <c r="GM3" s="32" t="s">
        <v>34</v>
      </c>
      <c r="GN3" s="32" t="s">
        <v>34</v>
      </c>
      <c r="GO3" s="32" t="s">
        <v>34</v>
      </c>
      <c r="GP3" s="32" t="s">
        <v>34</v>
      </c>
      <c r="GQ3" s="32" t="s">
        <v>34</v>
      </c>
      <c r="GR3" s="32" t="s">
        <v>34</v>
      </c>
      <c r="GS3" s="32" t="s">
        <v>34</v>
      </c>
      <c r="GT3" s="32" t="s">
        <v>34</v>
      </c>
      <c r="GU3" s="32" t="s">
        <v>34</v>
      </c>
      <c r="GV3" s="32" t="s">
        <v>34</v>
      </c>
      <c r="GW3" s="32" t="s">
        <v>34</v>
      </c>
      <c r="GX3" s="32" t="s">
        <v>34</v>
      </c>
      <c r="GY3" s="32" t="s">
        <v>34</v>
      </c>
      <c r="GZ3" s="32" t="s">
        <v>34</v>
      </c>
      <c r="HA3" s="8" t="s">
        <v>34</v>
      </c>
      <c r="HB3" s="32" t="s">
        <v>34</v>
      </c>
      <c r="HC3" s="32" t="s">
        <v>34</v>
      </c>
      <c r="HD3" s="32" t="s">
        <v>34</v>
      </c>
      <c r="HE3" s="32" t="s">
        <v>34</v>
      </c>
      <c r="HF3" s="32" t="s">
        <v>34</v>
      </c>
      <c r="HG3" s="32" t="s">
        <v>34</v>
      </c>
      <c r="HH3" s="32" t="s">
        <v>34</v>
      </c>
      <c r="HI3" s="32" t="s">
        <v>34</v>
      </c>
      <c r="HJ3" s="32" t="s">
        <v>34</v>
      </c>
      <c r="HK3" s="32" t="s">
        <v>34</v>
      </c>
      <c r="HL3" s="32" t="s">
        <v>34</v>
      </c>
      <c r="HM3" s="32" t="s">
        <v>34</v>
      </c>
      <c r="HN3" s="32" t="s">
        <v>34</v>
      </c>
      <c r="HO3" s="32" t="s">
        <v>34</v>
      </c>
      <c r="HP3" s="32" t="s">
        <v>34</v>
      </c>
      <c r="HQ3" s="32" t="s">
        <v>34</v>
      </c>
      <c r="HR3" s="32" t="s">
        <v>34</v>
      </c>
      <c r="HS3" s="32" t="s">
        <v>34</v>
      </c>
      <c r="HT3" s="32" t="s">
        <v>34</v>
      </c>
      <c r="HU3" s="32" t="s">
        <v>34</v>
      </c>
      <c r="HV3" s="32" t="s">
        <v>34</v>
      </c>
      <c r="HW3" s="17" t="s">
        <v>34</v>
      </c>
      <c r="HX3" s="69"/>
      <c r="HY3" s="32" t="s">
        <v>34</v>
      </c>
      <c r="HZ3" s="32" t="s">
        <v>34</v>
      </c>
      <c r="IA3" s="32" t="s">
        <v>34</v>
      </c>
      <c r="IB3" s="32" t="s">
        <v>34</v>
      </c>
      <c r="IC3" s="32" t="s">
        <v>34</v>
      </c>
      <c r="ID3" s="32" t="s">
        <v>34</v>
      </c>
      <c r="IE3" s="32" t="s">
        <v>34</v>
      </c>
      <c r="IF3" s="32" t="s">
        <v>34</v>
      </c>
      <c r="IG3" s="32" t="s">
        <v>34</v>
      </c>
      <c r="IH3" s="32" t="s">
        <v>34</v>
      </c>
      <c r="II3" s="32" t="s">
        <v>34</v>
      </c>
      <c r="IJ3" s="32" t="s">
        <v>34</v>
      </c>
      <c r="IK3" s="32" t="s">
        <v>34</v>
      </c>
      <c r="IL3" s="32" t="s">
        <v>34</v>
      </c>
      <c r="IM3" s="32" t="s">
        <v>34</v>
      </c>
      <c r="IN3" s="32" t="s">
        <v>34</v>
      </c>
      <c r="IO3" s="32" t="s">
        <v>34</v>
      </c>
      <c r="IP3" s="32" t="s">
        <v>34</v>
      </c>
      <c r="IQ3" s="8" t="s">
        <v>34</v>
      </c>
      <c r="IR3" s="32" t="s">
        <v>34</v>
      </c>
      <c r="IS3" s="32" t="s">
        <v>34</v>
      </c>
      <c r="IT3" s="32" t="s">
        <v>34</v>
      </c>
      <c r="IU3" s="32" t="s">
        <v>34</v>
      </c>
      <c r="IV3" s="32" t="s">
        <v>34</v>
      </c>
      <c r="IW3" s="32" t="s">
        <v>34</v>
      </c>
      <c r="IX3" s="32" t="s">
        <v>34</v>
      </c>
      <c r="IY3" s="32" t="s">
        <v>34</v>
      </c>
      <c r="IZ3" s="32" t="s">
        <v>34</v>
      </c>
      <c r="JA3" s="32" t="s">
        <v>34</v>
      </c>
      <c r="JB3" s="32" t="s">
        <v>34</v>
      </c>
      <c r="JC3" s="32" t="s">
        <v>34</v>
      </c>
      <c r="JD3" s="32" t="s">
        <v>34</v>
      </c>
      <c r="JE3" s="32" t="s">
        <v>34</v>
      </c>
      <c r="JF3" s="32" t="s">
        <v>34</v>
      </c>
      <c r="JG3" s="32" t="s">
        <v>34</v>
      </c>
      <c r="JH3" s="32" t="s">
        <v>34</v>
      </c>
      <c r="JI3" s="69"/>
      <c r="JJ3" s="32" t="s">
        <v>34</v>
      </c>
      <c r="JK3" s="32" t="s">
        <v>34</v>
      </c>
      <c r="JL3" s="32" t="s">
        <v>34</v>
      </c>
      <c r="JM3" s="32" t="s">
        <v>34</v>
      </c>
      <c r="JN3" s="32" t="s">
        <v>34</v>
      </c>
      <c r="JO3" s="32" t="s">
        <v>34</v>
      </c>
      <c r="JP3" s="32" t="s">
        <v>34</v>
      </c>
      <c r="JQ3" s="32" t="s">
        <v>34</v>
      </c>
      <c r="JR3" s="32" t="s">
        <v>34</v>
      </c>
      <c r="JS3" s="32" t="s">
        <v>34</v>
      </c>
      <c r="JT3" s="32" t="s">
        <v>34</v>
      </c>
      <c r="JU3" s="69"/>
      <c r="JV3" s="32" t="s">
        <v>34</v>
      </c>
      <c r="JW3" s="32" t="s">
        <v>34</v>
      </c>
      <c r="JX3" s="32" t="s">
        <v>34</v>
      </c>
      <c r="JY3" s="32" t="s">
        <v>34</v>
      </c>
      <c r="JZ3" s="32" t="s">
        <v>34</v>
      </c>
      <c r="KA3" s="32" t="s">
        <v>34</v>
      </c>
      <c r="KB3" s="32" t="s">
        <v>34</v>
      </c>
      <c r="KC3" s="32" t="s">
        <v>34</v>
      </c>
      <c r="KD3" s="32" t="s">
        <v>34</v>
      </c>
      <c r="KE3" s="32" t="s">
        <v>34</v>
      </c>
      <c r="KF3" s="32" t="s">
        <v>34</v>
      </c>
      <c r="KG3" s="32" t="s">
        <v>34</v>
      </c>
      <c r="KH3" s="32" t="s">
        <v>34</v>
      </c>
      <c r="KI3" s="32" t="s">
        <v>34</v>
      </c>
      <c r="KJ3" s="32" t="s">
        <v>34</v>
      </c>
      <c r="KK3" s="32" t="s">
        <v>34</v>
      </c>
      <c r="KL3" s="32" t="s">
        <v>34</v>
      </c>
      <c r="KM3" s="69"/>
      <c r="KN3" s="32" t="s">
        <v>34</v>
      </c>
      <c r="KO3" s="32" t="s">
        <v>34</v>
      </c>
      <c r="KP3" s="32" t="s">
        <v>34</v>
      </c>
      <c r="KQ3" s="32" t="s">
        <v>34</v>
      </c>
      <c r="KR3" s="32" t="s">
        <v>34</v>
      </c>
      <c r="KS3" s="32" t="s">
        <v>34</v>
      </c>
      <c r="KT3" s="32" t="s">
        <v>34</v>
      </c>
      <c r="KU3" s="32" t="s">
        <v>34</v>
      </c>
      <c r="KV3" s="32" t="s">
        <v>34</v>
      </c>
      <c r="KW3" s="32" t="s">
        <v>34</v>
      </c>
      <c r="KX3" s="32" t="s">
        <v>34</v>
      </c>
      <c r="KY3" s="32" t="s">
        <v>34</v>
      </c>
      <c r="KZ3" s="32" t="s">
        <v>34</v>
      </c>
      <c r="LA3" s="32" t="s">
        <v>34</v>
      </c>
      <c r="LB3" s="32" t="s">
        <v>34</v>
      </c>
      <c r="LC3" s="32" t="s">
        <v>34</v>
      </c>
      <c r="LD3" s="32" t="s">
        <v>34</v>
      </c>
      <c r="LE3" s="32" t="s">
        <v>34</v>
      </c>
      <c r="LF3" s="32" t="s">
        <v>34</v>
      </c>
      <c r="LG3" s="32" t="s">
        <v>34</v>
      </c>
      <c r="LH3" s="69"/>
      <c r="LI3" s="32" t="s">
        <v>34</v>
      </c>
      <c r="LJ3" s="32" t="s">
        <v>34</v>
      </c>
      <c r="LK3" s="32" t="s">
        <v>34</v>
      </c>
      <c r="LL3" s="32" t="s">
        <v>34</v>
      </c>
      <c r="LM3" s="32" t="s">
        <v>34</v>
      </c>
      <c r="LN3" s="69"/>
      <c r="LO3" s="32" t="s">
        <v>34</v>
      </c>
      <c r="LP3" s="32" t="s">
        <v>34</v>
      </c>
      <c r="LQ3" s="32" t="s">
        <v>34</v>
      </c>
      <c r="LR3" s="32" t="s">
        <v>34</v>
      </c>
      <c r="LS3" s="32" t="s">
        <v>34</v>
      </c>
      <c r="LT3" s="32" t="s">
        <v>34</v>
      </c>
      <c r="LU3" s="32" t="s">
        <v>34</v>
      </c>
      <c r="LV3" s="32" t="s">
        <v>34</v>
      </c>
      <c r="LW3" s="32" t="s">
        <v>34</v>
      </c>
      <c r="LX3" s="32" t="s">
        <v>34</v>
      </c>
      <c r="LY3" s="32" t="s">
        <v>34</v>
      </c>
      <c r="LZ3" s="32" t="s">
        <v>34</v>
      </c>
      <c r="MA3" s="32" t="s">
        <v>34</v>
      </c>
      <c r="MB3" s="32" t="s">
        <v>34</v>
      </c>
      <c r="MC3" s="32" t="s">
        <v>34</v>
      </c>
      <c r="MD3" s="32" t="s">
        <v>34</v>
      </c>
      <c r="ME3" s="32" t="s">
        <v>34</v>
      </c>
      <c r="MF3" s="32" t="s">
        <v>34</v>
      </c>
      <c r="MG3" s="8" t="s">
        <v>34</v>
      </c>
      <c r="MH3" s="32" t="s">
        <v>34</v>
      </c>
      <c r="MI3" s="32" t="s">
        <v>34</v>
      </c>
      <c r="MJ3" s="32" t="s">
        <v>34</v>
      </c>
      <c r="MK3" s="32" t="s">
        <v>34</v>
      </c>
      <c r="ML3" s="32" t="s">
        <v>34</v>
      </c>
      <c r="MM3" s="32" t="s">
        <v>34</v>
      </c>
      <c r="MN3" s="32" t="s">
        <v>34</v>
      </c>
      <c r="MO3" s="32" t="s">
        <v>34</v>
      </c>
      <c r="MP3" s="32" t="s">
        <v>34</v>
      </c>
      <c r="MQ3" s="32" t="s">
        <v>34</v>
      </c>
      <c r="MR3" s="32" t="s">
        <v>34</v>
      </c>
      <c r="MS3" s="32" t="s">
        <v>34</v>
      </c>
      <c r="MT3" s="32" t="s">
        <v>34</v>
      </c>
      <c r="MU3" s="32" t="s">
        <v>34</v>
      </c>
      <c r="MV3" s="32" t="s">
        <v>34</v>
      </c>
      <c r="MW3" s="32" t="s">
        <v>34</v>
      </c>
      <c r="MX3" s="32" t="s">
        <v>34</v>
      </c>
      <c r="MY3" s="32" t="s">
        <v>34</v>
      </c>
      <c r="MZ3" s="32" t="s">
        <v>34</v>
      </c>
      <c r="NA3" s="32" t="s">
        <v>34</v>
      </c>
      <c r="NB3" s="17" t="s">
        <v>34</v>
      </c>
      <c r="NC3" s="69"/>
      <c r="ND3" s="32" t="s">
        <v>34</v>
      </c>
      <c r="NE3" s="32" t="s">
        <v>34</v>
      </c>
      <c r="NF3" s="32" t="s">
        <v>34</v>
      </c>
      <c r="NG3" s="32" t="s">
        <v>34</v>
      </c>
      <c r="NH3" s="32" t="s">
        <v>34</v>
      </c>
      <c r="NI3" s="32" t="s">
        <v>34</v>
      </c>
      <c r="NJ3" s="32" t="s">
        <v>34</v>
      </c>
      <c r="NK3" s="32" t="s">
        <v>34</v>
      </c>
      <c r="NL3" s="32" t="s">
        <v>34</v>
      </c>
      <c r="NM3" s="32" t="s">
        <v>34</v>
      </c>
      <c r="NN3" s="32" t="s">
        <v>34</v>
      </c>
      <c r="NO3" s="32" t="s">
        <v>34</v>
      </c>
      <c r="NP3" s="32" t="s">
        <v>34</v>
      </c>
      <c r="NQ3" s="32" t="s">
        <v>34</v>
      </c>
      <c r="NR3" s="32" t="s">
        <v>34</v>
      </c>
      <c r="NS3" s="32" t="s">
        <v>34</v>
      </c>
      <c r="NT3" s="32" t="s">
        <v>34</v>
      </c>
      <c r="NU3" s="32" t="s">
        <v>34</v>
      </c>
      <c r="NV3" s="8" t="s">
        <v>34</v>
      </c>
      <c r="NW3" s="32" t="s">
        <v>34</v>
      </c>
      <c r="NX3" s="32" t="s">
        <v>34</v>
      </c>
      <c r="NY3" s="32" t="s">
        <v>34</v>
      </c>
      <c r="NZ3" s="32" t="s">
        <v>34</v>
      </c>
      <c r="OA3" s="32" t="s">
        <v>34</v>
      </c>
      <c r="OB3" s="32" t="s">
        <v>34</v>
      </c>
      <c r="OC3" s="32" t="s">
        <v>34</v>
      </c>
      <c r="OD3" s="32" t="s">
        <v>34</v>
      </c>
      <c r="OE3" s="32" t="s">
        <v>34</v>
      </c>
      <c r="OF3" s="32" t="s">
        <v>34</v>
      </c>
      <c r="OG3" s="32" t="s">
        <v>34</v>
      </c>
      <c r="OH3" s="32" t="s">
        <v>34</v>
      </c>
      <c r="OI3" s="32" t="s">
        <v>34</v>
      </c>
      <c r="OJ3" s="32" t="s">
        <v>34</v>
      </c>
      <c r="OK3" s="32" t="s">
        <v>34</v>
      </c>
      <c r="OL3" s="32" t="s">
        <v>34</v>
      </c>
      <c r="OM3" s="32" t="s">
        <v>34</v>
      </c>
      <c r="ON3" s="69"/>
      <c r="OO3" s="32" t="s">
        <v>34</v>
      </c>
      <c r="OP3" s="32" t="s">
        <v>34</v>
      </c>
      <c r="OQ3" s="32" t="s">
        <v>34</v>
      </c>
      <c r="OR3" s="32" t="s">
        <v>34</v>
      </c>
      <c r="OS3" s="32" t="s">
        <v>34</v>
      </c>
      <c r="OT3" s="32" t="s">
        <v>34</v>
      </c>
      <c r="OU3" s="32" t="s">
        <v>34</v>
      </c>
      <c r="OV3" s="32" t="s">
        <v>34</v>
      </c>
      <c r="OW3" s="32" t="s">
        <v>34</v>
      </c>
      <c r="OX3" s="32" t="s">
        <v>34</v>
      </c>
      <c r="OY3" s="32" t="s">
        <v>34</v>
      </c>
    </row>
    <row r="4" spans="1:415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9"/>
      <c r="K4" s="32" t="s">
        <v>34</v>
      </c>
      <c r="L4" s="32" t="s">
        <v>34</v>
      </c>
      <c r="M4" s="32" t="s">
        <v>34</v>
      </c>
      <c r="N4" s="32" t="s">
        <v>34</v>
      </c>
      <c r="O4" s="32" t="s">
        <v>34</v>
      </c>
      <c r="P4" s="32" t="s">
        <v>34</v>
      </c>
      <c r="Q4" s="32" t="s">
        <v>34</v>
      </c>
      <c r="R4" s="32" t="s">
        <v>34</v>
      </c>
      <c r="S4" s="32" t="s">
        <v>34</v>
      </c>
      <c r="T4" s="32" t="s">
        <v>34</v>
      </c>
      <c r="U4" s="32" t="s">
        <v>34</v>
      </c>
      <c r="V4" s="32" t="s">
        <v>34</v>
      </c>
      <c r="W4" s="32" t="s">
        <v>34</v>
      </c>
      <c r="X4" s="32" t="s">
        <v>34</v>
      </c>
      <c r="Y4" s="32" t="s">
        <v>34</v>
      </c>
      <c r="Z4" s="32" t="s">
        <v>34</v>
      </c>
      <c r="AA4" s="32" t="s">
        <v>34</v>
      </c>
      <c r="AB4" s="69"/>
      <c r="AC4" s="32" t="s">
        <v>34</v>
      </c>
      <c r="AD4" s="32" t="s">
        <v>34</v>
      </c>
      <c r="AE4" s="32" t="s">
        <v>34</v>
      </c>
      <c r="AF4" s="32" t="s">
        <v>34</v>
      </c>
      <c r="AG4" s="32" t="s">
        <v>34</v>
      </c>
      <c r="AH4" s="32" t="s">
        <v>34</v>
      </c>
      <c r="AI4" s="32" t="s">
        <v>34</v>
      </c>
      <c r="AJ4" s="32" t="s">
        <v>34</v>
      </c>
      <c r="AK4" s="32" t="s">
        <v>34</v>
      </c>
      <c r="AL4" s="32" t="s">
        <v>34</v>
      </c>
      <c r="AM4" s="32" t="s">
        <v>34</v>
      </c>
      <c r="AN4" s="32" t="s">
        <v>34</v>
      </c>
      <c r="AO4" s="32" t="s">
        <v>34</v>
      </c>
      <c r="AP4" s="32" t="s">
        <v>34</v>
      </c>
      <c r="AQ4" s="32" t="s">
        <v>34</v>
      </c>
      <c r="AR4" s="32" t="s">
        <v>34</v>
      </c>
      <c r="AS4" s="32" t="s">
        <v>34</v>
      </c>
      <c r="AT4" s="32" t="s">
        <v>34</v>
      </c>
      <c r="AU4" s="32" t="s">
        <v>34</v>
      </c>
      <c r="AV4" s="32" t="s">
        <v>34</v>
      </c>
      <c r="AW4" s="69"/>
      <c r="AX4" s="32" t="s">
        <v>34</v>
      </c>
      <c r="AY4" s="32" t="s">
        <v>34</v>
      </c>
      <c r="AZ4" s="32" t="s">
        <v>34</v>
      </c>
      <c r="BA4" s="32" t="s">
        <v>34</v>
      </c>
      <c r="BB4" s="32" t="s">
        <v>34</v>
      </c>
      <c r="BC4" s="69"/>
      <c r="BD4" s="32" t="s">
        <v>34</v>
      </c>
      <c r="BE4" s="32" t="s">
        <v>34</v>
      </c>
      <c r="BF4" s="32" t="s">
        <v>34</v>
      </c>
      <c r="BG4" s="32" t="s">
        <v>34</v>
      </c>
      <c r="BH4" s="32" t="s">
        <v>34</v>
      </c>
      <c r="BI4" s="32" t="s">
        <v>34</v>
      </c>
      <c r="BJ4" s="32" t="s">
        <v>34</v>
      </c>
      <c r="BK4" s="32" t="s">
        <v>34</v>
      </c>
      <c r="BL4" s="32" t="s">
        <v>34</v>
      </c>
      <c r="BM4" s="32" t="s">
        <v>34</v>
      </c>
      <c r="BN4" s="32" t="s">
        <v>34</v>
      </c>
      <c r="BO4" s="32" t="s">
        <v>34</v>
      </c>
      <c r="BP4" s="32" t="s">
        <v>34</v>
      </c>
      <c r="BQ4" s="32" t="s">
        <v>34</v>
      </c>
      <c r="BR4" s="32" t="s">
        <v>34</v>
      </c>
      <c r="BS4" s="32" t="s">
        <v>34</v>
      </c>
      <c r="BT4" s="32" t="s">
        <v>34</v>
      </c>
      <c r="BU4" s="32" t="s">
        <v>34</v>
      </c>
      <c r="BV4" s="8" t="s">
        <v>34</v>
      </c>
      <c r="BW4" s="32" t="s">
        <v>34</v>
      </c>
      <c r="BX4" s="32" t="s">
        <v>34</v>
      </c>
      <c r="BY4" s="32" t="s">
        <v>34</v>
      </c>
      <c r="BZ4" s="32" t="s">
        <v>34</v>
      </c>
      <c r="CA4" s="32" t="s">
        <v>34</v>
      </c>
      <c r="CB4" s="32" t="s">
        <v>34</v>
      </c>
      <c r="CC4" s="32" t="s">
        <v>34</v>
      </c>
      <c r="CD4" s="32" t="s">
        <v>34</v>
      </c>
      <c r="CE4" s="32" t="s">
        <v>34</v>
      </c>
      <c r="CF4" s="32" t="s">
        <v>34</v>
      </c>
      <c r="CG4" s="32" t="s">
        <v>34</v>
      </c>
      <c r="CH4" s="32" t="s">
        <v>34</v>
      </c>
      <c r="CI4" s="32" t="s">
        <v>34</v>
      </c>
      <c r="CJ4" s="32" t="s">
        <v>34</v>
      </c>
      <c r="CK4" s="32" t="s">
        <v>34</v>
      </c>
      <c r="CL4" s="32" t="s">
        <v>34</v>
      </c>
      <c r="CM4" s="32" t="s">
        <v>34</v>
      </c>
      <c r="CN4" s="32" t="s">
        <v>34</v>
      </c>
      <c r="CO4" s="32" t="s">
        <v>34</v>
      </c>
      <c r="CP4" s="32" t="s">
        <v>34</v>
      </c>
      <c r="CQ4" s="17" t="s">
        <v>34</v>
      </c>
      <c r="CR4" s="69"/>
      <c r="CS4" s="32" t="s">
        <v>34</v>
      </c>
      <c r="CT4" s="32" t="s">
        <v>34</v>
      </c>
      <c r="CU4" s="32" t="s">
        <v>34</v>
      </c>
      <c r="CV4" s="32" t="s">
        <v>34</v>
      </c>
      <c r="CW4" s="32" t="s">
        <v>34</v>
      </c>
      <c r="CX4" s="32" t="s">
        <v>34</v>
      </c>
      <c r="CY4" s="32" t="s">
        <v>34</v>
      </c>
      <c r="CZ4" s="32" t="s">
        <v>34</v>
      </c>
      <c r="DA4" s="32" t="s">
        <v>34</v>
      </c>
      <c r="DB4" s="32" t="s">
        <v>34</v>
      </c>
      <c r="DC4" s="32" t="s">
        <v>34</v>
      </c>
      <c r="DD4" s="32" t="s">
        <v>34</v>
      </c>
      <c r="DE4" s="32" t="s">
        <v>34</v>
      </c>
      <c r="DF4" s="32" t="s">
        <v>34</v>
      </c>
      <c r="DG4" s="32" t="s">
        <v>34</v>
      </c>
      <c r="DH4" s="32" t="s">
        <v>34</v>
      </c>
      <c r="DI4" s="32" t="s">
        <v>34</v>
      </c>
      <c r="DJ4" s="32" t="s">
        <v>34</v>
      </c>
      <c r="DK4" s="8" t="s">
        <v>34</v>
      </c>
      <c r="DL4" s="32" t="s">
        <v>34</v>
      </c>
      <c r="DM4" s="32" t="s">
        <v>34</v>
      </c>
      <c r="DN4" s="32" t="s">
        <v>34</v>
      </c>
      <c r="DO4" s="32" t="s">
        <v>34</v>
      </c>
      <c r="DP4" s="32" t="s">
        <v>34</v>
      </c>
      <c r="DQ4" s="32" t="s">
        <v>34</v>
      </c>
      <c r="DR4" s="32" t="s">
        <v>34</v>
      </c>
      <c r="DS4" s="32" t="s">
        <v>34</v>
      </c>
      <c r="DT4" s="32" t="s">
        <v>34</v>
      </c>
      <c r="DU4" s="32" t="s">
        <v>34</v>
      </c>
      <c r="DV4" s="32" t="s">
        <v>34</v>
      </c>
      <c r="DW4" s="32" t="s">
        <v>34</v>
      </c>
      <c r="DX4" s="32" t="s">
        <v>34</v>
      </c>
      <c r="DY4" s="32" t="s">
        <v>34</v>
      </c>
      <c r="DZ4" s="32" t="s">
        <v>34</v>
      </c>
      <c r="EA4" s="32" t="s">
        <v>34</v>
      </c>
      <c r="EB4" s="32" t="s">
        <v>34</v>
      </c>
      <c r="EC4" s="69"/>
      <c r="ED4" s="32" t="s">
        <v>34</v>
      </c>
      <c r="EE4" s="32" t="s">
        <v>34</v>
      </c>
      <c r="EF4" s="32" t="s">
        <v>34</v>
      </c>
      <c r="EG4" s="32" t="s">
        <v>34</v>
      </c>
      <c r="EH4" s="32" t="s">
        <v>34</v>
      </c>
      <c r="EI4" s="32" t="s">
        <v>34</v>
      </c>
      <c r="EJ4" s="32" t="s">
        <v>34</v>
      </c>
      <c r="EK4" s="32" t="s">
        <v>34</v>
      </c>
      <c r="EL4" s="32" t="s">
        <v>34</v>
      </c>
      <c r="EM4" s="32" t="s">
        <v>34</v>
      </c>
      <c r="EN4" s="32" t="s">
        <v>34</v>
      </c>
      <c r="EO4" s="69"/>
      <c r="EP4" s="32" t="s">
        <v>34</v>
      </c>
      <c r="EQ4" s="32" t="s">
        <v>34</v>
      </c>
      <c r="ER4" s="32" t="s">
        <v>34</v>
      </c>
      <c r="ES4" s="32" t="s">
        <v>34</v>
      </c>
      <c r="ET4" s="32" t="s">
        <v>34</v>
      </c>
      <c r="EU4" s="32" t="s">
        <v>34</v>
      </c>
      <c r="EV4" s="32" t="s">
        <v>34</v>
      </c>
      <c r="EW4" s="32" t="s">
        <v>34</v>
      </c>
      <c r="EX4" s="32" t="s">
        <v>34</v>
      </c>
      <c r="EY4" s="32" t="s">
        <v>34</v>
      </c>
      <c r="EZ4" s="32" t="s">
        <v>34</v>
      </c>
      <c r="FA4" s="32" t="s">
        <v>34</v>
      </c>
      <c r="FB4" s="32" t="s">
        <v>34</v>
      </c>
      <c r="FC4" s="32" t="s">
        <v>34</v>
      </c>
      <c r="FD4" s="32" t="s">
        <v>34</v>
      </c>
      <c r="FE4" s="32" t="s">
        <v>34</v>
      </c>
      <c r="FF4" s="32" t="s">
        <v>34</v>
      </c>
      <c r="FG4" s="69"/>
      <c r="FH4" s="32" t="s">
        <v>34</v>
      </c>
      <c r="FI4" s="32" t="s">
        <v>34</v>
      </c>
      <c r="FJ4" s="32" t="s">
        <v>34</v>
      </c>
      <c r="FK4" s="32" t="s">
        <v>34</v>
      </c>
      <c r="FL4" s="32" t="s">
        <v>34</v>
      </c>
      <c r="FM4" s="32" t="s">
        <v>34</v>
      </c>
      <c r="FN4" s="32" t="s">
        <v>34</v>
      </c>
      <c r="FO4" s="32" t="s">
        <v>34</v>
      </c>
      <c r="FP4" s="32" t="s">
        <v>34</v>
      </c>
      <c r="FQ4" s="32" t="s">
        <v>34</v>
      </c>
      <c r="FR4" s="32" t="s">
        <v>34</v>
      </c>
      <c r="FS4" s="32" t="s">
        <v>34</v>
      </c>
      <c r="FT4" s="32" t="s">
        <v>34</v>
      </c>
      <c r="FU4" s="32" t="s">
        <v>34</v>
      </c>
      <c r="FV4" s="32" t="s">
        <v>34</v>
      </c>
      <c r="FW4" s="32" t="s">
        <v>34</v>
      </c>
      <c r="FX4" s="32" t="s">
        <v>34</v>
      </c>
      <c r="FY4" s="32" t="s">
        <v>34</v>
      </c>
      <c r="FZ4" s="32" t="s">
        <v>34</v>
      </c>
      <c r="GA4" s="32" t="s">
        <v>34</v>
      </c>
      <c r="GB4" s="69"/>
      <c r="GC4" s="32" t="s">
        <v>34</v>
      </c>
      <c r="GD4" s="32" t="s">
        <v>34</v>
      </c>
      <c r="GE4" s="32" t="s">
        <v>34</v>
      </c>
      <c r="GF4" s="32" t="s">
        <v>34</v>
      </c>
      <c r="GG4" s="32" t="s">
        <v>34</v>
      </c>
      <c r="GH4" s="69"/>
      <c r="GI4" s="32" t="s">
        <v>34</v>
      </c>
      <c r="GJ4" s="32" t="s">
        <v>34</v>
      </c>
      <c r="GK4" s="32" t="s">
        <v>34</v>
      </c>
      <c r="GL4" s="32" t="s">
        <v>34</v>
      </c>
      <c r="GM4" s="32" t="s">
        <v>34</v>
      </c>
      <c r="GN4" s="32" t="s">
        <v>34</v>
      </c>
      <c r="GO4" s="32" t="s">
        <v>34</v>
      </c>
      <c r="GP4" s="32" t="s">
        <v>34</v>
      </c>
      <c r="GQ4" s="32" t="s">
        <v>34</v>
      </c>
      <c r="GR4" s="32" t="s">
        <v>34</v>
      </c>
      <c r="GS4" s="32" t="s">
        <v>34</v>
      </c>
      <c r="GT4" s="32" t="s">
        <v>34</v>
      </c>
      <c r="GU4" s="32" t="s">
        <v>34</v>
      </c>
      <c r="GV4" s="32" t="s">
        <v>34</v>
      </c>
      <c r="GW4" s="32" t="s">
        <v>34</v>
      </c>
      <c r="GX4" s="32" t="s">
        <v>34</v>
      </c>
      <c r="GY4" s="32" t="s">
        <v>34</v>
      </c>
      <c r="GZ4" s="32" t="s">
        <v>34</v>
      </c>
      <c r="HA4" s="8" t="s">
        <v>34</v>
      </c>
      <c r="HB4" s="32" t="s">
        <v>34</v>
      </c>
      <c r="HC4" s="32" t="s">
        <v>34</v>
      </c>
      <c r="HD4" s="32" t="s">
        <v>34</v>
      </c>
      <c r="HE4" s="32" t="s">
        <v>34</v>
      </c>
      <c r="HF4" s="32" t="s">
        <v>34</v>
      </c>
      <c r="HG4" s="32" t="s">
        <v>34</v>
      </c>
      <c r="HH4" s="32" t="s">
        <v>34</v>
      </c>
      <c r="HI4" s="32" t="s">
        <v>34</v>
      </c>
      <c r="HJ4" s="32" t="s">
        <v>34</v>
      </c>
      <c r="HK4" s="32" t="s">
        <v>34</v>
      </c>
      <c r="HL4" s="32" t="s">
        <v>34</v>
      </c>
      <c r="HM4" s="32" t="s">
        <v>34</v>
      </c>
      <c r="HN4" s="32" t="s">
        <v>34</v>
      </c>
      <c r="HO4" s="32" t="s">
        <v>34</v>
      </c>
      <c r="HP4" s="32" t="s">
        <v>34</v>
      </c>
      <c r="HQ4" s="32" t="s">
        <v>34</v>
      </c>
      <c r="HR4" s="32" t="s">
        <v>34</v>
      </c>
      <c r="HS4" s="32" t="s">
        <v>34</v>
      </c>
      <c r="HT4" s="32" t="s">
        <v>34</v>
      </c>
      <c r="HU4" s="32" t="s">
        <v>34</v>
      </c>
      <c r="HV4" s="32" t="s">
        <v>34</v>
      </c>
      <c r="HW4" s="17" t="s">
        <v>34</v>
      </c>
      <c r="HX4" s="69"/>
      <c r="HY4" s="32" t="s">
        <v>34</v>
      </c>
      <c r="HZ4" s="32" t="s">
        <v>34</v>
      </c>
      <c r="IA4" s="32" t="s">
        <v>34</v>
      </c>
      <c r="IB4" s="32" t="s">
        <v>34</v>
      </c>
      <c r="IC4" s="32" t="s">
        <v>34</v>
      </c>
      <c r="ID4" s="32" t="s">
        <v>34</v>
      </c>
      <c r="IE4" s="32" t="s">
        <v>34</v>
      </c>
      <c r="IF4" s="32" t="s">
        <v>34</v>
      </c>
      <c r="IG4" s="32" t="s">
        <v>34</v>
      </c>
      <c r="IH4" s="32" t="s">
        <v>34</v>
      </c>
      <c r="II4" s="32" t="s">
        <v>34</v>
      </c>
      <c r="IJ4" s="32" t="s">
        <v>34</v>
      </c>
      <c r="IK4" s="32" t="s">
        <v>34</v>
      </c>
      <c r="IL4" s="32" t="s">
        <v>34</v>
      </c>
      <c r="IM4" s="32" t="s">
        <v>34</v>
      </c>
      <c r="IN4" s="32" t="s">
        <v>34</v>
      </c>
      <c r="IO4" s="32" t="s">
        <v>34</v>
      </c>
      <c r="IP4" s="32" t="s">
        <v>34</v>
      </c>
      <c r="IQ4" s="8" t="s">
        <v>34</v>
      </c>
      <c r="IR4" s="32" t="s">
        <v>34</v>
      </c>
      <c r="IS4" s="32" t="s">
        <v>34</v>
      </c>
      <c r="IT4" s="32" t="s">
        <v>34</v>
      </c>
      <c r="IU4" s="32" t="s">
        <v>34</v>
      </c>
      <c r="IV4" s="32" t="s">
        <v>34</v>
      </c>
      <c r="IW4" s="32" t="s">
        <v>34</v>
      </c>
      <c r="IX4" s="32" t="s">
        <v>34</v>
      </c>
      <c r="IY4" s="32" t="s">
        <v>34</v>
      </c>
      <c r="IZ4" s="32" t="s">
        <v>34</v>
      </c>
      <c r="JA4" s="32" t="s">
        <v>34</v>
      </c>
      <c r="JB4" s="32" t="s">
        <v>34</v>
      </c>
      <c r="JC4" s="32" t="s">
        <v>34</v>
      </c>
      <c r="JD4" s="32" t="s">
        <v>34</v>
      </c>
      <c r="JE4" s="32" t="s">
        <v>34</v>
      </c>
      <c r="JF4" s="32" t="s">
        <v>34</v>
      </c>
      <c r="JG4" s="32" t="s">
        <v>34</v>
      </c>
      <c r="JH4" s="32" t="s">
        <v>34</v>
      </c>
      <c r="JI4" s="69"/>
      <c r="JJ4" s="32" t="s">
        <v>34</v>
      </c>
      <c r="JK4" s="32" t="s">
        <v>34</v>
      </c>
      <c r="JL4" s="32" t="s">
        <v>34</v>
      </c>
      <c r="JM4" s="32" t="s">
        <v>34</v>
      </c>
      <c r="JN4" s="32" t="s">
        <v>34</v>
      </c>
      <c r="JO4" s="32" t="s">
        <v>34</v>
      </c>
      <c r="JP4" s="32" t="s">
        <v>34</v>
      </c>
      <c r="JQ4" s="32" t="s">
        <v>34</v>
      </c>
      <c r="JR4" s="32" t="s">
        <v>34</v>
      </c>
      <c r="JS4" s="32" t="s">
        <v>34</v>
      </c>
      <c r="JT4" s="32" t="s">
        <v>34</v>
      </c>
      <c r="JU4" s="69"/>
      <c r="JV4" s="32" t="s">
        <v>34</v>
      </c>
      <c r="JW4" s="32" t="s">
        <v>34</v>
      </c>
      <c r="JX4" s="32" t="s">
        <v>34</v>
      </c>
      <c r="JY4" s="32" t="s">
        <v>34</v>
      </c>
      <c r="JZ4" s="32" t="s">
        <v>34</v>
      </c>
      <c r="KA4" s="32" t="s">
        <v>34</v>
      </c>
      <c r="KB4" s="32" t="s">
        <v>34</v>
      </c>
      <c r="KC4" s="32" t="s">
        <v>34</v>
      </c>
      <c r="KD4" s="32" t="s">
        <v>34</v>
      </c>
      <c r="KE4" s="32" t="s">
        <v>34</v>
      </c>
      <c r="KF4" s="32" t="s">
        <v>34</v>
      </c>
      <c r="KG4" s="32" t="s">
        <v>34</v>
      </c>
      <c r="KH4" s="32" t="s">
        <v>34</v>
      </c>
      <c r="KI4" s="32" t="s">
        <v>34</v>
      </c>
      <c r="KJ4" s="32" t="s">
        <v>34</v>
      </c>
      <c r="KK4" s="32" t="s">
        <v>34</v>
      </c>
      <c r="KL4" s="32" t="s">
        <v>34</v>
      </c>
      <c r="KM4" s="69"/>
      <c r="KN4" s="32" t="s">
        <v>34</v>
      </c>
      <c r="KO4" s="32" t="s">
        <v>34</v>
      </c>
      <c r="KP4" s="32" t="s">
        <v>34</v>
      </c>
      <c r="KQ4" s="32" t="s">
        <v>34</v>
      </c>
      <c r="KR4" s="32" t="s">
        <v>34</v>
      </c>
      <c r="KS4" s="32" t="s">
        <v>34</v>
      </c>
      <c r="KT4" s="32" t="s">
        <v>34</v>
      </c>
      <c r="KU4" s="32" t="s">
        <v>34</v>
      </c>
      <c r="KV4" s="32" t="s">
        <v>34</v>
      </c>
      <c r="KW4" s="32" t="s">
        <v>34</v>
      </c>
      <c r="KX4" s="32" t="s">
        <v>34</v>
      </c>
      <c r="KY4" s="32" t="s">
        <v>34</v>
      </c>
      <c r="KZ4" s="32" t="s">
        <v>34</v>
      </c>
      <c r="LA4" s="32" t="s">
        <v>34</v>
      </c>
      <c r="LB4" s="32" t="s">
        <v>34</v>
      </c>
      <c r="LC4" s="32" t="s">
        <v>34</v>
      </c>
      <c r="LD4" s="32" t="s">
        <v>34</v>
      </c>
      <c r="LE4" s="32" t="s">
        <v>34</v>
      </c>
      <c r="LF4" s="32" t="s">
        <v>34</v>
      </c>
      <c r="LG4" s="32" t="s">
        <v>34</v>
      </c>
      <c r="LH4" s="69"/>
      <c r="LI4" s="32" t="s">
        <v>34</v>
      </c>
      <c r="LJ4" s="32" t="s">
        <v>34</v>
      </c>
      <c r="LK4" s="32" t="s">
        <v>34</v>
      </c>
      <c r="LL4" s="32" t="s">
        <v>34</v>
      </c>
      <c r="LM4" s="32" t="s">
        <v>34</v>
      </c>
      <c r="LN4" s="69"/>
      <c r="LO4" s="32" t="s">
        <v>34</v>
      </c>
      <c r="LP4" s="32" t="s">
        <v>34</v>
      </c>
      <c r="LQ4" s="32" t="s">
        <v>34</v>
      </c>
      <c r="LR4" s="32" t="s">
        <v>34</v>
      </c>
      <c r="LS4" s="32" t="s">
        <v>34</v>
      </c>
      <c r="LT4" s="32" t="s">
        <v>34</v>
      </c>
      <c r="LU4" s="32" t="s">
        <v>34</v>
      </c>
      <c r="LV4" s="32" t="s">
        <v>34</v>
      </c>
      <c r="LW4" s="32" t="s">
        <v>34</v>
      </c>
      <c r="LX4" s="32" t="s">
        <v>34</v>
      </c>
      <c r="LY4" s="32" t="s">
        <v>34</v>
      </c>
      <c r="LZ4" s="32" t="s">
        <v>34</v>
      </c>
      <c r="MA4" s="32" t="s">
        <v>34</v>
      </c>
      <c r="MB4" s="32" t="s">
        <v>34</v>
      </c>
      <c r="MC4" s="32" t="s">
        <v>34</v>
      </c>
      <c r="MD4" s="32" t="s">
        <v>34</v>
      </c>
      <c r="ME4" s="32" t="s">
        <v>34</v>
      </c>
      <c r="MF4" s="32" t="s">
        <v>34</v>
      </c>
      <c r="MG4" s="8" t="s">
        <v>34</v>
      </c>
      <c r="MH4" s="32" t="s">
        <v>34</v>
      </c>
      <c r="MI4" s="32" t="s">
        <v>34</v>
      </c>
      <c r="MJ4" s="32" t="s">
        <v>34</v>
      </c>
      <c r="MK4" s="32" t="s">
        <v>34</v>
      </c>
      <c r="ML4" s="32" t="s">
        <v>34</v>
      </c>
      <c r="MM4" s="32" t="s">
        <v>34</v>
      </c>
      <c r="MN4" s="32" t="s">
        <v>34</v>
      </c>
      <c r="MO4" s="32" t="s">
        <v>34</v>
      </c>
      <c r="MP4" s="32" t="s">
        <v>34</v>
      </c>
      <c r="MQ4" s="32" t="s">
        <v>34</v>
      </c>
      <c r="MR4" s="32" t="s">
        <v>34</v>
      </c>
      <c r="MS4" s="32" t="s">
        <v>34</v>
      </c>
      <c r="MT4" s="32" t="s">
        <v>34</v>
      </c>
      <c r="MU4" s="32" t="s">
        <v>34</v>
      </c>
      <c r="MV4" s="32" t="s">
        <v>34</v>
      </c>
      <c r="MW4" s="32" t="s">
        <v>34</v>
      </c>
      <c r="MX4" s="32" t="s">
        <v>34</v>
      </c>
      <c r="MY4" s="32" t="s">
        <v>34</v>
      </c>
      <c r="MZ4" s="32" t="s">
        <v>34</v>
      </c>
      <c r="NA4" s="32" t="s">
        <v>34</v>
      </c>
      <c r="NB4" s="17" t="s">
        <v>34</v>
      </c>
      <c r="NC4" s="69"/>
      <c r="ND4" s="32" t="s">
        <v>34</v>
      </c>
      <c r="NE4" s="32" t="s">
        <v>34</v>
      </c>
      <c r="NF4" s="32" t="s">
        <v>34</v>
      </c>
      <c r="NG4" s="32" t="s">
        <v>34</v>
      </c>
      <c r="NH4" s="32" t="s">
        <v>34</v>
      </c>
      <c r="NI4" s="32" t="s">
        <v>34</v>
      </c>
      <c r="NJ4" s="32" t="s">
        <v>34</v>
      </c>
      <c r="NK4" s="32" t="s">
        <v>34</v>
      </c>
      <c r="NL4" s="32" t="s">
        <v>34</v>
      </c>
      <c r="NM4" s="32" t="s">
        <v>34</v>
      </c>
      <c r="NN4" s="32" t="s">
        <v>34</v>
      </c>
      <c r="NO4" s="32" t="s">
        <v>34</v>
      </c>
      <c r="NP4" s="32" t="s">
        <v>34</v>
      </c>
      <c r="NQ4" s="32" t="s">
        <v>34</v>
      </c>
      <c r="NR4" s="32" t="s">
        <v>34</v>
      </c>
      <c r="NS4" s="32" t="s">
        <v>34</v>
      </c>
      <c r="NT4" s="32" t="s">
        <v>34</v>
      </c>
      <c r="NU4" s="32" t="s">
        <v>34</v>
      </c>
      <c r="NV4" s="8" t="s">
        <v>34</v>
      </c>
      <c r="NW4" s="32" t="s">
        <v>34</v>
      </c>
      <c r="NX4" s="32" t="s">
        <v>34</v>
      </c>
      <c r="NY4" s="32" t="s">
        <v>34</v>
      </c>
      <c r="NZ4" s="32" t="s">
        <v>34</v>
      </c>
      <c r="OA4" s="32" t="s">
        <v>34</v>
      </c>
      <c r="OB4" s="32" t="s">
        <v>34</v>
      </c>
      <c r="OC4" s="32" t="s">
        <v>34</v>
      </c>
      <c r="OD4" s="32" t="s">
        <v>34</v>
      </c>
      <c r="OE4" s="32" t="s">
        <v>34</v>
      </c>
      <c r="OF4" s="32" t="s">
        <v>34</v>
      </c>
      <c r="OG4" s="32" t="s">
        <v>34</v>
      </c>
      <c r="OH4" s="32" t="s">
        <v>34</v>
      </c>
      <c r="OI4" s="32" t="s">
        <v>34</v>
      </c>
      <c r="OJ4" s="32" t="s">
        <v>34</v>
      </c>
      <c r="OK4" s="32" t="s">
        <v>34</v>
      </c>
      <c r="OL4" s="32" t="s">
        <v>34</v>
      </c>
      <c r="OM4" s="32" t="s">
        <v>34</v>
      </c>
      <c r="ON4" s="69"/>
      <c r="OO4" s="32" t="s">
        <v>34</v>
      </c>
      <c r="OP4" s="32" t="s">
        <v>34</v>
      </c>
      <c r="OQ4" s="32" t="s">
        <v>34</v>
      </c>
      <c r="OR4" s="32" t="s">
        <v>34</v>
      </c>
      <c r="OS4" s="32" t="s">
        <v>34</v>
      </c>
      <c r="OT4" s="32" t="s">
        <v>34</v>
      </c>
      <c r="OU4" s="32" t="s">
        <v>34</v>
      </c>
      <c r="OV4" s="32" t="s">
        <v>34</v>
      </c>
      <c r="OW4" s="32" t="s">
        <v>34</v>
      </c>
      <c r="OX4" s="32" t="s">
        <v>34</v>
      </c>
      <c r="OY4" s="32" t="s">
        <v>34</v>
      </c>
    </row>
    <row r="5" spans="1:415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9"/>
      <c r="K5" s="32" t="s">
        <v>34</v>
      </c>
      <c r="L5" s="32" t="s">
        <v>34</v>
      </c>
      <c r="M5" s="32" t="s">
        <v>34</v>
      </c>
      <c r="N5" s="32" t="s">
        <v>34</v>
      </c>
      <c r="O5" s="32" t="s">
        <v>34</v>
      </c>
      <c r="P5" s="32" t="s">
        <v>34</v>
      </c>
      <c r="Q5" s="32" t="s">
        <v>34</v>
      </c>
      <c r="R5" s="32" t="s">
        <v>34</v>
      </c>
      <c r="S5" s="32" t="s">
        <v>34</v>
      </c>
      <c r="T5" s="32" t="s">
        <v>34</v>
      </c>
      <c r="U5" s="32" t="s">
        <v>34</v>
      </c>
      <c r="V5" s="32" t="s">
        <v>34</v>
      </c>
      <c r="W5" s="32" t="s">
        <v>34</v>
      </c>
      <c r="X5" s="32" t="s">
        <v>34</v>
      </c>
      <c r="Y5" s="32" t="s">
        <v>34</v>
      </c>
      <c r="Z5" s="32" t="s">
        <v>34</v>
      </c>
      <c r="AA5" s="32" t="s">
        <v>34</v>
      </c>
      <c r="AB5" s="69"/>
      <c r="AC5" s="32" t="s">
        <v>34</v>
      </c>
      <c r="AD5" s="32" t="s">
        <v>34</v>
      </c>
      <c r="AE5" s="32" t="s">
        <v>34</v>
      </c>
      <c r="AF5" s="32" t="s">
        <v>34</v>
      </c>
      <c r="AG5" s="32" t="s">
        <v>34</v>
      </c>
      <c r="AH5" s="32" t="s">
        <v>34</v>
      </c>
      <c r="AI5" s="32" t="s">
        <v>34</v>
      </c>
      <c r="AJ5" s="32" t="s">
        <v>34</v>
      </c>
      <c r="AK5" s="32" t="s">
        <v>34</v>
      </c>
      <c r="AL5" s="32" t="s">
        <v>34</v>
      </c>
      <c r="AM5" s="32" t="s">
        <v>34</v>
      </c>
      <c r="AN5" s="32" t="s">
        <v>34</v>
      </c>
      <c r="AO5" s="32" t="s">
        <v>34</v>
      </c>
      <c r="AP5" s="32" t="s">
        <v>34</v>
      </c>
      <c r="AQ5" s="32" t="s">
        <v>34</v>
      </c>
      <c r="AR5" s="32" t="s">
        <v>34</v>
      </c>
      <c r="AS5" s="32" t="s">
        <v>34</v>
      </c>
      <c r="AT5" s="32" t="s">
        <v>34</v>
      </c>
      <c r="AU5" s="32" t="s">
        <v>34</v>
      </c>
      <c r="AV5" s="32" t="s">
        <v>34</v>
      </c>
      <c r="AW5" s="69"/>
      <c r="AX5" s="32" t="s">
        <v>34</v>
      </c>
      <c r="AY5" s="32" t="s">
        <v>34</v>
      </c>
      <c r="AZ5" s="32" t="s">
        <v>34</v>
      </c>
      <c r="BA5" s="32" t="s">
        <v>34</v>
      </c>
      <c r="BB5" s="32" t="s">
        <v>34</v>
      </c>
      <c r="BC5" s="69"/>
      <c r="BD5" s="32" t="s">
        <v>34</v>
      </c>
      <c r="BE5" s="32" t="s">
        <v>34</v>
      </c>
      <c r="BF5" s="32" t="s">
        <v>34</v>
      </c>
      <c r="BG5" s="32" t="s">
        <v>34</v>
      </c>
      <c r="BH5" s="32" t="s">
        <v>34</v>
      </c>
      <c r="BI5" s="32" t="s">
        <v>34</v>
      </c>
      <c r="BJ5" s="32" t="s">
        <v>34</v>
      </c>
      <c r="BK5" s="32" t="s">
        <v>34</v>
      </c>
      <c r="BL5" s="32" t="s">
        <v>34</v>
      </c>
      <c r="BM5" s="32" t="s">
        <v>34</v>
      </c>
      <c r="BN5" s="32" t="s">
        <v>34</v>
      </c>
      <c r="BO5" s="32" t="s">
        <v>34</v>
      </c>
      <c r="BP5" s="32" t="s">
        <v>34</v>
      </c>
      <c r="BQ5" s="32" t="s">
        <v>34</v>
      </c>
      <c r="BR5" s="32" t="s">
        <v>34</v>
      </c>
      <c r="BS5" s="32" t="s">
        <v>34</v>
      </c>
      <c r="BT5" s="32" t="s">
        <v>34</v>
      </c>
      <c r="BU5" s="32" t="s">
        <v>34</v>
      </c>
      <c r="BV5" s="8" t="s">
        <v>34</v>
      </c>
      <c r="BW5" s="32" t="s">
        <v>34</v>
      </c>
      <c r="BX5" s="32" t="s">
        <v>34</v>
      </c>
      <c r="BY5" s="32" t="s">
        <v>34</v>
      </c>
      <c r="BZ5" s="32" t="s">
        <v>34</v>
      </c>
      <c r="CA5" s="32" t="s">
        <v>34</v>
      </c>
      <c r="CB5" s="32" t="s">
        <v>34</v>
      </c>
      <c r="CC5" s="32" t="s">
        <v>34</v>
      </c>
      <c r="CD5" s="32" t="s">
        <v>34</v>
      </c>
      <c r="CE5" s="32" t="s">
        <v>34</v>
      </c>
      <c r="CF5" s="32" t="s">
        <v>34</v>
      </c>
      <c r="CG5" s="32" t="s">
        <v>34</v>
      </c>
      <c r="CH5" s="32" t="s">
        <v>34</v>
      </c>
      <c r="CI5" s="32" t="s">
        <v>34</v>
      </c>
      <c r="CJ5" s="32" t="s">
        <v>34</v>
      </c>
      <c r="CK5" s="32" t="s">
        <v>34</v>
      </c>
      <c r="CL5" s="32" t="s">
        <v>34</v>
      </c>
      <c r="CM5" s="32" t="s">
        <v>34</v>
      </c>
      <c r="CN5" s="32" t="s">
        <v>34</v>
      </c>
      <c r="CO5" s="32" t="s">
        <v>34</v>
      </c>
      <c r="CP5" s="32" t="s">
        <v>34</v>
      </c>
      <c r="CQ5" s="17" t="s">
        <v>34</v>
      </c>
      <c r="CR5" s="69"/>
      <c r="CS5" s="32" t="s">
        <v>34</v>
      </c>
      <c r="CT5" s="32" t="s">
        <v>34</v>
      </c>
      <c r="CU5" s="32" t="s">
        <v>34</v>
      </c>
      <c r="CV5" s="32" t="s">
        <v>34</v>
      </c>
      <c r="CW5" s="32" t="s">
        <v>34</v>
      </c>
      <c r="CX5" s="32" t="s">
        <v>34</v>
      </c>
      <c r="CY5" s="32" t="s">
        <v>34</v>
      </c>
      <c r="CZ5" s="32" t="s">
        <v>34</v>
      </c>
      <c r="DA5" s="32" t="s">
        <v>34</v>
      </c>
      <c r="DB5" s="32" t="s">
        <v>34</v>
      </c>
      <c r="DC5" s="32" t="s">
        <v>34</v>
      </c>
      <c r="DD5" s="32" t="s">
        <v>34</v>
      </c>
      <c r="DE5" s="32" t="s">
        <v>34</v>
      </c>
      <c r="DF5" s="32" t="s">
        <v>34</v>
      </c>
      <c r="DG5" s="32" t="s">
        <v>34</v>
      </c>
      <c r="DH5" s="32" t="s">
        <v>34</v>
      </c>
      <c r="DI5" s="32" t="s">
        <v>34</v>
      </c>
      <c r="DJ5" s="32" t="s">
        <v>34</v>
      </c>
      <c r="DK5" s="8" t="s">
        <v>34</v>
      </c>
      <c r="DL5" s="32" t="s">
        <v>34</v>
      </c>
      <c r="DM5" s="32" t="s">
        <v>34</v>
      </c>
      <c r="DN5" s="32" t="s">
        <v>34</v>
      </c>
      <c r="DO5" s="32" t="s">
        <v>34</v>
      </c>
      <c r="DP5" s="32" t="s">
        <v>34</v>
      </c>
      <c r="DQ5" s="32" t="s">
        <v>34</v>
      </c>
      <c r="DR5" s="32" t="s">
        <v>34</v>
      </c>
      <c r="DS5" s="32" t="s">
        <v>34</v>
      </c>
      <c r="DT5" s="32" t="s">
        <v>34</v>
      </c>
      <c r="DU5" s="32" t="s">
        <v>34</v>
      </c>
      <c r="DV5" s="32" t="s">
        <v>34</v>
      </c>
      <c r="DW5" s="32" t="s">
        <v>34</v>
      </c>
      <c r="DX5" s="32" t="s">
        <v>34</v>
      </c>
      <c r="DY5" s="32" t="s">
        <v>34</v>
      </c>
      <c r="DZ5" s="32" t="s">
        <v>34</v>
      </c>
      <c r="EA5" s="32" t="s">
        <v>34</v>
      </c>
      <c r="EB5" s="32" t="s">
        <v>34</v>
      </c>
      <c r="EC5" s="69"/>
      <c r="ED5" s="32" t="s">
        <v>34</v>
      </c>
      <c r="EE5" s="32" t="s">
        <v>34</v>
      </c>
      <c r="EF5" s="32" t="s">
        <v>34</v>
      </c>
      <c r="EG5" s="32" t="s">
        <v>34</v>
      </c>
      <c r="EH5" s="32" t="s">
        <v>34</v>
      </c>
      <c r="EI5" s="32" t="s">
        <v>34</v>
      </c>
      <c r="EJ5" s="32" t="s">
        <v>34</v>
      </c>
      <c r="EK5" s="32" t="s">
        <v>34</v>
      </c>
      <c r="EL5" s="32" t="s">
        <v>34</v>
      </c>
      <c r="EM5" s="32" t="s">
        <v>34</v>
      </c>
      <c r="EN5" s="32" t="s">
        <v>34</v>
      </c>
      <c r="EO5" s="69"/>
      <c r="EP5" s="32" t="s">
        <v>34</v>
      </c>
      <c r="EQ5" s="32" t="s">
        <v>34</v>
      </c>
      <c r="ER5" s="32" t="s">
        <v>34</v>
      </c>
      <c r="ES5" s="32" t="s">
        <v>34</v>
      </c>
      <c r="ET5" s="32" t="s">
        <v>34</v>
      </c>
      <c r="EU5" s="32" t="s">
        <v>34</v>
      </c>
      <c r="EV5" s="32" t="s">
        <v>34</v>
      </c>
      <c r="EW5" s="32" t="s">
        <v>34</v>
      </c>
      <c r="EX5" s="32" t="s">
        <v>34</v>
      </c>
      <c r="EY5" s="32" t="s">
        <v>34</v>
      </c>
      <c r="EZ5" s="32" t="s">
        <v>34</v>
      </c>
      <c r="FA5" s="32" t="s">
        <v>34</v>
      </c>
      <c r="FB5" s="32" t="s">
        <v>34</v>
      </c>
      <c r="FC5" s="32" t="s">
        <v>34</v>
      </c>
      <c r="FD5" s="32" t="s">
        <v>34</v>
      </c>
      <c r="FE5" s="32" t="s">
        <v>34</v>
      </c>
      <c r="FF5" s="32" t="s">
        <v>34</v>
      </c>
      <c r="FG5" s="69"/>
      <c r="FH5" s="32" t="s">
        <v>34</v>
      </c>
      <c r="FI5" s="32" t="s">
        <v>34</v>
      </c>
      <c r="FJ5" s="32" t="s">
        <v>34</v>
      </c>
      <c r="FK5" s="32" t="s">
        <v>34</v>
      </c>
      <c r="FL5" s="32" t="s">
        <v>34</v>
      </c>
      <c r="FM5" s="32" t="s">
        <v>34</v>
      </c>
      <c r="FN5" s="32" t="s">
        <v>34</v>
      </c>
      <c r="FO5" s="32" t="s">
        <v>34</v>
      </c>
      <c r="FP5" s="32" t="s">
        <v>34</v>
      </c>
      <c r="FQ5" s="32" t="s">
        <v>34</v>
      </c>
      <c r="FR5" s="32" t="s">
        <v>34</v>
      </c>
      <c r="FS5" s="32" t="s">
        <v>34</v>
      </c>
      <c r="FT5" s="32" t="s">
        <v>34</v>
      </c>
      <c r="FU5" s="32" t="s">
        <v>34</v>
      </c>
      <c r="FV5" s="32" t="s">
        <v>34</v>
      </c>
      <c r="FW5" s="32" t="s">
        <v>34</v>
      </c>
      <c r="FX5" s="32" t="s">
        <v>34</v>
      </c>
      <c r="FY5" s="32" t="s">
        <v>34</v>
      </c>
      <c r="FZ5" s="32" t="s">
        <v>34</v>
      </c>
      <c r="GA5" s="32" t="s">
        <v>34</v>
      </c>
      <c r="GB5" s="69"/>
      <c r="GC5" s="32" t="s">
        <v>34</v>
      </c>
      <c r="GD5" s="32" t="s">
        <v>34</v>
      </c>
      <c r="GE5" s="32" t="s">
        <v>34</v>
      </c>
      <c r="GF5" s="32" t="s">
        <v>34</v>
      </c>
      <c r="GG5" s="32" t="s">
        <v>34</v>
      </c>
      <c r="GH5" s="69"/>
      <c r="GI5" s="32" t="s">
        <v>34</v>
      </c>
      <c r="GJ5" s="32" t="s">
        <v>34</v>
      </c>
      <c r="GK5" s="32" t="s">
        <v>34</v>
      </c>
      <c r="GL5" s="32" t="s">
        <v>34</v>
      </c>
      <c r="GM5" s="32" t="s">
        <v>34</v>
      </c>
      <c r="GN5" s="32" t="s">
        <v>34</v>
      </c>
      <c r="GO5" s="32" t="s">
        <v>34</v>
      </c>
      <c r="GP5" s="32" t="s">
        <v>34</v>
      </c>
      <c r="GQ5" s="32" t="s">
        <v>34</v>
      </c>
      <c r="GR5" s="32" t="s">
        <v>34</v>
      </c>
      <c r="GS5" s="32" t="s">
        <v>34</v>
      </c>
      <c r="GT5" s="32" t="s">
        <v>34</v>
      </c>
      <c r="GU5" s="32" t="s">
        <v>34</v>
      </c>
      <c r="GV5" s="32" t="s">
        <v>34</v>
      </c>
      <c r="GW5" s="32" t="s">
        <v>34</v>
      </c>
      <c r="GX5" s="32" t="s">
        <v>34</v>
      </c>
      <c r="GY5" s="32" t="s">
        <v>34</v>
      </c>
      <c r="GZ5" s="32" t="s">
        <v>34</v>
      </c>
      <c r="HA5" s="8" t="s">
        <v>34</v>
      </c>
      <c r="HB5" s="32" t="s">
        <v>34</v>
      </c>
      <c r="HC5" s="32" t="s">
        <v>34</v>
      </c>
      <c r="HD5" s="32" t="s">
        <v>34</v>
      </c>
      <c r="HE5" s="32" t="s">
        <v>34</v>
      </c>
      <c r="HF5" s="32" t="s">
        <v>34</v>
      </c>
      <c r="HG5" s="32" t="s">
        <v>34</v>
      </c>
      <c r="HH5" s="32" t="s">
        <v>34</v>
      </c>
      <c r="HI5" s="32" t="s">
        <v>34</v>
      </c>
      <c r="HJ5" s="32" t="s">
        <v>34</v>
      </c>
      <c r="HK5" s="32" t="s">
        <v>34</v>
      </c>
      <c r="HL5" s="32" t="s">
        <v>34</v>
      </c>
      <c r="HM5" s="32" t="s">
        <v>34</v>
      </c>
      <c r="HN5" s="32" t="s">
        <v>34</v>
      </c>
      <c r="HO5" s="32" t="s">
        <v>34</v>
      </c>
      <c r="HP5" s="32" t="s">
        <v>34</v>
      </c>
      <c r="HQ5" s="32" t="s">
        <v>34</v>
      </c>
      <c r="HR5" s="32" t="s">
        <v>34</v>
      </c>
      <c r="HS5" s="32" t="s">
        <v>34</v>
      </c>
      <c r="HT5" s="32" t="s">
        <v>34</v>
      </c>
      <c r="HU5" s="32" t="s">
        <v>34</v>
      </c>
      <c r="HV5" s="32" t="s">
        <v>34</v>
      </c>
      <c r="HW5" s="17" t="s">
        <v>34</v>
      </c>
      <c r="HX5" s="69"/>
      <c r="HY5" s="32" t="s">
        <v>34</v>
      </c>
      <c r="HZ5" s="32" t="s">
        <v>34</v>
      </c>
      <c r="IA5" s="32" t="s">
        <v>34</v>
      </c>
      <c r="IB5" s="32" t="s">
        <v>34</v>
      </c>
      <c r="IC5" s="32" t="s">
        <v>34</v>
      </c>
      <c r="ID5" s="32" t="s">
        <v>34</v>
      </c>
      <c r="IE5" s="32" t="s">
        <v>34</v>
      </c>
      <c r="IF5" s="32" t="s">
        <v>34</v>
      </c>
      <c r="IG5" s="32" t="s">
        <v>34</v>
      </c>
      <c r="IH5" s="32" t="s">
        <v>34</v>
      </c>
      <c r="II5" s="32" t="s">
        <v>34</v>
      </c>
      <c r="IJ5" s="32" t="s">
        <v>34</v>
      </c>
      <c r="IK5" s="32" t="s">
        <v>34</v>
      </c>
      <c r="IL5" s="32" t="s">
        <v>34</v>
      </c>
      <c r="IM5" s="32" t="s">
        <v>34</v>
      </c>
      <c r="IN5" s="32" t="s">
        <v>34</v>
      </c>
      <c r="IO5" s="32" t="s">
        <v>34</v>
      </c>
      <c r="IP5" s="32" t="s">
        <v>34</v>
      </c>
      <c r="IQ5" s="8" t="s">
        <v>34</v>
      </c>
      <c r="IR5" s="32" t="s">
        <v>34</v>
      </c>
      <c r="IS5" s="32" t="s">
        <v>34</v>
      </c>
      <c r="IT5" s="32" t="s">
        <v>34</v>
      </c>
      <c r="IU5" s="32" t="s">
        <v>34</v>
      </c>
      <c r="IV5" s="32" t="s">
        <v>34</v>
      </c>
      <c r="IW5" s="32" t="s">
        <v>34</v>
      </c>
      <c r="IX5" s="32" t="s">
        <v>34</v>
      </c>
      <c r="IY5" s="32" t="s">
        <v>34</v>
      </c>
      <c r="IZ5" s="32" t="s">
        <v>34</v>
      </c>
      <c r="JA5" s="32" t="s">
        <v>34</v>
      </c>
      <c r="JB5" s="32" t="s">
        <v>34</v>
      </c>
      <c r="JC5" s="32" t="s">
        <v>34</v>
      </c>
      <c r="JD5" s="32" t="s">
        <v>34</v>
      </c>
      <c r="JE5" s="32" t="s">
        <v>34</v>
      </c>
      <c r="JF5" s="32" t="s">
        <v>34</v>
      </c>
      <c r="JG5" s="32" t="s">
        <v>34</v>
      </c>
      <c r="JH5" s="32" t="s">
        <v>34</v>
      </c>
      <c r="JI5" s="69"/>
      <c r="JJ5" s="32" t="s">
        <v>34</v>
      </c>
      <c r="JK5" s="32" t="s">
        <v>34</v>
      </c>
      <c r="JL5" s="32" t="s">
        <v>34</v>
      </c>
      <c r="JM5" s="32" t="s">
        <v>34</v>
      </c>
      <c r="JN5" s="32" t="s">
        <v>34</v>
      </c>
      <c r="JO5" s="32" t="s">
        <v>34</v>
      </c>
      <c r="JP5" s="32" t="s">
        <v>34</v>
      </c>
      <c r="JQ5" s="32" t="s">
        <v>34</v>
      </c>
      <c r="JR5" s="32" t="s">
        <v>34</v>
      </c>
      <c r="JS5" s="32" t="s">
        <v>34</v>
      </c>
      <c r="JT5" s="32" t="s">
        <v>34</v>
      </c>
      <c r="JU5" s="69"/>
      <c r="JV5" s="32" t="s">
        <v>34</v>
      </c>
      <c r="JW5" s="32" t="s">
        <v>34</v>
      </c>
      <c r="JX5" s="32" t="s">
        <v>34</v>
      </c>
      <c r="JY5" s="32" t="s">
        <v>34</v>
      </c>
      <c r="JZ5" s="32" t="s">
        <v>34</v>
      </c>
      <c r="KA5" s="32" t="s">
        <v>34</v>
      </c>
      <c r="KB5" s="32" t="s">
        <v>34</v>
      </c>
      <c r="KC5" s="32" t="s">
        <v>34</v>
      </c>
      <c r="KD5" s="32" t="s">
        <v>34</v>
      </c>
      <c r="KE5" s="32" t="s">
        <v>34</v>
      </c>
      <c r="KF5" s="32" t="s">
        <v>34</v>
      </c>
      <c r="KG5" s="32" t="s">
        <v>34</v>
      </c>
      <c r="KH5" s="32" t="s">
        <v>34</v>
      </c>
      <c r="KI5" s="32" t="s">
        <v>34</v>
      </c>
      <c r="KJ5" s="32" t="s">
        <v>34</v>
      </c>
      <c r="KK5" s="32" t="s">
        <v>34</v>
      </c>
      <c r="KL5" s="32" t="s">
        <v>34</v>
      </c>
      <c r="KM5" s="69"/>
      <c r="KN5" s="32" t="s">
        <v>34</v>
      </c>
      <c r="KO5" s="32" t="s">
        <v>34</v>
      </c>
      <c r="KP5" s="32" t="s">
        <v>34</v>
      </c>
      <c r="KQ5" s="32" t="s">
        <v>34</v>
      </c>
      <c r="KR5" s="32" t="s">
        <v>34</v>
      </c>
      <c r="KS5" s="32" t="s">
        <v>34</v>
      </c>
      <c r="KT5" s="32" t="s">
        <v>34</v>
      </c>
      <c r="KU5" s="32" t="s">
        <v>34</v>
      </c>
      <c r="KV5" s="32" t="s">
        <v>34</v>
      </c>
      <c r="KW5" s="32" t="s">
        <v>34</v>
      </c>
      <c r="KX5" s="32" t="s">
        <v>34</v>
      </c>
      <c r="KY5" s="32" t="s">
        <v>34</v>
      </c>
      <c r="KZ5" s="32" t="s">
        <v>34</v>
      </c>
      <c r="LA5" s="32" t="s">
        <v>34</v>
      </c>
      <c r="LB5" s="32" t="s">
        <v>34</v>
      </c>
      <c r="LC5" s="32" t="s">
        <v>34</v>
      </c>
      <c r="LD5" s="32" t="s">
        <v>34</v>
      </c>
      <c r="LE5" s="32" t="s">
        <v>34</v>
      </c>
      <c r="LF5" s="32" t="s">
        <v>34</v>
      </c>
      <c r="LG5" s="32" t="s">
        <v>34</v>
      </c>
      <c r="LH5" s="69"/>
      <c r="LI5" s="32" t="s">
        <v>34</v>
      </c>
      <c r="LJ5" s="32" t="s">
        <v>34</v>
      </c>
      <c r="LK5" s="32" t="s">
        <v>34</v>
      </c>
      <c r="LL5" s="32" t="s">
        <v>34</v>
      </c>
      <c r="LM5" s="32" t="s">
        <v>34</v>
      </c>
      <c r="LN5" s="69"/>
      <c r="LO5" s="32" t="s">
        <v>34</v>
      </c>
      <c r="LP5" s="32" t="s">
        <v>34</v>
      </c>
      <c r="LQ5" s="32" t="s">
        <v>34</v>
      </c>
      <c r="LR5" s="32" t="s">
        <v>34</v>
      </c>
      <c r="LS5" s="32" t="s">
        <v>34</v>
      </c>
      <c r="LT5" s="32" t="s">
        <v>34</v>
      </c>
      <c r="LU5" s="32" t="s">
        <v>34</v>
      </c>
      <c r="LV5" s="32" t="s">
        <v>34</v>
      </c>
      <c r="LW5" s="32" t="s">
        <v>34</v>
      </c>
      <c r="LX5" s="32" t="s">
        <v>34</v>
      </c>
      <c r="LY5" s="32" t="s">
        <v>34</v>
      </c>
      <c r="LZ5" s="32" t="s">
        <v>34</v>
      </c>
      <c r="MA5" s="32" t="s">
        <v>34</v>
      </c>
      <c r="MB5" s="32" t="s">
        <v>34</v>
      </c>
      <c r="MC5" s="32" t="s">
        <v>34</v>
      </c>
      <c r="MD5" s="32" t="s">
        <v>34</v>
      </c>
      <c r="ME5" s="32" t="s">
        <v>34</v>
      </c>
      <c r="MF5" s="32" t="s">
        <v>34</v>
      </c>
      <c r="MG5" s="8" t="s">
        <v>34</v>
      </c>
      <c r="MH5" s="32" t="s">
        <v>34</v>
      </c>
      <c r="MI5" s="32" t="s">
        <v>34</v>
      </c>
      <c r="MJ5" s="32" t="s">
        <v>34</v>
      </c>
      <c r="MK5" s="32" t="s">
        <v>34</v>
      </c>
      <c r="ML5" s="32" t="s">
        <v>34</v>
      </c>
      <c r="MM5" s="32" t="s">
        <v>34</v>
      </c>
      <c r="MN5" s="32" t="s">
        <v>34</v>
      </c>
      <c r="MO5" s="32" t="s">
        <v>34</v>
      </c>
      <c r="MP5" s="32" t="s">
        <v>34</v>
      </c>
      <c r="MQ5" s="32" t="s">
        <v>34</v>
      </c>
      <c r="MR5" s="32" t="s">
        <v>34</v>
      </c>
      <c r="MS5" s="32" t="s">
        <v>34</v>
      </c>
      <c r="MT5" s="32" t="s">
        <v>34</v>
      </c>
      <c r="MU5" s="32" t="s">
        <v>34</v>
      </c>
      <c r="MV5" s="32" t="s">
        <v>34</v>
      </c>
      <c r="MW5" s="32" t="s">
        <v>34</v>
      </c>
      <c r="MX5" s="32" t="s">
        <v>34</v>
      </c>
      <c r="MY5" s="32" t="s">
        <v>34</v>
      </c>
      <c r="MZ5" s="32" t="s">
        <v>34</v>
      </c>
      <c r="NA5" s="32" t="s">
        <v>34</v>
      </c>
      <c r="NB5" s="17" t="s">
        <v>34</v>
      </c>
      <c r="NC5" s="69"/>
      <c r="ND5" s="32" t="s">
        <v>34</v>
      </c>
      <c r="NE5" s="32" t="s">
        <v>34</v>
      </c>
      <c r="NF5" s="32" t="s">
        <v>34</v>
      </c>
      <c r="NG5" s="32" t="s">
        <v>34</v>
      </c>
      <c r="NH5" s="32" t="s">
        <v>34</v>
      </c>
      <c r="NI5" s="32" t="s">
        <v>34</v>
      </c>
      <c r="NJ5" s="32" t="s">
        <v>34</v>
      </c>
      <c r="NK5" s="32" t="s">
        <v>34</v>
      </c>
      <c r="NL5" s="32" t="s">
        <v>34</v>
      </c>
      <c r="NM5" s="32" t="s">
        <v>34</v>
      </c>
      <c r="NN5" s="32" t="s">
        <v>34</v>
      </c>
      <c r="NO5" s="32" t="s">
        <v>34</v>
      </c>
      <c r="NP5" s="32" t="s">
        <v>34</v>
      </c>
      <c r="NQ5" s="32" t="s">
        <v>34</v>
      </c>
      <c r="NR5" s="32" t="s">
        <v>34</v>
      </c>
      <c r="NS5" s="32" t="s">
        <v>34</v>
      </c>
      <c r="NT5" s="32" t="s">
        <v>34</v>
      </c>
      <c r="NU5" s="32" t="s">
        <v>34</v>
      </c>
      <c r="NV5" s="8" t="s">
        <v>34</v>
      </c>
      <c r="NW5" s="32" t="s">
        <v>34</v>
      </c>
      <c r="NX5" s="32" t="s">
        <v>34</v>
      </c>
      <c r="NY5" s="32" t="s">
        <v>34</v>
      </c>
      <c r="NZ5" s="32" t="s">
        <v>34</v>
      </c>
      <c r="OA5" s="32" t="s">
        <v>34</v>
      </c>
      <c r="OB5" s="32" t="s">
        <v>34</v>
      </c>
      <c r="OC5" s="32" t="s">
        <v>34</v>
      </c>
      <c r="OD5" s="32" t="s">
        <v>34</v>
      </c>
      <c r="OE5" s="32" t="s">
        <v>34</v>
      </c>
      <c r="OF5" s="32" t="s">
        <v>34</v>
      </c>
      <c r="OG5" s="32" t="s">
        <v>34</v>
      </c>
      <c r="OH5" s="32" t="s">
        <v>34</v>
      </c>
      <c r="OI5" s="32" t="s">
        <v>34</v>
      </c>
      <c r="OJ5" s="32" t="s">
        <v>34</v>
      </c>
      <c r="OK5" s="32" t="s">
        <v>34</v>
      </c>
      <c r="OL5" s="32" t="s">
        <v>34</v>
      </c>
      <c r="OM5" s="32" t="s">
        <v>34</v>
      </c>
      <c r="ON5" s="69"/>
      <c r="OO5" s="32" t="s">
        <v>34</v>
      </c>
      <c r="OP5" s="32" t="s">
        <v>34</v>
      </c>
      <c r="OQ5" s="32" t="s">
        <v>34</v>
      </c>
      <c r="OR5" s="32" t="s">
        <v>34</v>
      </c>
      <c r="OS5" s="32" t="s">
        <v>34</v>
      </c>
      <c r="OT5" s="32" t="s">
        <v>34</v>
      </c>
      <c r="OU5" s="32" t="s">
        <v>34</v>
      </c>
      <c r="OV5" s="32" t="s">
        <v>34</v>
      </c>
      <c r="OW5" s="32" t="s">
        <v>34</v>
      </c>
      <c r="OX5" s="32" t="s">
        <v>34</v>
      </c>
      <c r="OY5" s="32" t="s">
        <v>34</v>
      </c>
    </row>
    <row r="6" spans="1:415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9"/>
      <c r="K6" s="32" t="s">
        <v>34</v>
      </c>
      <c r="L6" s="32" t="s">
        <v>34</v>
      </c>
      <c r="M6" s="32" t="s">
        <v>34</v>
      </c>
      <c r="N6" s="32" t="s">
        <v>34</v>
      </c>
      <c r="O6" s="32" t="s">
        <v>34</v>
      </c>
      <c r="P6" s="32" t="s">
        <v>34</v>
      </c>
      <c r="Q6" s="32" t="s">
        <v>34</v>
      </c>
      <c r="R6" s="32" t="s">
        <v>34</v>
      </c>
      <c r="S6" s="32" t="s">
        <v>34</v>
      </c>
      <c r="T6" s="32" t="s">
        <v>34</v>
      </c>
      <c r="U6" s="32" t="s">
        <v>34</v>
      </c>
      <c r="V6" s="32" t="s">
        <v>34</v>
      </c>
      <c r="W6" s="32" t="s">
        <v>34</v>
      </c>
      <c r="X6" s="32" t="s">
        <v>34</v>
      </c>
      <c r="Y6" s="32" t="s">
        <v>34</v>
      </c>
      <c r="Z6" s="32" t="s">
        <v>34</v>
      </c>
      <c r="AA6" s="32" t="s">
        <v>34</v>
      </c>
      <c r="AB6" s="69"/>
      <c r="AC6" s="32" t="s">
        <v>34</v>
      </c>
      <c r="AD6" s="32" t="s">
        <v>34</v>
      </c>
      <c r="AE6" s="32" t="s">
        <v>34</v>
      </c>
      <c r="AF6" s="32" t="s">
        <v>34</v>
      </c>
      <c r="AG6" s="32" t="s">
        <v>34</v>
      </c>
      <c r="AH6" s="32" t="s">
        <v>34</v>
      </c>
      <c r="AI6" s="32" t="s">
        <v>34</v>
      </c>
      <c r="AJ6" s="32" t="s">
        <v>34</v>
      </c>
      <c r="AK6" s="32" t="s">
        <v>34</v>
      </c>
      <c r="AL6" s="32" t="s">
        <v>34</v>
      </c>
      <c r="AM6" s="32" t="s">
        <v>34</v>
      </c>
      <c r="AN6" s="32" t="s">
        <v>34</v>
      </c>
      <c r="AO6" s="32" t="s">
        <v>34</v>
      </c>
      <c r="AP6" s="32" t="s">
        <v>34</v>
      </c>
      <c r="AQ6" s="32" t="s">
        <v>34</v>
      </c>
      <c r="AR6" s="32" t="s">
        <v>34</v>
      </c>
      <c r="AS6" s="32" t="s">
        <v>34</v>
      </c>
      <c r="AT6" s="32" t="s">
        <v>34</v>
      </c>
      <c r="AU6" s="32" t="s">
        <v>34</v>
      </c>
      <c r="AV6" s="32" t="s">
        <v>34</v>
      </c>
      <c r="AW6" s="69"/>
      <c r="AX6" s="32" t="s">
        <v>34</v>
      </c>
      <c r="AY6" s="32" t="s">
        <v>34</v>
      </c>
      <c r="AZ6" s="32" t="s">
        <v>34</v>
      </c>
      <c r="BA6" s="32" t="s">
        <v>34</v>
      </c>
      <c r="BB6" s="32" t="s">
        <v>34</v>
      </c>
      <c r="BC6" s="69"/>
      <c r="BD6" s="32" t="s">
        <v>34</v>
      </c>
      <c r="BE6" s="32" t="s">
        <v>34</v>
      </c>
      <c r="BF6" s="32" t="s">
        <v>34</v>
      </c>
      <c r="BG6" s="32" t="s">
        <v>34</v>
      </c>
      <c r="BH6" s="32" t="s">
        <v>34</v>
      </c>
      <c r="BI6" s="32" t="s">
        <v>34</v>
      </c>
      <c r="BJ6" s="32" t="s">
        <v>34</v>
      </c>
      <c r="BK6" s="32" t="s">
        <v>34</v>
      </c>
      <c r="BL6" s="32" t="s">
        <v>34</v>
      </c>
      <c r="BM6" s="32" t="s">
        <v>34</v>
      </c>
      <c r="BN6" s="32" t="s">
        <v>34</v>
      </c>
      <c r="BO6" s="32" t="s">
        <v>34</v>
      </c>
      <c r="BP6" s="32" t="s">
        <v>34</v>
      </c>
      <c r="BQ6" s="32" t="s">
        <v>34</v>
      </c>
      <c r="BR6" s="32" t="s">
        <v>34</v>
      </c>
      <c r="BS6" s="32" t="s">
        <v>34</v>
      </c>
      <c r="BT6" s="32" t="s">
        <v>34</v>
      </c>
      <c r="BU6" s="32" t="s">
        <v>34</v>
      </c>
      <c r="BV6" s="8" t="s">
        <v>34</v>
      </c>
      <c r="BW6" s="32" t="s">
        <v>34</v>
      </c>
      <c r="BX6" s="32" t="s">
        <v>34</v>
      </c>
      <c r="BY6" s="32" t="s">
        <v>34</v>
      </c>
      <c r="BZ6" s="32" t="s">
        <v>34</v>
      </c>
      <c r="CA6" s="32" t="s">
        <v>34</v>
      </c>
      <c r="CB6" s="32" t="s">
        <v>34</v>
      </c>
      <c r="CC6" s="32" t="s">
        <v>34</v>
      </c>
      <c r="CD6" s="32" t="s">
        <v>34</v>
      </c>
      <c r="CE6" s="32" t="s">
        <v>34</v>
      </c>
      <c r="CF6" s="32" t="s">
        <v>34</v>
      </c>
      <c r="CG6" s="32" t="s">
        <v>34</v>
      </c>
      <c r="CH6" s="32" t="s">
        <v>34</v>
      </c>
      <c r="CI6" s="32" t="s">
        <v>34</v>
      </c>
      <c r="CJ6" s="32" t="s">
        <v>34</v>
      </c>
      <c r="CK6" s="32" t="s">
        <v>34</v>
      </c>
      <c r="CL6" s="32" t="s">
        <v>34</v>
      </c>
      <c r="CM6" s="32" t="s">
        <v>34</v>
      </c>
      <c r="CN6" s="32" t="s">
        <v>34</v>
      </c>
      <c r="CO6" s="32" t="s">
        <v>34</v>
      </c>
      <c r="CP6" s="32" t="s">
        <v>34</v>
      </c>
      <c r="CQ6" s="17" t="s">
        <v>34</v>
      </c>
      <c r="CR6" s="69"/>
      <c r="CS6" s="32" t="s">
        <v>34</v>
      </c>
      <c r="CT6" s="32" t="s">
        <v>34</v>
      </c>
      <c r="CU6" s="32" t="s">
        <v>34</v>
      </c>
      <c r="CV6" s="32" t="s">
        <v>34</v>
      </c>
      <c r="CW6" s="32" t="s">
        <v>34</v>
      </c>
      <c r="CX6" s="32" t="s">
        <v>34</v>
      </c>
      <c r="CY6" s="32" t="s">
        <v>34</v>
      </c>
      <c r="CZ6" s="32" t="s">
        <v>34</v>
      </c>
      <c r="DA6" s="32" t="s">
        <v>34</v>
      </c>
      <c r="DB6" s="32" t="s">
        <v>34</v>
      </c>
      <c r="DC6" s="32" t="s">
        <v>34</v>
      </c>
      <c r="DD6" s="32" t="s">
        <v>34</v>
      </c>
      <c r="DE6" s="32" t="s">
        <v>34</v>
      </c>
      <c r="DF6" s="32" t="s">
        <v>34</v>
      </c>
      <c r="DG6" s="32" t="s">
        <v>34</v>
      </c>
      <c r="DH6" s="32" t="s">
        <v>34</v>
      </c>
      <c r="DI6" s="32" t="s">
        <v>34</v>
      </c>
      <c r="DJ6" s="32" t="s">
        <v>34</v>
      </c>
      <c r="DK6" s="8" t="s">
        <v>34</v>
      </c>
      <c r="DL6" s="32" t="s">
        <v>34</v>
      </c>
      <c r="DM6" s="32" t="s">
        <v>34</v>
      </c>
      <c r="DN6" s="32" t="s">
        <v>34</v>
      </c>
      <c r="DO6" s="32" t="s">
        <v>34</v>
      </c>
      <c r="DP6" s="32" t="s">
        <v>34</v>
      </c>
      <c r="DQ6" s="32" t="s">
        <v>34</v>
      </c>
      <c r="DR6" s="32" t="s">
        <v>34</v>
      </c>
      <c r="DS6" s="32" t="s">
        <v>34</v>
      </c>
      <c r="DT6" s="32" t="s">
        <v>34</v>
      </c>
      <c r="DU6" s="32" t="s">
        <v>34</v>
      </c>
      <c r="DV6" s="32" t="s">
        <v>34</v>
      </c>
      <c r="DW6" s="32" t="s">
        <v>34</v>
      </c>
      <c r="DX6" s="32" t="s">
        <v>34</v>
      </c>
      <c r="DY6" s="32" t="s">
        <v>34</v>
      </c>
      <c r="DZ6" s="32" t="s">
        <v>34</v>
      </c>
      <c r="EA6" s="32" t="s">
        <v>34</v>
      </c>
      <c r="EB6" s="32" t="s">
        <v>34</v>
      </c>
      <c r="EC6" s="69"/>
      <c r="ED6" s="32" t="s">
        <v>34</v>
      </c>
      <c r="EE6" s="32" t="s">
        <v>34</v>
      </c>
      <c r="EF6" s="32" t="s">
        <v>34</v>
      </c>
      <c r="EG6" s="32" t="s">
        <v>34</v>
      </c>
      <c r="EH6" s="32" t="s">
        <v>34</v>
      </c>
      <c r="EI6" s="32" t="s">
        <v>34</v>
      </c>
      <c r="EJ6" s="32" t="s">
        <v>34</v>
      </c>
      <c r="EK6" s="32" t="s">
        <v>34</v>
      </c>
      <c r="EL6" s="32" t="s">
        <v>34</v>
      </c>
      <c r="EM6" s="32" t="s">
        <v>34</v>
      </c>
      <c r="EN6" s="32" t="s">
        <v>34</v>
      </c>
      <c r="EO6" s="69"/>
      <c r="EP6" s="32" t="s">
        <v>34</v>
      </c>
      <c r="EQ6" s="32" t="s">
        <v>34</v>
      </c>
      <c r="ER6" s="32" t="s">
        <v>34</v>
      </c>
      <c r="ES6" s="32" t="s">
        <v>34</v>
      </c>
      <c r="ET6" s="32" t="s">
        <v>34</v>
      </c>
      <c r="EU6" s="32" t="s">
        <v>34</v>
      </c>
      <c r="EV6" s="32" t="s">
        <v>34</v>
      </c>
      <c r="EW6" s="32" t="s">
        <v>34</v>
      </c>
      <c r="EX6" s="32" t="s">
        <v>34</v>
      </c>
      <c r="EY6" s="32" t="s">
        <v>34</v>
      </c>
      <c r="EZ6" s="32" t="s">
        <v>34</v>
      </c>
      <c r="FA6" s="32" t="s">
        <v>34</v>
      </c>
      <c r="FB6" s="32" t="s">
        <v>34</v>
      </c>
      <c r="FC6" s="32" t="s">
        <v>34</v>
      </c>
      <c r="FD6" s="32" t="s">
        <v>34</v>
      </c>
      <c r="FE6" s="32" t="s">
        <v>34</v>
      </c>
      <c r="FF6" s="32" t="s">
        <v>34</v>
      </c>
      <c r="FG6" s="69"/>
      <c r="FH6" s="32" t="s">
        <v>34</v>
      </c>
      <c r="FI6" s="32" t="s">
        <v>34</v>
      </c>
      <c r="FJ6" s="32" t="s">
        <v>34</v>
      </c>
      <c r="FK6" s="32" t="s">
        <v>34</v>
      </c>
      <c r="FL6" s="32" t="s">
        <v>34</v>
      </c>
      <c r="FM6" s="32" t="s">
        <v>34</v>
      </c>
      <c r="FN6" s="32" t="s">
        <v>34</v>
      </c>
      <c r="FO6" s="32" t="s">
        <v>34</v>
      </c>
      <c r="FP6" s="32" t="s">
        <v>34</v>
      </c>
      <c r="FQ6" s="32" t="s">
        <v>34</v>
      </c>
      <c r="FR6" s="32" t="s">
        <v>34</v>
      </c>
      <c r="FS6" s="32" t="s">
        <v>34</v>
      </c>
      <c r="FT6" s="32" t="s">
        <v>34</v>
      </c>
      <c r="FU6" s="32" t="s">
        <v>34</v>
      </c>
      <c r="FV6" s="32" t="s">
        <v>34</v>
      </c>
      <c r="FW6" s="32" t="s">
        <v>34</v>
      </c>
      <c r="FX6" s="32" t="s">
        <v>34</v>
      </c>
      <c r="FY6" s="32" t="s">
        <v>34</v>
      </c>
      <c r="FZ6" s="32" t="s">
        <v>34</v>
      </c>
      <c r="GA6" s="32" t="s">
        <v>34</v>
      </c>
      <c r="GB6" s="69"/>
      <c r="GC6" s="32" t="s">
        <v>34</v>
      </c>
      <c r="GD6" s="32" t="s">
        <v>34</v>
      </c>
      <c r="GE6" s="32" t="s">
        <v>34</v>
      </c>
      <c r="GF6" s="32" t="s">
        <v>34</v>
      </c>
      <c r="GG6" s="32" t="s">
        <v>34</v>
      </c>
      <c r="GH6" s="69"/>
      <c r="GI6" s="32" t="s">
        <v>34</v>
      </c>
      <c r="GJ6" s="32" t="s">
        <v>34</v>
      </c>
      <c r="GK6" s="32" t="s">
        <v>34</v>
      </c>
      <c r="GL6" s="32" t="s">
        <v>34</v>
      </c>
      <c r="GM6" s="32" t="s">
        <v>34</v>
      </c>
      <c r="GN6" s="32" t="s">
        <v>34</v>
      </c>
      <c r="GO6" s="32" t="s">
        <v>34</v>
      </c>
      <c r="GP6" s="32" t="s">
        <v>34</v>
      </c>
      <c r="GQ6" s="32" t="s">
        <v>34</v>
      </c>
      <c r="GR6" s="32" t="s">
        <v>34</v>
      </c>
      <c r="GS6" s="32" t="s">
        <v>34</v>
      </c>
      <c r="GT6" s="32" t="s">
        <v>34</v>
      </c>
      <c r="GU6" s="32" t="s">
        <v>34</v>
      </c>
      <c r="GV6" s="32" t="s">
        <v>34</v>
      </c>
      <c r="GW6" s="32" t="s">
        <v>34</v>
      </c>
      <c r="GX6" s="32" t="s">
        <v>34</v>
      </c>
      <c r="GY6" s="32" t="s">
        <v>34</v>
      </c>
      <c r="GZ6" s="32" t="s">
        <v>34</v>
      </c>
      <c r="HA6" s="8" t="s">
        <v>34</v>
      </c>
      <c r="HB6" s="32" t="s">
        <v>34</v>
      </c>
      <c r="HC6" s="32" t="s">
        <v>34</v>
      </c>
      <c r="HD6" s="32" t="s">
        <v>34</v>
      </c>
      <c r="HE6" s="32" t="s">
        <v>34</v>
      </c>
      <c r="HF6" s="32" t="s">
        <v>34</v>
      </c>
      <c r="HG6" s="32" t="s">
        <v>34</v>
      </c>
      <c r="HH6" s="32" t="s">
        <v>34</v>
      </c>
      <c r="HI6" s="32" t="s">
        <v>34</v>
      </c>
      <c r="HJ6" s="32" t="s">
        <v>34</v>
      </c>
      <c r="HK6" s="32" t="s">
        <v>34</v>
      </c>
      <c r="HL6" s="32" t="s">
        <v>34</v>
      </c>
      <c r="HM6" s="32" t="s">
        <v>34</v>
      </c>
      <c r="HN6" s="32" t="s">
        <v>34</v>
      </c>
      <c r="HO6" s="32" t="s">
        <v>34</v>
      </c>
      <c r="HP6" s="32" t="s">
        <v>34</v>
      </c>
      <c r="HQ6" s="32" t="s">
        <v>34</v>
      </c>
      <c r="HR6" s="32" t="s">
        <v>34</v>
      </c>
      <c r="HS6" s="32" t="s">
        <v>34</v>
      </c>
      <c r="HT6" s="32" t="s">
        <v>34</v>
      </c>
      <c r="HU6" s="32" t="s">
        <v>34</v>
      </c>
      <c r="HV6" s="32" t="s">
        <v>34</v>
      </c>
      <c r="HW6" s="17" t="s">
        <v>34</v>
      </c>
      <c r="HX6" s="69"/>
      <c r="HY6" s="32" t="s">
        <v>34</v>
      </c>
      <c r="HZ6" s="32" t="s">
        <v>34</v>
      </c>
      <c r="IA6" s="32" t="s">
        <v>34</v>
      </c>
      <c r="IB6" s="32" t="s">
        <v>34</v>
      </c>
      <c r="IC6" s="32" t="s">
        <v>34</v>
      </c>
      <c r="ID6" s="32" t="s">
        <v>34</v>
      </c>
      <c r="IE6" s="32" t="s">
        <v>34</v>
      </c>
      <c r="IF6" s="32" t="s">
        <v>34</v>
      </c>
      <c r="IG6" s="32" t="s">
        <v>34</v>
      </c>
      <c r="IH6" s="32" t="s">
        <v>34</v>
      </c>
      <c r="II6" s="32" t="s">
        <v>34</v>
      </c>
      <c r="IJ6" s="32" t="s">
        <v>34</v>
      </c>
      <c r="IK6" s="32" t="s">
        <v>34</v>
      </c>
      <c r="IL6" s="32" t="s">
        <v>34</v>
      </c>
      <c r="IM6" s="32" t="s">
        <v>34</v>
      </c>
      <c r="IN6" s="32" t="s">
        <v>34</v>
      </c>
      <c r="IO6" s="32" t="s">
        <v>34</v>
      </c>
      <c r="IP6" s="32" t="s">
        <v>34</v>
      </c>
      <c r="IQ6" s="8" t="s">
        <v>34</v>
      </c>
      <c r="IR6" s="32" t="s">
        <v>34</v>
      </c>
      <c r="IS6" s="32" t="s">
        <v>34</v>
      </c>
      <c r="IT6" s="32" t="s">
        <v>34</v>
      </c>
      <c r="IU6" s="32" t="s">
        <v>34</v>
      </c>
      <c r="IV6" s="32" t="s">
        <v>34</v>
      </c>
      <c r="IW6" s="32" t="s">
        <v>34</v>
      </c>
      <c r="IX6" s="32" t="s">
        <v>34</v>
      </c>
      <c r="IY6" s="32" t="s">
        <v>34</v>
      </c>
      <c r="IZ6" s="32" t="s">
        <v>34</v>
      </c>
      <c r="JA6" s="32" t="s">
        <v>34</v>
      </c>
      <c r="JB6" s="32" t="s">
        <v>34</v>
      </c>
      <c r="JC6" s="32" t="s">
        <v>34</v>
      </c>
      <c r="JD6" s="32" t="s">
        <v>34</v>
      </c>
      <c r="JE6" s="32" t="s">
        <v>34</v>
      </c>
      <c r="JF6" s="32" t="s">
        <v>34</v>
      </c>
      <c r="JG6" s="32" t="s">
        <v>34</v>
      </c>
      <c r="JH6" s="32" t="s">
        <v>34</v>
      </c>
      <c r="JI6" s="69"/>
      <c r="JJ6" s="32" t="s">
        <v>34</v>
      </c>
      <c r="JK6" s="32" t="s">
        <v>34</v>
      </c>
      <c r="JL6" s="32" t="s">
        <v>34</v>
      </c>
      <c r="JM6" s="32" t="s">
        <v>34</v>
      </c>
      <c r="JN6" s="32" t="s">
        <v>34</v>
      </c>
      <c r="JO6" s="32" t="s">
        <v>34</v>
      </c>
      <c r="JP6" s="32" t="s">
        <v>34</v>
      </c>
      <c r="JQ6" s="32" t="s">
        <v>34</v>
      </c>
      <c r="JR6" s="32" t="s">
        <v>34</v>
      </c>
      <c r="JS6" s="32" t="s">
        <v>34</v>
      </c>
      <c r="JT6" s="32" t="s">
        <v>34</v>
      </c>
      <c r="JU6" s="69"/>
      <c r="JV6" s="32" t="s">
        <v>34</v>
      </c>
      <c r="JW6" s="32" t="s">
        <v>34</v>
      </c>
      <c r="JX6" s="32" t="s">
        <v>34</v>
      </c>
      <c r="JY6" s="32" t="s">
        <v>34</v>
      </c>
      <c r="JZ6" s="32" t="s">
        <v>34</v>
      </c>
      <c r="KA6" s="32" t="s">
        <v>34</v>
      </c>
      <c r="KB6" s="32" t="s">
        <v>34</v>
      </c>
      <c r="KC6" s="32" t="s">
        <v>34</v>
      </c>
      <c r="KD6" s="32" t="s">
        <v>34</v>
      </c>
      <c r="KE6" s="32" t="s">
        <v>34</v>
      </c>
      <c r="KF6" s="32" t="s">
        <v>34</v>
      </c>
      <c r="KG6" s="32" t="s">
        <v>34</v>
      </c>
      <c r="KH6" s="32" t="s">
        <v>34</v>
      </c>
      <c r="KI6" s="32" t="s">
        <v>34</v>
      </c>
      <c r="KJ6" s="32" t="s">
        <v>34</v>
      </c>
      <c r="KK6" s="32" t="s">
        <v>34</v>
      </c>
      <c r="KL6" s="32" t="s">
        <v>34</v>
      </c>
      <c r="KM6" s="69"/>
      <c r="KN6" s="32" t="s">
        <v>34</v>
      </c>
      <c r="KO6" s="32" t="s">
        <v>34</v>
      </c>
      <c r="KP6" s="32" t="s">
        <v>34</v>
      </c>
      <c r="KQ6" s="32" t="s">
        <v>34</v>
      </c>
      <c r="KR6" s="32" t="s">
        <v>34</v>
      </c>
      <c r="KS6" s="32" t="s">
        <v>34</v>
      </c>
      <c r="KT6" s="32" t="s">
        <v>34</v>
      </c>
      <c r="KU6" s="32" t="s">
        <v>34</v>
      </c>
      <c r="KV6" s="32" t="s">
        <v>34</v>
      </c>
      <c r="KW6" s="32" t="s">
        <v>34</v>
      </c>
      <c r="KX6" s="32" t="s">
        <v>34</v>
      </c>
      <c r="KY6" s="32" t="s">
        <v>34</v>
      </c>
      <c r="KZ6" s="32" t="s">
        <v>34</v>
      </c>
      <c r="LA6" s="32" t="s">
        <v>34</v>
      </c>
      <c r="LB6" s="32" t="s">
        <v>34</v>
      </c>
      <c r="LC6" s="32" t="s">
        <v>34</v>
      </c>
      <c r="LD6" s="32" t="s">
        <v>34</v>
      </c>
      <c r="LE6" s="32" t="s">
        <v>34</v>
      </c>
      <c r="LF6" s="32" t="s">
        <v>34</v>
      </c>
      <c r="LG6" s="32" t="s">
        <v>34</v>
      </c>
      <c r="LH6" s="69"/>
      <c r="LI6" s="32" t="s">
        <v>34</v>
      </c>
      <c r="LJ6" s="32" t="s">
        <v>34</v>
      </c>
      <c r="LK6" s="32" t="s">
        <v>34</v>
      </c>
      <c r="LL6" s="32" t="s">
        <v>34</v>
      </c>
      <c r="LM6" s="32" t="s">
        <v>34</v>
      </c>
      <c r="LN6" s="69"/>
      <c r="LO6" s="32" t="s">
        <v>34</v>
      </c>
      <c r="LP6" s="32" t="s">
        <v>34</v>
      </c>
      <c r="LQ6" s="32" t="s">
        <v>34</v>
      </c>
      <c r="LR6" s="32" t="s">
        <v>34</v>
      </c>
      <c r="LS6" s="32" t="s">
        <v>34</v>
      </c>
      <c r="LT6" s="32" t="s">
        <v>34</v>
      </c>
      <c r="LU6" s="32" t="s">
        <v>34</v>
      </c>
      <c r="LV6" s="32" t="s">
        <v>34</v>
      </c>
      <c r="LW6" s="32" t="s">
        <v>34</v>
      </c>
      <c r="LX6" s="32" t="s">
        <v>34</v>
      </c>
      <c r="LY6" s="32" t="s">
        <v>34</v>
      </c>
      <c r="LZ6" s="32" t="s">
        <v>34</v>
      </c>
      <c r="MA6" s="32" t="s">
        <v>34</v>
      </c>
      <c r="MB6" s="32" t="s">
        <v>34</v>
      </c>
      <c r="MC6" s="32" t="s">
        <v>34</v>
      </c>
      <c r="MD6" s="32" t="s">
        <v>34</v>
      </c>
      <c r="ME6" s="32" t="s">
        <v>34</v>
      </c>
      <c r="MF6" s="32" t="s">
        <v>34</v>
      </c>
      <c r="MG6" s="8" t="s">
        <v>34</v>
      </c>
      <c r="MH6" s="32" t="s">
        <v>34</v>
      </c>
      <c r="MI6" s="32" t="s">
        <v>34</v>
      </c>
      <c r="MJ6" s="32" t="s">
        <v>34</v>
      </c>
      <c r="MK6" s="32" t="s">
        <v>34</v>
      </c>
      <c r="ML6" s="32" t="s">
        <v>34</v>
      </c>
      <c r="MM6" s="32" t="s">
        <v>34</v>
      </c>
      <c r="MN6" s="32" t="s">
        <v>34</v>
      </c>
      <c r="MO6" s="32" t="s">
        <v>34</v>
      </c>
      <c r="MP6" s="32" t="s">
        <v>34</v>
      </c>
      <c r="MQ6" s="32" t="s">
        <v>34</v>
      </c>
      <c r="MR6" s="32" t="s">
        <v>34</v>
      </c>
      <c r="MS6" s="32" t="s">
        <v>34</v>
      </c>
      <c r="MT6" s="32" t="s">
        <v>34</v>
      </c>
      <c r="MU6" s="32" t="s">
        <v>34</v>
      </c>
      <c r="MV6" s="32" t="s">
        <v>34</v>
      </c>
      <c r="MW6" s="32" t="s">
        <v>34</v>
      </c>
      <c r="MX6" s="32" t="s">
        <v>34</v>
      </c>
      <c r="MY6" s="32" t="s">
        <v>34</v>
      </c>
      <c r="MZ6" s="32" t="s">
        <v>34</v>
      </c>
      <c r="NA6" s="32" t="s">
        <v>34</v>
      </c>
      <c r="NB6" s="17" t="s">
        <v>34</v>
      </c>
      <c r="NC6" s="69"/>
      <c r="ND6" s="32" t="s">
        <v>34</v>
      </c>
      <c r="NE6" s="32" t="s">
        <v>34</v>
      </c>
      <c r="NF6" s="32" t="s">
        <v>34</v>
      </c>
      <c r="NG6" s="32" t="s">
        <v>34</v>
      </c>
      <c r="NH6" s="32" t="s">
        <v>34</v>
      </c>
      <c r="NI6" s="32" t="s">
        <v>34</v>
      </c>
      <c r="NJ6" s="32" t="s">
        <v>34</v>
      </c>
      <c r="NK6" s="32" t="s">
        <v>34</v>
      </c>
      <c r="NL6" s="32" t="s">
        <v>34</v>
      </c>
      <c r="NM6" s="32" t="s">
        <v>34</v>
      </c>
      <c r="NN6" s="32" t="s">
        <v>34</v>
      </c>
      <c r="NO6" s="32" t="s">
        <v>34</v>
      </c>
      <c r="NP6" s="32" t="s">
        <v>34</v>
      </c>
      <c r="NQ6" s="32" t="s">
        <v>34</v>
      </c>
      <c r="NR6" s="32" t="s">
        <v>34</v>
      </c>
      <c r="NS6" s="32" t="s">
        <v>34</v>
      </c>
      <c r="NT6" s="32" t="s">
        <v>34</v>
      </c>
      <c r="NU6" s="32" t="s">
        <v>34</v>
      </c>
      <c r="NV6" s="8" t="s">
        <v>34</v>
      </c>
      <c r="NW6" s="32" t="s">
        <v>34</v>
      </c>
      <c r="NX6" s="32" t="s">
        <v>34</v>
      </c>
      <c r="NY6" s="32" t="s">
        <v>34</v>
      </c>
      <c r="NZ6" s="32" t="s">
        <v>34</v>
      </c>
      <c r="OA6" s="32" t="s">
        <v>34</v>
      </c>
      <c r="OB6" s="32" t="s">
        <v>34</v>
      </c>
      <c r="OC6" s="32" t="s">
        <v>34</v>
      </c>
      <c r="OD6" s="32" t="s">
        <v>34</v>
      </c>
      <c r="OE6" s="32" t="s">
        <v>34</v>
      </c>
      <c r="OF6" s="32" t="s">
        <v>34</v>
      </c>
      <c r="OG6" s="32" t="s">
        <v>34</v>
      </c>
      <c r="OH6" s="32" t="s">
        <v>34</v>
      </c>
      <c r="OI6" s="32" t="s">
        <v>34</v>
      </c>
      <c r="OJ6" s="32" t="s">
        <v>34</v>
      </c>
      <c r="OK6" s="32" t="s">
        <v>34</v>
      </c>
      <c r="OL6" s="32" t="s">
        <v>34</v>
      </c>
      <c r="OM6" s="32" t="s">
        <v>34</v>
      </c>
      <c r="ON6" s="69"/>
      <c r="OO6" s="32" t="s">
        <v>34</v>
      </c>
      <c r="OP6" s="32" t="s">
        <v>34</v>
      </c>
      <c r="OQ6" s="32" t="s">
        <v>34</v>
      </c>
      <c r="OR6" s="32" t="s">
        <v>34</v>
      </c>
      <c r="OS6" s="32" t="s">
        <v>34</v>
      </c>
      <c r="OT6" s="32" t="s">
        <v>34</v>
      </c>
      <c r="OU6" s="32" t="s">
        <v>34</v>
      </c>
      <c r="OV6" s="32" t="s">
        <v>34</v>
      </c>
      <c r="OW6" s="32" t="s">
        <v>34</v>
      </c>
      <c r="OX6" s="32" t="s">
        <v>34</v>
      </c>
      <c r="OY6" s="32" t="s">
        <v>34</v>
      </c>
    </row>
    <row r="7" spans="1:415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9"/>
      <c r="K7" s="32" t="s">
        <v>34</v>
      </c>
      <c r="L7" s="32" t="s">
        <v>34</v>
      </c>
      <c r="M7" s="32" t="s">
        <v>34</v>
      </c>
      <c r="N7" s="32" t="s">
        <v>34</v>
      </c>
      <c r="O7" s="32" t="s">
        <v>34</v>
      </c>
      <c r="P7" s="32" t="s">
        <v>34</v>
      </c>
      <c r="Q7" s="32" t="s">
        <v>34</v>
      </c>
      <c r="R7" s="32" t="s">
        <v>34</v>
      </c>
      <c r="S7" s="32" t="s">
        <v>34</v>
      </c>
      <c r="T7" s="32" t="s">
        <v>34</v>
      </c>
      <c r="U7" s="32" t="s">
        <v>34</v>
      </c>
      <c r="V7" s="32" t="s">
        <v>34</v>
      </c>
      <c r="W7" s="32" t="s">
        <v>34</v>
      </c>
      <c r="X7" s="32" t="s">
        <v>34</v>
      </c>
      <c r="Y7" s="32" t="s">
        <v>34</v>
      </c>
      <c r="Z7" s="32" t="s">
        <v>34</v>
      </c>
      <c r="AA7" s="32" t="s">
        <v>34</v>
      </c>
      <c r="AB7" s="69"/>
      <c r="AC7" s="32" t="s">
        <v>34</v>
      </c>
      <c r="AD7" s="32" t="s">
        <v>34</v>
      </c>
      <c r="AE7" s="32" t="s">
        <v>34</v>
      </c>
      <c r="AF7" s="32" t="s">
        <v>34</v>
      </c>
      <c r="AG7" s="32" t="s">
        <v>34</v>
      </c>
      <c r="AH7" s="32" t="s">
        <v>34</v>
      </c>
      <c r="AI7" s="32" t="s">
        <v>34</v>
      </c>
      <c r="AJ7" s="32" t="s">
        <v>34</v>
      </c>
      <c r="AK7" s="32" t="s">
        <v>34</v>
      </c>
      <c r="AL7" s="32" t="s">
        <v>34</v>
      </c>
      <c r="AM7" s="32" t="s">
        <v>34</v>
      </c>
      <c r="AN7" s="32" t="s">
        <v>34</v>
      </c>
      <c r="AO7" s="32" t="s">
        <v>34</v>
      </c>
      <c r="AP7" s="32" t="s">
        <v>34</v>
      </c>
      <c r="AQ7" s="32" t="s">
        <v>34</v>
      </c>
      <c r="AR7" s="32" t="s">
        <v>34</v>
      </c>
      <c r="AS7" s="32" t="s">
        <v>34</v>
      </c>
      <c r="AT7" s="32" t="s">
        <v>34</v>
      </c>
      <c r="AU7" s="32" t="s">
        <v>34</v>
      </c>
      <c r="AV7" s="32" t="s">
        <v>34</v>
      </c>
      <c r="AW7" s="69"/>
      <c r="AX7" s="32" t="s">
        <v>34</v>
      </c>
      <c r="AY7" s="32" t="s">
        <v>34</v>
      </c>
      <c r="AZ7" s="32" t="s">
        <v>34</v>
      </c>
      <c r="BA7" s="32" t="s">
        <v>34</v>
      </c>
      <c r="BB7" s="32" t="s">
        <v>34</v>
      </c>
      <c r="BC7" s="69"/>
      <c r="BD7" s="32" t="s">
        <v>34</v>
      </c>
      <c r="BE7" s="32" t="s">
        <v>34</v>
      </c>
      <c r="BF7" s="32" t="s">
        <v>34</v>
      </c>
      <c r="BG7" s="32" t="s">
        <v>34</v>
      </c>
      <c r="BH7" s="32" t="s">
        <v>34</v>
      </c>
      <c r="BI7" s="32" t="s">
        <v>34</v>
      </c>
      <c r="BJ7" s="32" t="s">
        <v>34</v>
      </c>
      <c r="BK7" s="32" t="s">
        <v>34</v>
      </c>
      <c r="BL7" s="32" t="s">
        <v>34</v>
      </c>
      <c r="BM7" s="32" t="s">
        <v>34</v>
      </c>
      <c r="BN7" s="32" t="s">
        <v>34</v>
      </c>
      <c r="BO7" s="32" t="s">
        <v>34</v>
      </c>
      <c r="BP7" s="32" t="s">
        <v>34</v>
      </c>
      <c r="BQ7" s="32" t="s">
        <v>34</v>
      </c>
      <c r="BR7" s="32" t="s">
        <v>34</v>
      </c>
      <c r="BS7" s="32" t="s">
        <v>34</v>
      </c>
      <c r="BT7" s="32" t="s">
        <v>34</v>
      </c>
      <c r="BU7" s="32" t="s">
        <v>34</v>
      </c>
      <c r="BV7" s="8" t="s">
        <v>34</v>
      </c>
      <c r="BW7" s="32" t="s">
        <v>34</v>
      </c>
      <c r="BX7" s="32" t="s">
        <v>34</v>
      </c>
      <c r="BY7" s="32" t="s">
        <v>34</v>
      </c>
      <c r="BZ7" s="32" t="s">
        <v>34</v>
      </c>
      <c r="CA7" s="32" t="s">
        <v>34</v>
      </c>
      <c r="CB7" s="32" t="s">
        <v>34</v>
      </c>
      <c r="CC7" s="32" t="s">
        <v>34</v>
      </c>
      <c r="CD7" s="32" t="s">
        <v>34</v>
      </c>
      <c r="CE7" s="32" t="s">
        <v>34</v>
      </c>
      <c r="CF7" s="32" t="s">
        <v>34</v>
      </c>
      <c r="CG7" s="32" t="s">
        <v>34</v>
      </c>
      <c r="CH7" s="32" t="s">
        <v>34</v>
      </c>
      <c r="CI7" s="32" t="s">
        <v>34</v>
      </c>
      <c r="CJ7" s="32" t="s">
        <v>34</v>
      </c>
      <c r="CK7" s="32" t="s">
        <v>34</v>
      </c>
      <c r="CL7" s="32" t="s">
        <v>34</v>
      </c>
      <c r="CM7" s="32" t="s">
        <v>34</v>
      </c>
      <c r="CN7" s="32" t="s">
        <v>34</v>
      </c>
      <c r="CO7" s="32" t="s">
        <v>34</v>
      </c>
      <c r="CP7" s="32" t="s">
        <v>34</v>
      </c>
      <c r="CQ7" s="17" t="s">
        <v>34</v>
      </c>
      <c r="CR7" s="69"/>
      <c r="CS7" s="32" t="s">
        <v>34</v>
      </c>
      <c r="CT7" s="32" t="s">
        <v>34</v>
      </c>
      <c r="CU7" s="32" t="s">
        <v>34</v>
      </c>
      <c r="CV7" s="32" t="s">
        <v>34</v>
      </c>
      <c r="CW7" s="32" t="s">
        <v>34</v>
      </c>
      <c r="CX7" s="32" t="s">
        <v>34</v>
      </c>
      <c r="CY7" s="32" t="s">
        <v>34</v>
      </c>
      <c r="CZ7" s="32" t="s">
        <v>34</v>
      </c>
      <c r="DA7" s="32" t="s">
        <v>34</v>
      </c>
      <c r="DB7" s="32" t="s">
        <v>34</v>
      </c>
      <c r="DC7" s="32" t="s">
        <v>34</v>
      </c>
      <c r="DD7" s="32" t="s">
        <v>34</v>
      </c>
      <c r="DE7" s="32" t="s">
        <v>34</v>
      </c>
      <c r="DF7" s="32" t="s">
        <v>34</v>
      </c>
      <c r="DG7" s="32" t="s">
        <v>34</v>
      </c>
      <c r="DH7" s="32" t="s">
        <v>34</v>
      </c>
      <c r="DI7" s="32" t="s">
        <v>34</v>
      </c>
      <c r="DJ7" s="32" t="s">
        <v>34</v>
      </c>
      <c r="DK7" s="8" t="s">
        <v>34</v>
      </c>
      <c r="DL7" s="32" t="s">
        <v>34</v>
      </c>
      <c r="DM7" s="32" t="s">
        <v>34</v>
      </c>
      <c r="DN7" s="32" t="s">
        <v>34</v>
      </c>
      <c r="DO7" s="32" t="s">
        <v>34</v>
      </c>
      <c r="DP7" s="32" t="s">
        <v>34</v>
      </c>
      <c r="DQ7" s="32" t="s">
        <v>34</v>
      </c>
      <c r="DR7" s="32" t="s">
        <v>34</v>
      </c>
      <c r="DS7" s="32" t="s">
        <v>34</v>
      </c>
      <c r="DT7" s="32" t="s">
        <v>34</v>
      </c>
      <c r="DU7" s="32" t="s">
        <v>34</v>
      </c>
      <c r="DV7" s="32" t="s">
        <v>34</v>
      </c>
      <c r="DW7" s="32" t="s">
        <v>34</v>
      </c>
      <c r="DX7" s="32" t="s">
        <v>34</v>
      </c>
      <c r="DY7" s="32" t="s">
        <v>34</v>
      </c>
      <c r="DZ7" s="32" t="s">
        <v>34</v>
      </c>
      <c r="EA7" s="32" t="s">
        <v>34</v>
      </c>
      <c r="EB7" s="32" t="s">
        <v>34</v>
      </c>
      <c r="EC7" s="69"/>
      <c r="ED7" s="32" t="s">
        <v>34</v>
      </c>
      <c r="EE7" s="32" t="s">
        <v>34</v>
      </c>
      <c r="EF7" s="32" t="s">
        <v>34</v>
      </c>
      <c r="EG7" s="32" t="s">
        <v>34</v>
      </c>
      <c r="EH7" s="32" t="s">
        <v>34</v>
      </c>
      <c r="EI7" s="32" t="s">
        <v>34</v>
      </c>
      <c r="EJ7" s="32" t="s">
        <v>34</v>
      </c>
      <c r="EK7" s="32" t="s">
        <v>34</v>
      </c>
      <c r="EL7" s="32" t="s">
        <v>34</v>
      </c>
      <c r="EM7" s="32" t="s">
        <v>34</v>
      </c>
      <c r="EN7" s="32" t="s">
        <v>34</v>
      </c>
      <c r="EO7" s="69"/>
      <c r="EP7" s="32" t="s">
        <v>34</v>
      </c>
      <c r="EQ7" s="32" t="s">
        <v>34</v>
      </c>
      <c r="ER7" s="32" t="s">
        <v>34</v>
      </c>
      <c r="ES7" s="32" t="s">
        <v>34</v>
      </c>
      <c r="ET7" s="32" t="s">
        <v>34</v>
      </c>
      <c r="EU7" s="32" t="s">
        <v>34</v>
      </c>
      <c r="EV7" s="32" t="s">
        <v>34</v>
      </c>
      <c r="EW7" s="32" t="s">
        <v>34</v>
      </c>
      <c r="EX7" s="32" t="s">
        <v>34</v>
      </c>
      <c r="EY7" s="32" t="s">
        <v>34</v>
      </c>
      <c r="EZ7" s="32" t="s">
        <v>34</v>
      </c>
      <c r="FA7" s="32" t="s">
        <v>34</v>
      </c>
      <c r="FB7" s="32" t="s">
        <v>34</v>
      </c>
      <c r="FC7" s="32" t="s">
        <v>34</v>
      </c>
      <c r="FD7" s="32" t="s">
        <v>34</v>
      </c>
      <c r="FE7" s="32" t="s">
        <v>34</v>
      </c>
      <c r="FF7" s="32" t="s">
        <v>34</v>
      </c>
      <c r="FG7" s="69"/>
      <c r="FH7" s="32" t="s">
        <v>34</v>
      </c>
      <c r="FI7" s="32" t="s">
        <v>34</v>
      </c>
      <c r="FJ7" s="32" t="s">
        <v>34</v>
      </c>
      <c r="FK7" s="32" t="s">
        <v>34</v>
      </c>
      <c r="FL7" s="32" t="s">
        <v>34</v>
      </c>
      <c r="FM7" s="32" t="s">
        <v>34</v>
      </c>
      <c r="FN7" s="32" t="s">
        <v>34</v>
      </c>
      <c r="FO7" s="32" t="s">
        <v>34</v>
      </c>
      <c r="FP7" s="32" t="s">
        <v>34</v>
      </c>
      <c r="FQ7" s="32" t="s">
        <v>34</v>
      </c>
      <c r="FR7" s="32" t="s">
        <v>34</v>
      </c>
      <c r="FS7" s="32" t="s">
        <v>34</v>
      </c>
      <c r="FT7" s="32" t="s">
        <v>34</v>
      </c>
      <c r="FU7" s="32" t="s">
        <v>34</v>
      </c>
      <c r="FV7" s="32" t="s">
        <v>34</v>
      </c>
      <c r="FW7" s="32" t="s">
        <v>34</v>
      </c>
      <c r="FX7" s="32" t="s">
        <v>34</v>
      </c>
      <c r="FY7" s="32" t="s">
        <v>34</v>
      </c>
      <c r="FZ7" s="32" t="s">
        <v>34</v>
      </c>
      <c r="GA7" s="32" t="s">
        <v>34</v>
      </c>
      <c r="GB7" s="69"/>
      <c r="GC7" s="32" t="s">
        <v>34</v>
      </c>
      <c r="GD7" s="32" t="s">
        <v>34</v>
      </c>
      <c r="GE7" s="32" t="s">
        <v>34</v>
      </c>
      <c r="GF7" s="32" t="s">
        <v>34</v>
      </c>
      <c r="GG7" s="32" t="s">
        <v>34</v>
      </c>
      <c r="GH7" s="69"/>
      <c r="GI7" s="32" t="s">
        <v>34</v>
      </c>
      <c r="GJ7" s="32" t="s">
        <v>34</v>
      </c>
      <c r="GK7" s="32" t="s">
        <v>34</v>
      </c>
      <c r="GL7" s="32" t="s">
        <v>34</v>
      </c>
      <c r="GM7" s="32" t="s">
        <v>34</v>
      </c>
      <c r="GN7" s="32" t="s">
        <v>34</v>
      </c>
      <c r="GO7" s="32" t="s">
        <v>34</v>
      </c>
      <c r="GP7" s="32" t="s">
        <v>34</v>
      </c>
      <c r="GQ7" s="32" t="s">
        <v>34</v>
      </c>
      <c r="GR7" s="32" t="s">
        <v>34</v>
      </c>
      <c r="GS7" s="32" t="s">
        <v>34</v>
      </c>
      <c r="GT7" s="32" t="s">
        <v>34</v>
      </c>
      <c r="GU7" s="32" t="s">
        <v>34</v>
      </c>
      <c r="GV7" s="32" t="s">
        <v>34</v>
      </c>
      <c r="GW7" s="32" t="s">
        <v>34</v>
      </c>
      <c r="GX7" s="32" t="s">
        <v>34</v>
      </c>
      <c r="GY7" s="32" t="s">
        <v>34</v>
      </c>
      <c r="GZ7" s="32" t="s">
        <v>34</v>
      </c>
      <c r="HA7" s="8" t="s">
        <v>34</v>
      </c>
      <c r="HB7" s="32" t="s">
        <v>34</v>
      </c>
      <c r="HC7" s="32" t="s">
        <v>34</v>
      </c>
      <c r="HD7" s="32" t="s">
        <v>34</v>
      </c>
      <c r="HE7" s="32" t="s">
        <v>34</v>
      </c>
      <c r="HF7" s="32" t="s">
        <v>34</v>
      </c>
      <c r="HG7" s="32" t="s">
        <v>34</v>
      </c>
      <c r="HH7" s="32" t="s">
        <v>34</v>
      </c>
      <c r="HI7" s="32" t="s">
        <v>34</v>
      </c>
      <c r="HJ7" s="32" t="s">
        <v>34</v>
      </c>
      <c r="HK7" s="32" t="s">
        <v>34</v>
      </c>
      <c r="HL7" s="32" t="s">
        <v>34</v>
      </c>
      <c r="HM7" s="32" t="s">
        <v>34</v>
      </c>
      <c r="HN7" s="32" t="s">
        <v>34</v>
      </c>
      <c r="HO7" s="32" t="s">
        <v>34</v>
      </c>
      <c r="HP7" s="32" t="s">
        <v>34</v>
      </c>
      <c r="HQ7" s="32" t="s">
        <v>34</v>
      </c>
      <c r="HR7" s="32" t="s">
        <v>34</v>
      </c>
      <c r="HS7" s="32" t="s">
        <v>34</v>
      </c>
      <c r="HT7" s="32" t="s">
        <v>34</v>
      </c>
      <c r="HU7" s="32" t="s">
        <v>34</v>
      </c>
      <c r="HV7" s="32" t="s">
        <v>34</v>
      </c>
      <c r="HW7" s="17" t="s">
        <v>34</v>
      </c>
      <c r="HX7" s="69"/>
      <c r="HY7" s="32" t="s">
        <v>34</v>
      </c>
      <c r="HZ7" s="32" t="s">
        <v>34</v>
      </c>
      <c r="IA7" s="32" t="s">
        <v>34</v>
      </c>
      <c r="IB7" s="32" t="s">
        <v>34</v>
      </c>
      <c r="IC7" s="32" t="s">
        <v>34</v>
      </c>
      <c r="ID7" s="32" t="s">
        <v>34</v>
      </c>
      <c r="IE7" s="32" t="s">
        <v>34</v>
      </c>
      <c r="IF7" s="32" t="s">
        <v>34</v>
      </c>
      <c r="IG7" s="32" t="s">
        <v>34</v>
      </c>
      <c r="IH7" s="32" t="s">
        <v>34</v>
      </c>
      <c r="II7" s="32" t="s">
        <v>34</v>
      </c>
      <c r="IJ7" s="32" t="s">
        <v>34</v>
      </c>
      <c r="IK7" s="32" t="s">
        <v>34</v>
      </c>
      <c r="IL7" s="32" t="s">
        <v>34</v>
      </c>
      <c r="IM7" s="32" t="s">
        <v>34</v>
      </c>
      <c r="IN7" s="32" t="s">
        <v>34</v>
      </c>
      <c r="IO7" s="32" t="s">
        <v>34</v>
      </c>
      <c r="IP7" s="32" t="s">
        <v>34</v>
      </c>
      <c r="IQ7" s="8" t="s">
        <v>34</v>
      </c>
      <c r="IR7" s="32" t="s">
        <v>34</v>
      </c>
      <c r="IS7" s="32" t="s">
        <v>34</v>
      </c>
      <c r="IT7" s="32" t="s">
        <v>34</v>
      </c>
      <c r="IU7" s="32" t="s">
        <v>34</v>
      </c>
      <c r="IV7" s="32" t="s">
        <v>34</v>
      </c>
      <c r="IW7" s="32" t="s">
        <v>34</v>
      </c>
      <c r="IX7" s="32" t="s">
        <v>34</v>
      </c>
      <c r="IY7" s="32" t="s">
        <v>34</v>
      </c>
      <c r="IZ7" s="32" t="s">
        <v>34</v>
      </c>
      <c r="JA7" s="32" t="s">
        <v>34</v>
      </c>
      <c r="JB7" s="32" t="s">
        <v>34</v>
      </c>
      <c r="JC7" s="32" t="s">
        <v>34</v>
      </c>
      <c r="JD7" s="32" t="s">
        <v>34</v>
      </c>
      <c r="JE7" s="32" t="s">
        <v>34</v>
      </c>
      <c r="JF7" s="32" t="s">
        <v>34</v>
      </c>
      <c r="JG7" s="32" t="s">
        <v>34</v>
      </c>
      <c r="JH7" s="32" t="s">
        <v>34</v>
      </c>
      <c r="JI7" s="69"/>
      <c r="JJ7" s="32" t="s">
        <v>34</v>
      </c>
      <c r="JK7" s="32" t="s">
        <v>34</v>
      </c>
      <c r="JL7" s="32" t="s">
        <v>34</v>
      </c>
      <c r="JM7" s="32" t="s">
        <v>34</v>
      </c>
      <c r="JN7" s="32" t="s">
        <v>34</v>
      </c>
      <c r="JO7" s="32" t="s">
        <v>34</v>
      </c>
      <c r="JP7" s="32" t="s">
        <v>34</v>
      </c>
      <c r="JQ7" s="32" t="s">
        <v>34</v>
      </c>
      <c r="JR7" s="32" t="s">
        <v>34</v>
      </c>
      <c r="JS7" s="32" t="s">
        <v>34</v>
      </c>
      <c r="JT7" s="32" t="s">
        <v>34</v>
      </c>
      <c r="JU7" s="69"/>
      <c r="JV7" s="32" t="s">
        <v>34</v>
      </c>
      <c r="JW7" s="32" t="s">
        <v>34</v>
      </c>
      <c r="JX7" s="32" t="s">
        <v>34</v>
      </c>
      <c r="JY7" s="32" t="s">
        <v>34</v>
      </c>
      <c r="JZ7" s="32" t="s">
        <v>34</v>
      </c>
      <c r="KA7" s="32" t="s">
        <v>34</v>
      </c>
      <c r="KB7" s="32" t="s">
        <v>34</v>
      </c>
      <c r="KC7" s="32" t="s">
        <v>34</v>
      </c>
      <c r="KD7" s="32" t="s">
        <v>34</v>
      </c>
      <c r="KE7" s="32" t="s">
        <v>34</v>
      </c>
      <c r="KF7" s="32" t="s">
        <v>34</v>
      </c>
      <c r="KG7" s="32" t="s">
        <v>34</v>
      </c>
      <c r="KH7" s="32" t="s">
        <v>34</v>
      </c>
      <c r="KI7" s="32" t="s">
        <v>34</v>
      </c>
      <c r="KJ7" s="32" t="s">
        <v>34</v>
      </c>
      <c r="KK7" s="32" t="s">
        <v>34</v>
      </c>
      <c r="KL7" s="32" t="s">
        <v>34</v>
      </c>
      <c r="KM7" s="69"/>
      <c r="KN7" s="32" t="s">
        <v>34</v>
      </c>
      <c r="KO7" s="32" t="s">
        <v>34</v>
      </c>
      <c r="KP7" s="32" t="s">
        <v>34</v>
      </c>
      <c r="KQ7" s="32" t="s">
        <v>34</v>
      </c>
      <c r="KR7" s="32" t="s">
        <v>34</v>
      </c>
      <c r="KS7" s="32" t="s">
        <v>34</v>
      </c>
      <c r="KT7" s="32" t="s">
        <v>34</v>
      </c>
      <c r="KU7" s="32" t="s">
        <v>34</v>
      </c>
      <c r="KV7" s="32" t="s">
        <v>34</v>
      </c>
      <c r="KW7" s="32" t="s">
        <v>34</v>
      </c>
      <c r="KX7" s="32" t="s">
        <v>34</v>
      </c>
      <c r="KY7" s="32" t="s">
        <v>34</v>
      </c>
      <c r="KZ7" s="32" t="s">
        <v>34</v>
      </c>
      <c r="LA7" s="32" t="s">
        <v>34</v>
      </c>
      <c r="LB7" s="32" t="s">
        <v>34</v>
      </c>
      <c r="LC7" s="32" t="s">
        <v>34</v>
      </c>
      <c r="LD7" s="32" t="s">
        <v>34</v>
      </c>
      <c r="LE7" s="32" t="s">
        <v>34</v>
      </c>
      <c r="LF7" s="32" t="s">
        <v>34</v>
      </c>
      <c r="LG7" s="32" t="s">
        <v>34</v>
      </c>
      <c r="LH7" s="69"/>
      <c r="LI7" s="32" t="s">
        <v>34</v>
      </c>
      <c r="LJ7" s="32" t="s">
        <v>34</v>
      </c>
      <c r="LK7" s="32" t="s">
        <v>34</v>
      </c>
      <c r="LL7" s="32" t="s">
        <v>34</v>
      </c>
      <c r="LM7" s="32" t="s">
        <v>34</v>
      </c>
      <c r="LN7" s="69"/>
      <c r="LO7" s="32" t="s">
        <v>34</v>
      </c>
      <c r="LP7" s="32" t="s">
        <v>34</v>
      </c>
      <c r="LQ7" s="32" t="s">
        <v>34</v>
      </c>
      <c r="LR7" s="32" t="s">
        <v>34</v>
      </c>
      <c r="LS7" s="32" t="s">
        <v>34</v>
      </c>
      <c r="LT7" s="32" t="s">
        <v>34</v>
      </c>
      <c r="LU7" s="32" t="s">
        <v>34</v>
      </c>
      <c r="LV7" s="32" t="s">
        <v>34</v>
      </c>
      <c r="LW7" s="32" t="s">
        <v>34</v>
      </c>
      <c r="LX7" s="32" t="s">
        <v>34</v>
      </c>
      <c r="LY7" s="32" t="s">
        <v>34</v>
      </c>
      <c r="LZ7" s="32" t="s">
        <v>34</v>
      </c>
      <c r="MA7" s="32" t="s">
        <v>34</v>
      </c>
      <c r="MB7" s="32" t="s">
        <v>34</v>
      </c>
      <c r="MC7" s="32" t="s">
        <v>34</v>
      </c>
      <c r="MD7" s="32" t="s">
        <v>34</v>
      </c>
      <c r="ME7" s="32" t="s">
        <v>34</v>
      </c>
      <c r="MF7" s="32" t="s">
        <v>34</v>
      </c>
      <c r="MG7" s="8" t="s">
        <v>34</v>
      </c>
      <c r="MH7" s="32" t="s">
        <v>34</v>
      </c>
      <c r="MI7" s="32" t="s">
        <v>34</v>
      </c>
      <c r="MJ7" s="32" t="s">
        <v>34</v>
      </c>
      <c r="MK7" s="32" t="s">
        <v>34</v>
      </c>
      <c r="ML7" s="32" t="s">
        <v>34</v>
      </c>
      <c r="MM7" s="32" t="s">
        <v>34</v>
      </c>
      <c r="MN7" s="32" t="s">
        <v>34</v>
      </c>
      <c r="MO7" s="32" t="s">
        <v>34</v>
      </c>
      <c r="MP7" s="32" t="s">
        <v>34</v>
      </c>
      <c r="MQ7" s="32" t="s">
        <v>34</v>
      </c>
      <c r="MR7" s="32" t="s">
        <v>34</v>
      </c>
      <c r="MS7" s="32" t="s">
        <v>34</v>
      </c>
      <c r="MT7" s="32" t="s">
        <v>34</v>
      </c>
      <c r="MU7" s="32" t="s">
        <v>34</v>
      </c>
      <c r="MV7" s="32" t="s">
        <v>34</v>
      </c>
      <c r="MW7" s="32" t="s">
        <v>34</v>
      </c>
      <c r="MX7" s="32" t="s">
        <v>34</v>
      </c>
      <c r="MY7" s="32" t="s">
        <v>34</v>
      </c>
      <c r="MZ7" s="32" t="s">
        <v>34</v>
      </c>
      <c r="NA7" s="32" t="s">
        <v>34</v>
      </c>
      <c r="NB7" s="17" t="s">
        <v>34</v>
      </c>
      <c r="NC7" s="69"/>
      <c r="ND7" s="32" t="s">
        <v>34</v>
      </c>
      <c r="NE7" s="32" t="s">
        <v>34</v>
      </c>
      <c r="NF7" s="32" t="s">
        <v>34</v>
      </c>
      <c r="NG7" s="32" t="s">
        <v>34</v>
      </c>
      <c r="NH7" s="32" t="s">
        <v>34</v>
      </c>
      <c r="NI7" s="32" t="s">
        <v>34</v>
      </c>
      <c r="NJ7" s="32" t="s">
        <v>34</v>
      </c>
      <c r="NK7" s="32" t="s">
        <v>34</v>
      </c>
      <c r="NL7" s="32" t="s">
        <v>34</v>
      </c>
      <c r="NM7" s="32" t="s">
        <v>34</v>
      </c>
      <c r="NN7" s="32" t="s">
        <v>34</v>
      </c>
      <c r="NO7" s="32" t="s">
        <v>34</v>
      </c>
      <c r="NP7" s="32" t="s">
        <v>34</v>
      </c>
      <c r="NQ7" s="32" t="s">
        <v>34</v>
      </c>
      <c r="NR7" s="32" t="s">
        <v>34</v>
      </c>
      <c r="NS7" s="32" t="s">
        <v>34</v>
      </c>
      <c r="NT7" s="32" t="s">
        <v>34</v>
      </c>
      <c r="NU7" s="32" t="s">
        <v>34</v>
      </c>
      <c r="NV7" s="8" t="s">
        <v>34</v>
      </c>
      <c r="NW7" s="32" t="s">
        <v>34</v>
      </c>
      <c r="NX7" s="32" t="s">
        <v>34</v>
      </c>
      <c r="NY7" s="32" t="s">
        <v>34</v>
      </c>
      <c r="NZ7" s="32" t="s">
        <v>34</v>
      </c>
      <c r="OA7" s="32" t="s">
        <v>34</v>
      </c>
      <c r="OB7" s="32" t="s">
        <v>34</v>
      </c>
      <c r="OC7" s="32" t="s">
        <v>34</v>
      </c>
      <c r="OD7" s="32" t="s">
        <v>34</v>
      </c>
      <c r="OE7" s="32" t="s">
        <v>34</v>
      </c>
      <c r="OF7" s="32" t="s">
        <v>34</v>
      </c>
      <c r="OG7" s="32" t="s">
        <v>34</v>
      </c>
      <c r="OH7" s="32" t="s">
        <v>34</v>
      </c>
      <c r="OI7" s="32" t="s">
        <v>34</v>
      </c>
      <c r="OJ7" s="32" t="s">
        <v>34</v>
      </c>
      <c r="OK7" s="32" t="s">
        <v>34</v>
      </c>
      <c r="OL7" s="32" t="s">
        <v>34</v>
      </c>
      <c r="OM7" s="32" t="s">
        <v>34</v>
      </c>
      <c r="ON7" s="69"/>
      <c r="OO7" s="32" t="s">
        <v>34</v>
      </c>
      <c r="OP7" s="32" t="s">
        <v>34</v>
      </c>
      <c r="OQ7" s="32" t="s">
        <v>34</v>
      </c>
      <c r="OR7" s="32" t="s">
        <v>34</v>
      </c>
      <c r="OS7" s="32" t="s">
        <v>34</v>
      </c>
      <c r="OT7" s="32" t="s">
        <v>34</v>
      </c>
      <c r="OU7" s="32" t="s">
        <v>34</v>
      </c>
      <c r="OV7" s="32" t="s">
        <v>34</v>
      </c>
      <c r="OW7" s="32" t="s">
        <v>34</v>
      </c>
      <c r="OX7" s="32" t="s">
        <v>34</v>
      </c>
      <c r="OY7" s="32" t="s">
        <v>34</v>
      </c>
    </row>
    <row r="8" spans="1:415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9"/>
      <c r="K8" s="32" t="s">
        <v>34</v>
      </c>
      <c r="L8" s="32" t="s">
        <v>34</v>
      </c>
      <c r="M8" s="32" t="s">
        <v>34</v>
      </c>
      <c r="N8" s="32" t="s">
        <v>34</v>
      </c>
      <c r="O8" s="32" t="s">
        <v>34</v>
      </c>
      <c r="P8" s="32" t="s">
        <v>34</v>
      </c>
      <c r="Q8" s="32" t="s">
        <v>34</v>
      </c>
      <c r="R8" s="32" t="s">
        <v>34</v>
      </c>
      <c r="S8" s="32" t="s">
        <v>34</v>
      </c>
      <c r="T8" s="32" t="s">
        <v>34</v>
      </c>
      <c r="U8" s="32" t="s">
        <v>34</v>
      </c>
      <c r="V8" s="32" t="s">
        <v>34</v>
      </c>
      <c r="W8" s="32" t="s">
        <v>34</v>
      </c>
      <c r="X8" s="32" t="s">
        <v>34</v>
      </c>
      <c r="Y8" s="32" t="s">
        <v>34</v>
      </c>
      <c r="Z8" s="32" t="s">
        <v>34</v>
      </c>
      <c r="AA8" s="32" t="s">
        <v>34</v>
      </c>
      <c r="AB8" s="69"/>
      <c r="AC8" s="32" t="s">
        <v>34</v>
      </c>
      <c r="AD8" s="32" t="s">
        <v>34</v>
      </c>
      <c r="AE8" s="32" t="s">
        <v>34</v>
      </c>
      <c r="AF8" s="32" t="s">
        <v>34</v>
      </c>
      <c r="AG8" s="32" t="s">
        <v>34</v>
      </c>
      <c r="AH8" s="32" t="s">
        <v>34</v>
      </c>
      <c r="AI8" s="32" t="s">
        <v>34</v>
      </c>
      <c r="AJ8" s="32" t="s">
        <v>34</v>
      </c>
      <c r="AK8" s="32" t="s">
        <v>34</v>
      </c>
      <c r="AL8" s="32" t="s">
        <v>34</v>
      </c>
      <c r="AM8" s="32" t="s">
        <v>34</v>
      </c>
      <c r="AN8" s="32" t="s">
        <v>34</v>
      </c>
      <c r="AO8" s="32" t="s">
        <v>34</v>
      </c>
      <c r="AP8" s="32" t="s">
        <v>34</v>
      </c>
      <c r="AQ8" s="32" t="s">
        <v>34</v>
      </c>
      <c r="AR8" s="32" t="s">
        <v>34</v>
      </c>
      <c r="AS8" s="32" t="s">
        <v>34</v>
      </c>
      <c r="AT8" s="32" t="s">
        <v>34</v>
      </c>
      <c r="AU8" s="32" t="s">
        <v>34</v>
      </c>
      <c r="AV8" s="32" t="s">
        <v>34</v>
      </c>
      <c r="AW8" s="69"/>
      <c r="AX8" s="32" t="s">
        <v>34</v>
      </c>
      <c r="AY8" s="32" t="s">
        <v>34</v>
      </c>
      <c r="AZ8" s="32" t="s">
        <v>34</v>
      </c>
      <c r="BA8" s="32" t="s">
        <v>34</v>
      </c>
      <c r="BB8" s="32" t="s">
        <v>34</v>
      </c>
      <c r="BC8" s="69"/>
      <c r="BD8" s="32" t="s">
        <v>34</v>
      </c>
      <c r="BE8" s="32" t="s">
        <v>34</v>
      </c>
      <c r="BF8" s="32" t="s">
        <v>34</v>
      </c>
      <c r="BG8" s="32" t="s">
        <v>34</v>
      </c>
      <c r="BH8" s="32" t="s">
        <v>34</v>
      </c>
      <c r="BI8" s="32" t="s">
        <v>34</v>
      </c>
      <c r="BJ8" s="32" t="s">
        <v>34</v>
      </c>
      <c r="BK8" s="32" t="s">
        <v>34</v>
      </c>
      <c r="BL8" s="32" t="s">
        <v>34</v>
      </c>
      <c r="BM8" s="32" t="s">
        <v>34</v>
      </c>
      <c r="BN8" s="32" t="s">
        <v>34</v>
      </c>
      <c r="BO8" s="32" t="s">
        <v>34</v>
      </c>
      <c r="BP8" s="32" t="s">
        <v>34</v>
      </c>
      <c r="BQ8" s="32" t="s">
        <v>34</v>
      </c>
      <c r="BR8" s="32" t="s">
        <v>34</v>
      </c>
      <c r="BS8" s="32" t="s">
        <v>34</v>
      </c>
      <c r="BT8" s="32" t="s">
        <v>34</v>
      </c>
      <c r="BU8" s="32" t="s">
        <v>34</v>
      </c>
      <c r="BV8" s="8" t="s">
        <v>34</v>
      </c>
      <c r="BW8" s="32" t="s">
        <v>34</v>
      </c>
      <c r="BX8" s="32" t="s">
        <v>34</v>
      </c>
      <c r="BY8" s="32" t="s">
        <v>34</v>
      </c>
      <c r="BZ8" s="32" t="s">
        <v>34</v>
      </c>
      <c r="CA8" s="32" t="s">
        <v>34</v>
      </c>
      <c r="CB8" s="32" t="s">
        <v>34</v>
      </c>
      <c r="CC8" s="32" t="s">
        <v>34</v>
      </c>
      <c r="CD8" s="32" t="s">
        <v>34</v>
      </c>
      <c r="CE8" s="32" t="s">
        <v>34</v>
      </c>
      <c r="CF8" s="32" t="s">
        <v>34</v>
      </c>
      <c r="CG8" s="32" t="s">
        <v>34</v>
      </c>
      <c r="CH8" s="32" t="s">
        <v>34</v>
      </c>
      <c r="CI8" s="32" t="s">
        <v>34</v>
      </c>
      <c r="CJ8" s="32" t="s">
        <v>34</v>
      </c>
      <c r="CK8" s="32" t="s">
        <v>34</v>
      </c>
      <c r="CL8" s="32" t="s">
        <v>34</v>
      </c>
      <c r="CM8" s="32" t="s">
        <v>34</v>
      </c>
      <c r="CN8" s="32" t="s">
        <v>34</v>
      </c>
      <c r="CO8" s="32" t="s">
        <v>34</v>
      </c>
      <c r="CP8" s="32" t="s">
        <v>34</v>
      </c>
      <c r="CQ8" s="17" t="s">
        <v>34</v>
      </c>
      <c r="CR8" s="69"/>
      <c r="CS8" s="32" t="s">
        <v>34</v>
      </c>
      <c r="CT8" s="32" t="s">
        <v>34</v>
      </c>
      <c r="CU8" s="32" t="s">
        <v>34</v>
      </c>
      <c r="CV8" s="32" t="s">
        <v>34</v>
      </c>
      <c r="CW8" s="32" t="s">
        <v>34</v>
      </c>
      <c r="CX8" s="32" t="s">
        <v>34</v>
      </c>
      <c r="CY8" s="32" t="s">
        <v>34</v>
      </c>
      <c r="CZ8" s="32" t="s">
        <v>34</v>
      </c>
      <c r="DA8" s="32" t="s">
        <v>34</v>
      </c>
      <c r="DB8" s="32" t="s">
        <v>34</v>
      </c>
      <c r="DC8" s="32" t="s">
        <v>34</v>
      </c>
      <c r="DD8" s="32" t="s">
        <v>34</v>
      </c>
      <c r="DE8" s="32" t="s">
        <v>34</v>
      </c>
      <c r="DF8" s="32" t="s">
        <v>34</v>
      </c>
      <c r="DG8" s="32" t="s">
        <v>34</v>
      </c>
      <c r="DH8" s="32" t="s">
        <v>34</v>
      </c>
      <c r="DI8" s="32" t="s">
        <v>34</v>
      </c>
      <c r="DJ8" s="32" t="s">
        <v>34</v>
      </c>
      <c r="DK8" s="8" t="s">
        <v>34</v>
      </c>
      <c r="DL8" s="32" t="s">
        <v>34</v>
      </c>
      <c r="DM8" s="32" t="s">
        <v>34</v>
      </c>
      <c r="DN8" s="32" t="s">
        <v>34</v>
      </c>
      <c r="DO8" s="32" t="s">
        <v>34</v>
      </c>
      <c r="DP8" s="32" t="s">
        <v>34</v>
      </c>
      <c r="DQ8" s="32" t="s">
        <v>34</v>
      </c>
      <c r="DR8" s="32" t="s">
        <v>34</v>
      </c>
      <c r="DS8" s="32" t="s">
        <v>34</v>
      </c>
      <c r="DT8" s="32" t="s">
        <v>34</v>
      </c>
      <c r="DU8" s="32" t="s">
        <v>34</v>
      </c>
      <c r="DV8" s="32" t="s">
        <v>34</v>
      </c>
      <c r="DW8" s="32" t="s">
        <v>34</v>
      </c>
      <c r="DX8" s="32" t="s">
        <v>34</v>
      </c>
      <c r="DY8" s="32" t="s">
        <v>34</v>
      </c>
      <c r="DZ8" s="32" t="s">
        <v>34</v>
      </c>
      <c r="EA8" s="32" t="s">
        <v>34</v>
      </c>
      <c r="EB8" s="32" t="s">
        <v>34</v>
      </c>
      <c r="EC8" s="69"/>
      <c r="ED8" s="32" t="s">
        <v>34</v>
      </c>
      <c r="EE8" s="32" t="s">
        <v>34</v>
      </c>
      <c r="EF8" s="32" t="s">
        <v>34</v>
      </c>
      <c r="EG8" s="32" t="s">
        <v>34</v>
      </c>
      <c r="EH8" s="32" t="s">
        <v>34</v>
      </c>
      <c r="EI8" s="32" t="s">
        <v>34</v>
      </c>
      <c r="EJ8" s="32" t="s">
        <v>34</v>
      </c>
      <c r="EK8" s="32" t="s">
        <v>34</v>
      </c>
      <c r="EL8" s="32" t="s">
        <v>34</v>
      </c>
      <c r="EM8" s="32" t="s">
        <v>34</v>
      </c>
      <c r="EN8" s="32" t="s">
        <v>34</v>
      </c>
      <c r="EO8" s="69"/>
      <c r="EP8" s="32" t="s">
        <v>34</v>
      </c>
      <c r="EQ8" s="32" t="s">
        <v>34</v>
      </c>
      <c r="ER8" s="32" t="s">
        <v>34</v>
      </c>
      <c r="ES8" s="32" t="s">
        <v>34</v>
      </c>
      <c r="ET8" s="32" t="s">
        <v>34</v>
      </c>
      <c r="EU8" s="32" t="s">
        <v>34</v>
      </c>
      <c r="EV8" s="32" t="s">
        <v>34</v>
      </c>
      <c r="EW8" s="32" t="s">
        <v>34</v>
      </c>
      <c r="EX8" s="32" t="s">
        <v>34</v>
      </c>
      <c r="EY8" s="32" t="s">
        <v>34</v>
      </c>
      <c r="EZ8" s="32" t="s">
        <v>34</v>
      </c>
      <c r="FA8" s="32" t="s">
        <v>34</v>
      </c>
      <c r="FB8" s="32" t="s">
        <v>34</v>
      </c>
      <c r="FC8" s="32" t="s">
        <v>34</v>
      </c>
      <c r="FD8" s="32" t="s">
        <v>34</v>
      </c>
      <c r="FE8" s="32" t="s">
        <v>34</v>
      </c>
      <c r="FF8" s="32" t="s">
        <v>34</v>
      </c>
      <c r="FG8" s="69"/>
      <c r="FH8" s="32" t="s">
        <v>34</v>
      </c>
      <c r="FI8" s="32" t="s">
        <v>34</v>
      </c>
      <c r="FJ8" s="32" t="s">
        <v>34</v>
      </c>
      <c r="FK8" s="32" t="s">
        <v>34</v>
      </c>
      <c r="FL8" s="32" t="s">
        <v>34</v>
      </c>
      <c r="FM8" s="32" t="s">
        <v>34</v>
      </c>
      <c r="FN8" s="32" t="s">
        <v>34</v>
      </c>
      <c r="FO8" s="32" t="s">
        <v>34</v>
      </c>
      <c r="FP8" s="32" t="s">
        <v>34</v>
      </c>
      <c r="FQ8" s="32" t="s">
        <v>34</v>
      </c>
      <c r="FR8" s="32" t="s">
        <v>34</v>
      </c>
      <c r="FS8" s="32" t="s">
        <v>34</v>
      </c>
      <c r="FT8" s="32" t="s">
        <v>34</v>
      </c>
      <c r="FU8" s="32" t="s">
        <v>34</v>
      </c>
      <c r="FV8" s="32" t="s">
        <v>34</v>
      </c>
      <c r="FW8" s="32" t="s">
        <v>34</v>
      </c>
      <c r="FX8" s="32" t="s">
        <v>34</v>
      </c>
      <c r="FY8" s="32" t="s">
        <v>34</v>
      </c>
      <c r="FZ8" s="32" t="s">
        <v>34</v>
      </c>
      <c r="GA8" s="32" t="s">
        <v>34</v>
      </c>
      <c r="GB8" s="69"/>
      <c r="GC8" s="32" t="s">
        <v>34</v>
      </c>
      <c r="GD8" s="32" t="s">
        <v>34</v>
      </c>
      <c r="GE8" s="32" t="s">
        <v>34</v>
      </c>
      <c r="GF8" s="32" t="s">
        <v>34</v>
      </c>
      <c r="GG8" s="32" t="s">
        <v>34</v>
      </c>
      <c r="GH8" s="69"/>
      <c r="GI8" s="32" t="s">
        <v>34</v>
      </c>
      <c r="GJ8" s="32" t="s">
        <v>34</v>
      </c>
      <c r="GK8" s="32" t="s">
        <v>34</v>
      </c>
      <c r="GL8" s="32" t="s">
        <v>34</v>
      </c>
      <c r="GM8" s="32" t="s">
        <v>34</v>
      </c>
      <c r="GN8" s="32" t="s">
        <v>34</v>
      </c>
      <c r="GO8" s="32" t="s">
        <v>34</v>
      </c>
      <c r="GP8" s="32" t="s">
        <v>34</v>
      </c>
      <c r="GQ8" s="32" t="s">
        <v>34</v>
      </c>
      <c r="GR8" s="32" t="s">
        <v>34</v>
      </c>
      <c r="GS8" s="32" t="s">
        <v>34</v>
      </c>
      <c r="GT8" s="32" t="s">
        <v>34</v>
      </c>
      <c r="GU8" s="32" t="s">
        <v>34</v>
      </c>
      <c r="GV8" s="32" t="s">
        <v>34</v>
      </c>
      <c r="GW8" s="32" t="s">
        <v>34</v>
      </c>
      <c r="GX8" s="32" t="s">
        <v>34</v>
      </c>
      <c r="GY8" s="32" t="s">
        <v>34</v>
      </c>
      <c r="GZ8" s="32" t="s">
        <v>34</v>
      </c>
      <c r="HA8" s="8" t="s">
        <v>34</v>
      </c>
      <c r="HB8" s="32" t="s">
        <v>34</v>
      </c>
      <c r="HC8" s="32" t="s">
        <v>34</v>
      </c>
      <c r="HD8" s="32" t="s">
        <v>34</v>
      </c>
      <c r="HE8" s="32" t="s">
        <v>34</v>
      </c>
      <c r="HF8" s="32" t="s">
        <v>34</v>
      </c>
      <c r="HG8" s="32" t="s">
        <v>34</v>
      </c>
      <c r="HH8" s="32" t="s">
        <v>34</v>
      </c>
      <c r="HI8" s="32" t="s">
        <v>34</v>
      </c>
      <c r="HJ8" s="32" t="s">
        <v>34</v>
      </c>
      <c r="HK8" s="32" t="s">
        <v>34</v>
      </c>
      <c r="HL8" s="32" t="s">
        <v>34</v>
      </c>
      <c r="HM8" s="32" t="s">
        <v>34</v>
      </c>
      <c r="HN8" s="32" t="s">
        <v>34</v>
      </c>
      <c r="HO8" s="32" t="s">
        <v>34</v>
      </c>
      <c r="HP8" s="32" t="s">
        <v>34</v>
      </c>
      <c r="HQ8" s="32" t="s">
        <v>34</v>
      </c>
      <c r="HR8" s="32" t="s">
        <v>34</v>
      </c>
      <c r="HS8" s="32" t="s">
        <v>34</v>
      </c>
      <c r="HT8" s="32" t="s">
        <v>34</v>
      </c>
      <c r="HU8" s="32" t="s">
        <v>34</v>
      </c>
      <c r="HV8" s="32" t="s">
        <v>34</v>
      </c>
      <c r="HW8" s="17" t="s">
        <v>34</v>
      </c>
      <c r="HX8" s="69"/>
      <c r="HY8" s="32" t="s">
        <v>34</v>
      </c>
      <c r="HZ8" s="32" t="s">
        <v>34</v>
      </c>
      <c r="IA8" s="32" t="s">
        <v>34</v>
      </c>
      <c r="IB8" s="32" t="s">
        <v>34</v>
      </c>
      <c r="IC8" s="32" t="s">
        <v>34</v>
      </c>
      <c r="ID8" s="32" t="s">
        <v>34</v>
      </c>
      <c r="IE8" s="32" t="s">
        <v>34</v>
      </c>
      <c r="IF8" s="32" t="s">
        <v>34</v>
      </c>
      <c r="IG8" s="32" t="s">
        <v>34</v>
      </c>
      <c r="IH8" s="32" t="s">
        <v>34</v>
      </c>
      <c r="II8" s="32" t="s">
        <v>34</v>
      </c>
      <c r="IJ8" s="32" t="s">
        <v>34</v>
      </c>
      <c r="IK8" s="32" t="s">
        <v>34</v>
      </c>
      <c r="IL8" s="32" t="s">
        <v>34</v>
      </c>
      <c r="IM8" s="32" t="s">
        <v>34</v>
      </c>
      <c r="IN8" s="32" t="s">
        <v>34</v>
      </c>
      <c r="IO8" s="32" t="s">
        <v>34</v>
      </c>
      <c r="IP8" s="32" t="s">
        <v>34</v>
      </c>
      <c r="IQ8" s="8" t="s">
        <v>34</v>
      </c>
      <c r="IR8" s="32" t="s">
        <v>34</v>
      </c>
      <c r="IS8" s="32" t="s">
        <v>34</v>
      </c>
      <c r="IT8" s="32" t="s">
        <v>34</v>
      </c>
      <c r="IU8" s="32" t="s">
        <v>34</v>
      </c>
      <c r="IV8" s="32" t="s">
        <v>34</v>
      </c>
      <c r="IW8" s="32" t="s">
        <v>34</v>
      </c>
      <c r="IX8" s="32" t="s">
        <v>34</v>
      </c>
      <c r="IY8" s="32" t="s">
        <v>34</v>
      </c>
      <c r="IZ8" s="32" t="s">
        <v>34</v>
      </c>
      <c r="JA8" s="32" t="s">
        <v>34</v>
      </c>
      <c r="JB8" s="32" t="s">
        <v>34</v>
      </c>
      <c r="JC8" s="32" t="s">
        <v>34</v>
      </c>
      <c r="JD8" s="32" t="s">
        <v>34</v>
      </c>
      <c r="JE8" s="32" t="s">
        <v>34</v>
      </c>
      <c r="JF8" s="32" t="s">
        <v>34</v>
      </c>
      <c r="JG8" s="32" t="s">
        <v>34</v>
      </c>
      <c r="JH8" s="32" t="s">
        <v>34</v>
      </c>
      <c r="JI8" s="69"/>
      <c r="JJ8" s="32" t="s">
        <v>34</v>
      </c>
      <c r="JK8" s="32" t="s">
        <v>34</v>
      </c>
      <c r="JL8" s="32" t="s">
        <v>34</v>
      </c>
      <c r="JM8" s="32" t="s">
        <v>34</v>
      </c>
      <c r="JN8" s="32" t="s">
        <v>34</v>
      </c>
      <c r="JO8" s="32" t="s">
        <v>34</v>
      </c>
      <c r="JP8" s="32" t="s">
        <v>34</v>
      </c>
      <c r="JQ8" s="32" t="s">
        <v>34</v>
      </c>
      <c r="JR8" s="32" t="s">
        <v>34</v>
      </c>
      <c r="JS8" s="32" t="s">
        <v>34</v>
      </c>
      <c r="JT8" s="32" t="s">
        <v>34</v>
      </c>
      <c r="JU8" s="69"/>
      <c r="JV8" s="32" t="s">
        <v>34</v>
      </c>
      <c r="JW8" s="32" t="s">
        <v>34</v>
      </c>
      <c r="JX8" s="32" t="s">
        <v>34</v>
      </c>
      <c r="JY8" s="32" t="s">
        <v>34</v>
      </c>
      <c r="JZ8" s="32" t="s">
        <v>34</v>
      </c>
      <c r="KA8" s="32" t="s">
        <v>34</v>
      </c>
      <c r="KB8" s="32" t="s">
        <v>34</v>
      </c>
      <c r="KC8" s="32" t="s">
        <v>34</v>
      </c>
      <c r="KD8" s="32" t="s">
        <v>34</v>
      </c>
      <c r="KE8" s="32" t="s">
        <v>34</v>
      </c>
      <c r="KF8" s="32" t="s">
        <v>34</v>
      </c>
      <c r="KG8" s="32" t="s">
        <v>34</v>
      </c>
      <c r="KH8" s="32" t="s">
        <v>34</v>
      </c>
      <c r="KI8" s="32" t="s">
        <v>34</v>
      </c>
      <c r="KJ8" s="32" t="s">
        <v>34</v>
      </c>
      <c r="KK8" s="32" t="s">
        <v>34</v>
      </c>
      <c r="KL8" s="32" t="s">
        <v>34</v>
      </c>
      <c r="KM8" s="69"/>
      <c r="KN8" s="32" t="s">
        <v>34</v>
      </c>
      <c r="KO8" s="32" t="s">
        <v>34</v>
      </c>
      <c r="KP8" s="32" t="s">
        <v>34</v>
      </c>
      <c r="KQ8" s="32" t="s">
        <v>34</v>
      </c>
      <c r="KR8" s="32" t="s">
        <v>34</v>
      </c>
      <c r="KS8" s="32" t="s">
        <v>34</v>
      </c>
      <c r="KT8" s="32" t="s">
        <v>34</v>
      </c>
      <c r="KU8" s="32" t="s">
        <v>34</v>
      </c>
      <c r="KV8" s="32" t="s">
        <v>34</v>
      </c>
      <c r="KW8" s="32" t="s">
        <v>34</v>
      </c>
      <c r="KX8" s="32" t="s">
        <v>34</v>
      </c>
      <c r="KY8" s="32" t="s">
        <v>34</v>
      </c>
      <c r="KZ8" s="32" t="s">
        <v>34</v>
      </c>
      <c r="LA8" s="32" t="s">
        <v>34</v>
      </c>
      <c r="LB8" s="32" t="s">
        <v>34</v>
      </c>
      <c r="LC8" s="32" t="s">
        <v>34</v>
      </c>
      <c r="LD8" s="32" t="s">
        <v>34</v>
      </c>
      <c r="LE8" s="32" t="s">
        <v>34</v>
      </c>
      <c r="LF8" s="32" t="s">
        <v>34</v>
      </c>
      <c r="LG8" s="32" t="s">
        <v>34</v>
      </c>
      <c r="LH8" s="69"/>
      <c r="LI8" s="32" t="s">
        <v>34</v>
      </c>
      <c r="LJ8" s="32" t="s">
        <v>34</v>
      </c>
      <c r="LK8" s="32" t="s">
        <v>34</v>
      </c>
      <c r="LL8" s="32" t="s">
        <v>34</v>
      </c>
      <c r="LM8" s="32" t="s">
        <v>34</v>
      </c>
      <c r="LN8" s="69"/>
      <c r="LO8" s="32" t="s">
        <v>34</v>
      </c>
      <c r="LP8" s="32" t="s">
        <v>34</v>
      </c>
      <c r="LQ8" s="32" t="s">
        <v>34</v>
      </c>
      <c r="LR8" s="32" t="s">
        <v>34</v>
      </c>
      <c r="LS8" s="32" t="s">
        <v>34</v>
      </c>
      <c r="LT8" s="32" t="s">
        <v>34</v>
      </c>
      <c r="LU8" s="32" t="s">
        <v>34</v>
      </c>
      <c r="LV8" s="32" t="s">
        <v>34</v>
      </c>
      <c r="LW8" s="32" t="s">
        <v>34</v>
      </c>
      <c r="LX8" s="32" t="s">
        <v>34</v>
      </c>
      <c r="LY8" s="32" t="s">
        <v>34</v>
      </c>
      <c r="LZ8" s="32" t="s">
        <v>34</v>
      </c>
      <c r="MA8" s="32" t="s">
        <v>34</v>
      </c>
      <c r="MB8" s="32" t="s">
        <v>34</v>
      </c>
      <c r="MC8" s="32" t="s">
        <v>34</v>
      </c>
      <c r="MD8" s="32" t="s">
        <v>34</v>
      </c>
      <c r="ME8" s="32" t="s">
        <v>34</v>
      </c>
      <c r="MF8" s="32" t="s">
        <v>34</v>
      </c>
      <c r="MG8" s="8" t="s">
        <v>34</v>
      </c>
      <c r="MH8" s="32" t="s">
        <v>34</v>
      </c>
      <c r="MI8" s="32" t="s">
        <v>34</v>
      </c>
      <c r="MJ8" s="32" t="s">
        <v>34</v>
      </c>
      <c r="MK8" s="32" t="s">
        <v>34</v>
      </c>
      <c r="ML8" s="32" t="s">
        <v>34</v>
      </c>
      <c r="MM8" s="32" t="s">
        <v>34</v>
      </c>
      <c r="MN8" s="32" t="s">
        <v>34</v>
      </c>
      <c r="MO8" s="32" t="s">
        <v>34</v>
      </c>
      <c r="MP8" s="32" t="s">
        <v>34</v>
      </c>
      <c r="MQ8" s="32" t="s">
        <v>34</v>
      </c>
      <c r="MR8" s="32" t="s">
        <v>34</v>
      </c>
      <c r="MS8" s="32" t="s">
        <v>34</v>
      </c>
      <c r="MT8" s="32" t="s">
        <v>34</v>
      </c>
      <c r="MU8" s="32" t="s">
        <v>34</v>
      </c>
      <c r="MV8" s="32" t="s">
        <v>34</v>
      </c>
      <c r="MW8" s="32" t="s">
        <v>34</v>
      </c>
      <c r="MX8" s="32" t="s">
        <v>34</v>
      </c>
      <c r="MY8" s="32" t="s">
        <v>34</v>
      </c>
      <c r="MZ8" s="32" t="s">
        <v>34</v>
      </c>
      <c r="NA8" s="32" t="s">
        <v>34</v>
      </c>
      <c r="NB8" s="17" t="s">
        <v>34</v>
      </c>
      <c r="NC8" s="69"/>
      <c r="ND8" s="32" t="s">
        <v>34</v>
      </c>
      <c r="NE8" s="32" t="s">
        <v>34</v>
      </c>
      <c r="NF8" s="32" t="s">
        <v>34</v>
      </c>
      <c r="NG8" s="32" t="s">
        <v>34</v>
      </c>
      <c r="NH8" s="32" t="s">
        <v>34</v>
      </c>
      <c r="NI8" s="32" t="s">
        <v>34</v>
      </c>
      <c r="NJ8" s="32" t="s">
        <v>34</v>
      </c>
      <c r="NK8" s="32" t="s">
        <v>34</v>
      </c>
      <c r="NL8" s="32" t="s">
        <v>34</v>
      </c>
      <c r="NM8" s="32" t="s">
        <v>34</v>
      </c>
      <c r="NN8" s="32" t="s">
        <v>34</v>
      </c>
      <c r="NO8" s="32" t="s">
        <v>34</v>
      </c>
      <c r="NP8" s="32" t="s">
        <v>34</v>
      </c>
      <c r="NQ8" s="32" t="s">
        <v>34</v>
      </c>
      <c r="NR8" s="32" t="s">
        <v>34</v>
      </c>
      <c r="NS8" s="32" t="s">
        <v>34</v>
      </c>
      <c r="NT8" s="32" t="s">
        <v>34</v>
      </c>
      <c r="NU8" s="32" t="s">
        <v>34</v>
      </c>
      <c r="NV8" s="8" t="s">
        <v>34</v>
      </c>
      <c r="NW8" s="32" t="s">
        <v>34</v>
      </c>
      <c r="NX8" s="32" t="s">
        <v>34</v>
      </c>
      <c r="NY8" s="32" t="s">
        <v>34</v>
      </c>
      <c r="NZ8" s="32" t="s">
        <v>34</v>
      </c>
      <c r="OA8" s="32" t="s">
        <v>34</v>
      </c>
      <c r="OB8" s="32" t="s">
        <v>34</v>
      </c>
      <c r="OC8" s="32" t="s">
        <v>34</v>
      </c>
      <c r="OD8" s="32" t="s">
        <v>34</v>
      </c>
      <c r="OE8" s="32" t="s">
        <v>34</v>
      </c>
      <c r="OF8" s="32" t="s">
        <v>34</v>
      </c>
      <c r="OG8" s="32" t="s">
        <v>34</v>
      </c>
      <c r="OH8" s="32" t="s">
        <v>34</v>
      </c>
      <c r="OI8" s="32" t="s">
        <v>34</v>
      </c>
      <c r="OJ8" s="32" t="s">
        <v>34</v>
      </c>
      <c r="OK8" s="32" t="s">
        <v>34</v>
      </c>
      <c r="OL8" s="32" t="s">
        <v>34</v>
      </c>
      <c r="OM8" s="32" t="s">
        <v>34</v>
      </c>
      <c r="ON8" s="69"/>
      <c r="OO8" s="32" t="s">
        <v>34</v>
      </c>
      <c r="OP8" s="32" t="s">
        <v>34</v>
      </c>
      <c r="OQ8" s="32" t="s">
        <v>34</v>
      </c>
      <c r="OR8" s="32" t="s">
        <v>34</v>
      </c>
      <c r="OS8" s="32" t="s">
        <v>34</v>
      </c>
      <c r="OT8" s="32" t="s">
        <v>34</v>
      </c>
      <c r="OU8" s="32" t="s">
        <v>34</v>
      </c>
      <c r="OV8" s="32" t="s">
        <v>34</v>
      </c>
      <c r="OW8" s="32" t="s">
        <v>34</v>
      </c>
      <c r="OX8" s="32" t="s">
        <v>34</v>
      </c>
      <c r="OY8" s="32" t="s">
        <v>34</v>
      </c>
    </row>
    <row r="9" spans="1:415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9"/>
      <c r="K9" s="32" t="s">
        <v>34</v>
      </c>
      <c r="L9" s="32" t="s">
        <v>34</v>
      </c>
      <c r="M9" s="32" t="s">
        <v>34</v>
      </c>
      <c r="N9" s="32" t="s">
        <v>34</v>
      </c>
      <c r="O9" s="32" t="s">
        <v>34</v>
      </c>
      <c r="P9" s="32" t="s">
        <v>34</v>
      </c>
      <c r="Q9" s="32" t="s">
        <v>34</v>
      </c>
      <c r="R9" s="32" t="s">
        <v>34</v>
      </c>
      <c r="S9" s="32" t="s">
        <v>34</v>
      </c>
      <c r="T9" s="32" t="s">
        <v>34</v>
      </c>
      <c r="U9" s="32" t="s">
        <v>34</v>
      </c>
      <c r="V9" s="32" t="s">
        <v>34</v>
      </c>
      <c r="W9" s="32" t="s">
        <v>34</v>
      </c>
      <c r="X9" s="32" t="s">
        <v>34</v>
      </c>
      <c r="Y9" s="32" t="s">
        <v>34</v>
      </c>
      <c r="Z9" s="32" t="s">
        <v>34</v>
      </c>
      <c r="AA9" s="32" t="s">
        <v>34</v>
      </c>
      <c r="AB9" s="69"/>
      <c r="AC9" s="32" t="s">
        <v>34</v>
      </c>
      <c r="AD9" s="32" t="s">
        <v>34</v>
      </c>
      <c r="AE9" s="32" t="s">
        <v>34</v>
      </c>
      <c r="AF9" s="32" t="s">
        <v>34</v>
      </c>
      <c r="AG9" s="32" t="s">
        <v>34</v>
      </c>
      <c r="AH9" s="32" t="s">
        <v>34</v>
      </c>
      <c r="AI9" s="32" t="s">
        <v>34</v>
      </c>
      <c r="AJ9" s="32" t="s">
        <v>34</v>
      </c>
      <c r="AK9" s="32" t="s">
        <v>34</v>
      </c>
      <c r="AL9" s="32" t="s">
        <v>34</v>
      </c>
      <c r="AM9" s="32" t="s">
        <v>34</v>
      </c>
      <c r="AN9" s="32" t="s">
        <v>34</v>
      </c>
      <c r="AO9" s="32" t="s">
        <v>34</v>
      </c>
      <c r="AP9" s="32" t="s">
        <v>34</v>
      </c>
      <c r="AQ9" s="32" t="s">
        <v>34</v>
      </c>
      <c r="AR9" s="32" t="s">
        <v>34</v>
      </c>
      <c r="AS9" s="32" t="s">
        <v>34</v>
      </c>
      <c r="AT9" s="32" t="s">
        <v>34</v>
      </c>
      <c r="AU9" s="32" t="s">
        <v>34</v>
      </c>
      <c r="AV9" s="32" t="s">
        <v>34</v>
      </c>
      <c r="AW9" s="69"/>
      <c r="AX9" s="32" t="s">
        <v>34</v>
      </c>
      <c r="AY9" s="32" t="s">
        <v>34</v>
      </c>
      <c r="AZ9" s="32" t="s">
        <v>34</v>
      </c>
      <c r="BA9" s="32" t="s">
        <v>34</v>
      </c>
      <c r="BB9" s="32" t="s">
        <v>34</v>
      </c>
      <c r="BC9" s="69"/>
      <c r="BD9" s="32" t="s">
        <v>34</v>
      </c>
      <c r="BE9" s="32" t="s">
        <v>34</v>
      </c>
      <c r="BF9" s="32" t="s">
        <v>34</v>
      </c>
      <c r="BG9" s="32" t="s">
        <v>34</v>
      </c>
      <c r="BH9" s="32" t="s">
        <v>34</v>
      </c>
      <c r="BI9" s="32" t="s">
        <v>34</v>
      </c>
      <c r="BJ9" s="32" t="s">
        <v>34</v>
      </c>
      <c r="BK9" s="32" t="s">
        <v>34</v>
      </c>
      <c r="BL9" s="32" t="s">
        <v>34</v>
      </c>
      <c r="BM9" s="32" t="s">
        <v>34</v>
      </c>
      <c r="BN9" s="32" t="s">
        <v>34</v>
      </c>
      <c r="BO9" s="32" t="s">
        <v>34</v>
      </c>
      <c r="BP9" s="32" t="s">
        <v>34</v>
      </c>
      <c r="BQ9" s="32" t="s">
        <v>34</v>
      </c>
      <c r="BR9" s="32" t="s">
        <v>34</v>
      </c>
      <c r="BS9" s="32" t="s">
        <v>34</v>
      </c>
      <c r="BT9" s="32" t="s">
        <v>34</v>
      </c>
      <c r="BU9" s="32" t="s">
        <v>34</v>
      </c>
      <c r="BV9" s="8" t="s">
        <v>34</v>
      </c>
      <c r="BW9" s="32" t="s">
        <v>34</v>
      </c>
      <c r="BX9" s="32" t="s">
        <v>34</v>
      </c>
      <c r="BY9" s="32" t="s">
        <v>34</v>
      </c>
      <c r="BZ9" s="32" t="s">
        <v>34</v>
      </c>
      <c r="CA9" s="32" t="s">
        <v>34</v>
      </c>
      <c r="CB9" s="32" t="s">
        <v>34</v>
      </c>
      <c r="CC9" s="32" t="s">
        <v>34</v>
      </c>
      <c r="CD9" s="32" t="s">
        <v>34</v>
      </c>
      <c r="CE9" s="32" t="s">
        <v>34</v>
      </c>
      <c r="CF9" s="32" t="s">
        <v>34</v>
      </c>
      <c r="CG9" s="32" t="s">
        <v>34</v>
      </c>
      <c r="CH9" s="32" t="s">
        <v>34</v>
      </c>
      <c r="CI9" s="32" t="s">
        <v>34</v>
      </c>
      <c r="CJ9" s="32" t="s">
        <v>34</v>
      </c>
      <c r="CK9" s="32" t="s">
        <v>34</v>
      </c>
      <c r="CL9" s="32" t="s">
        <v>34</v>
      </c>
      <c r="CM9" s="32" t="s">
        <v>34</v>
      </c>
      <c r="CN9" s="32" t="s">
        <v>34</v>
      </c>
      <c r="CO9" s="32" t="s">
        <v>34</v>
      </c>
      <c r="CP9" s="32" t="s">
        <v>34</v>
      </c>
      <c r="CQ9" s="17" t="s">
        <v>34</v>
      </c>
      <c r="CR9" s="69"/>
      <c r="CS9" s="32" t="s">
        <v>34</v>
      </c>
      <c r="CT9" s="32" t="s">
        <v>34</v>
      </c>
      <c r="CU9" s="32" t="s">
        <v>34</v>
      </c>
      <c r="CV9" s="32" t="s">
        <v>34</v>
      </c>
      <c r="CW9" s="32" t="s">
        <v>34</v>
      </c>
      <c r="CX9" s="32" t="s">
        <v>34</v>
      </c>
      <c r="CY9" s="32" t="s">
        <v>34</v>
      </c>
      <c r="CZ9" s="32" t="s">
        <v>34</v>
      </c>
      <c r="DA9" s="32" t="s">
        <v>34</v>
      </c>
      <c r="DB9" s="32" t="s">
        <v>34</v>
      </c>
      <c r="DC9" s="32" t="s">
        <v>34</v>
      </c>
      <c r="DD9" s="32" t="s">
        <v>34</v>
      </c>
      <c r="DE9" s="32" t="s">
        <v>34</v>
      </c>
      <c r="DF9" s="32" t="s">
        <v>34</v>
      </c>
      <c r="DG9" s="32" t="s">
        <v>34</v>
      </c>
      <c r="DH9" s="32" t="s">
        <v>34</v>
      </c>
      <c r="DI9" s="32" t="s">
        <v>34</v>
      </c>
      <c r="DJ9" s="32" t="s">
        <v>34</v>
      </c>
      <c r="DK9" s="8" t="s">
        <v>34</v>
      </c>
      <c r="DL9" s="32" t="s">
        <v>34</v>
      </c>
      <c r="DM9" s="32" t="s">
        <v>34</v>
      </c>
      <c r="DN9" s="32" t="s">
        <v>34</v>
      </c>
      <c r="DO9" s="32" t="s">
        <v>34</v>
      </c>
      <c r="DP9" s="32" t="s">
        <v>34</v>
      </c>
      <c r="DQ9" s="32" t="s">
        <v>34</v>
      </c>
      <c r="DR9" s="32" t="s">
        <v>34</v>
      </c>
      <c r="DS9" s="32" t="s">
        <v>34</v>
      </c>
      <c r="DT9" s="32" t="s">
        <v>34</v>
      </c>
      <c r="DU9" s="32" t="s">
        <v>34</v>
      </c>
      <c r="DV9" s="32" t="s">
        <v>34</v>
      </c>
      <c r="DW9" s="32" t="s">
        <v>34</v>
      </c>
      <c r="DX9" s="32" t="s">
        <v>34</v>
      </c>
      <c r="DY9" s="32" t="s">
        <v>34</v>
      </c>
      <c r="DZ9" s="32" t="s">
        <v>34</v>
      </c>
      <c r="EA9" s="32" t="s">
        <v>34</v>
      </c>
      <c r="EB9" s="32" t="s">
        <v>34</v>
      </c>
      <c r="EC9" s="69"/>
      <c r="ED9" s="32" t="s">
        <v>34</v>
      </c>
      <c r="EE9" s="32" t="s">
        <v>34</v>
      </c>
      <c r="EF9" s="32" t="s">
        <v>34</v>
      </c>
      <c r="EG9" s="32" t="s">
        <v>34</v>
      </c>
      <c r="EH9" s="32" t="s">
        <v>34</v>
      </c>
      <c r="EI9" s="32" t="s">
        <v>34</v>
      </c>
      <c r="EJ9" s="32" t="s">
        <v>34</v>
      </c>
      <c r="EK9" s="32" t="s">
        <v>34</v>
      </c>
      <c r="EL9" s="32" t="s">
        <v>34</v>
      </c>
      <c r="EM9" s="32" t="s">
        <v>34</v>
      </c>
      <c r="EN9" s="32" t="s">
        <v>34</v>
      </c>
      <c r="EO9" s="69"/>
      <c r="EP9" s="32" t="s">
        <v>34</v>
      </c>
      <c r="EQ9" s="32" t="s">
        <v>34</v>
      </c>
      <c r="ER9" s="32" t="s">
        <v>34</v>
      </c>
      <c r="ES9" s="32" t="s">
        <v>34</v>
      </c>
      <c r="ET9" s="32" t="s">
        <v>34</v>
      </c>
      <c r="EU9" s="32" t="s">
        <v>34</v>
      </c>
      <c r="EV9" s="32" t="s">
        <v>34</v>
      </c>
      <c r="EW9" s="32" t="s">
        <v>34</v>
      </c>
      <c r="EX9" s="32" t="s">
        <v>34</v>
      </c>
      <c r="EY9" s="32" t="s">
        <v>34</v>
      </c>
      <c r="EZ9" s="32" t="s">
        <v>34</v>
      </c>
      <c r="FA9" s="32" t="s">
        <v>34</v>
      </c>
      <c r="FB9" s="32" t="s">
        <v>34</v>
      </c>
      <c r="FC9" s="32" t="s">
        <v>34</v>
      </c>
      <c r="FD9" s="32" t="s">
        <v>34</v>
      </c>
      <c r="FE9" s="32" t="s">
        <v>34</v>
      </c>
      <c r="FF9" s="32" t="s">
        <v>34</v>
      </c>
      <c r="FG9" s="69"/>
      <c r="FH9" s="32" t="s">
        <v>34</v>
      </c>
      <c r="FI9" s="32" t="s">
        <v>34</v>
      </c>
      <c r="FJ9" s="32" t="s">
        <v>34</v>
      </c>
      <c r="FK9" s="32" t="s">
        <v>34</v>
      </c>
      <c r="FL9" s="32" t="s">
        <v>34</v>
      </c>
      <c r="FM9" s="32" t="s">
        <v>34</v>
      </c>
      <c r="FN9" s="32" t="s">
        <v>34</v>
      </c>
      <c r="FO9" s="32" t="s">
        <v>34</v>
      </c>
      <c r="FP9" s="32" t="s">
        <v>34</v>
      </c>
      <c r="FQ9" s="32" t="s">
        <v>34</v>
      </c>
      <c r="FR9" s="32" t="s">
        <v>34</v>
      </c>
      <c r="FS9" s="32" t="s">
        <v>34</v>
      </c>
      <c r="FT9" s="32" t="s">
        <v>34</v>
      </c>
      <c r="FU9" s="32" t="s">
        <v>34</v>
      </c>
      <c r="FV9" s="32" t="s">
        <v>34</v>
      </c>
      <c r="FW9" s="32" t="s">
        <v>34</v>
      </c>
      <c r="FX9" s="32" t="s">
        <v>34</v>
      </c>
      <c r="FY9" s="32" t="s">
        <v>34</v>
      </c>
      <c r="FZ9" s="32" t="s">
        <v>34</v>
      </c>
      <c r="GA9" s="32" t="s">
        <v>34</v>
      </c>
      <c r="GB9" s="69"/>
      <c r="GC9" s="32" t="s">
        <v>34</v>
      </c>
      <c r="GD9" s="32" t="s">
        <v>34</v>
      </c>
      <c r="GE9" s="32" t="s">
        <v>34</v>
      </c>
      <c r="GF9" s="32" t="s">
        <v>34</v>
      </c>
      <c r="GG9" s="32" t="s">
        <v>34</v>
      </c>
      <c r="GH9" s="69"/>
      <c r="GI9" s="32" t="s">
        <v>34</v>
      </c>
      <c r="GJ9" s="32" t="s">
        <v>34</v>
      </c>
      <c r="GK9" s="32" t="s">
        <v>34</v>
      </c>
      <c r="GL9" s="32" t="s">
        <v>34</v>
      </c>
      <c r="GM9" s="32" t="s">
        <v>34</v>
      </c>
      <c r="GN9" s="32" t="s">
        <v>34</v>
      </c>
      <c r="GO9" s="32" t="s">
        <v>34</v>
      </c>
      <c r="GP9" s="32" t="s">
        <v>34</v>
      </c>
      <c r="GQ9" s="32" t="s">
        <v>34</v>
      </c>
      <c r="GR9" s="32" t="s">
        <v>34</v>
      </c>
      <c r="GS9" s="32" t="s">
        <v>34</v>
      </c>
      <c r="GT9" s="32" t="s">
        <v>34</v>
      </c>
      <c r="GU9" s="32" t="s">
        <v>34</v>
      </c>
      <c r="GV9" s="32" t="s">
        <v>34</v>
      </c>
      <c r="GW9" s="32" t="s">
        <v>34</v>
      </c>
      <c r="GX9" s="32" t="s">
        <v>34</v>
      </c>
      <c r="GY9" s="32" t="s">
        <v>34</v>
      </c>
      <c r="GZ9" s="32" t="s">
        <v>34</v>
      </c>
      <c r="HA9" s="8" t="s">
        <v>34</v>
      </c>
      <c r="HB9" s="32" t="s">
        <v>34</v>
      </c>
      <c r="HC9" s="32" t="s">
        <v>34</v>
      </c>
      <c r="HD9" s="32" t="s">
        <v>34</v>
      </c>
      <c r="HE9" s="32" t="s">
        <v>34</v>
      </c>
      <c r="HF9" s="32" t="s">
        <v>34</v>
      </c>
      <c r="HG9" s="32" t="s">
        <v>34</v>
      </c>
      <c r="HH9" s="32" t="s">
        <v>34</v>
      </c>
      <c r="HI9" s="32" t="s">
        <v>34</v>
      </c>
      <c r="HJ9" s="32" t="s">
        <v>34</v>
      </c>
      <c r="HK9" s="32" t="s">
        <v>34</v>
      </c>
      <c r="HL9" s="32" t="s">
        <v>34</v>
      </c>
      <c r="HM9" s="32" t="s">
        <v>34</v>
      </c>
      <c r="HN9" s="32" t="s">
        <v>34</v>
      </c>
      <c r="HO9" s="32" t="s">
        <v>34</v>
      </c>
      <c r="HP9" s="32" t="s">
        <v>34</v>
      </c>
      <c r="HQ9" s="32" t="s">
        <v>34</v>
      </c>
      <c r="HR9" s="32" t="s">
        <v>34</v>
      </c>
      <c r="HS9" s="32" t="s">
        <v>34</v>
      </c>
      <c r="HT9" s="32" t="s">
        <v>34</v>
      </c>
      <c r="HU9" s="32" t="s">
        <v>34</v>
      </c>
      <c r="HV9" s="32" t="s">
        <v>34</v>
      </c>
      <c r="HW9" s="17" t="s">
        <v>34</v>
      </c>
      <c r="HX9" s="69"/>
      <c r="HY9" s="32" t="s">
        <v>34</v>
      </c>
      <c r="HZ9" s="32" t="s">
        <v>34</v>
      </c>
      <c r="IA9" s="32" t="s">
        <v>34</v>
      </c>
      <c r="IB9" s="32" t="s">
        <v>34</v>
      </c>
      <c r="IC9" s="32" t="s">
        <v>34</v>
      </c>
      <c r="ID9" s="32" t="s">
        <v>34</v>
      </c>
      <c r="IE9" s="32" t="s">
        <v>34</v>
      </c>
      <c r="IF9" s="32" t="s">
        <v>34</v>
      </c>
      <c r="IG9" s="32" t="s">
        <v>34</v>
      </c>
      <c r="IH9" s="32" t="s">
        <v>34</v>
      </c>
      <c r="II9" s="32" t="s">
        <v>34</v>
      </c>
      <c r="IJ9" s="32" t="s">
        <v>34</v>
      </c>
      <c r="IK9" s="32" t="s">
        <v>34</v>
      </c>
      <c r="IL9" s="32" t="s">
        <v>34</v>
      </c>
      <c r="IM9" s="32" t="s">
        <v>34</v>
      </c>
      <c r="IN9" s="32" t="s">
        <v>34</v>
      </c>
      <c r="IO9" s="32" t="s">
        <v>34</v>
      </c>
      <c r="IP9" s="32" t="s">
        <v>34</v>
      </c>
      <c r="IQ9" s="8" t="s">
        <v>34</v>
      </c>
      <c r="IR9" s="32" t="s">
        <v>34</v>
      </c>
      <c r="IS9" s="32" t="s">
        <v>34</v>
      </c>
      <c r="IT9" s="32" t="s">
        <v>34</v>
      </c>
      <c r="IU9" s="32" t="s">
        <v>34</v>
      </c>
      <c r="IV9" s="32" t="s">
        <v>34</v>
      </c>
      <c r="IW9" s="32" t="s">
        <v>34</v>
      </c>
      <c r="IX9" s="32" t="s">
        <v>34</v>
      </c>
      <c r="IY9" s="32" t="s">
        <v>34</v>
      </c>
      <c r="IZ9" s="32" t="s">
        <v>34</v>
      </c>
      <c r="JA9" s="32" t="s">
        <v>34</v>
      </c>
      <c r="JB9" s="32" t="s">
        <v>34</v>
      </c>
      <c r="JC9" s="32" t="s">
        <v>34</v>
      </c>
      <c r="JD9" s="32" t="s">
        <v>34</v>
      </c>
      <c r="JE9" s="32" t="s">
        <v>34</v>
      </c>
      <c r="JF9" s="32" t="s">
        <v>34</v>
      </c>
      <c r="JG9" s="32" t="s">
        <v>34</v>
      </c>
      <c r="JH9" s="32" t="s">
        <v>34</v>
      </c>
      <c r="JI9" s="69"/>
      <c r="JJ9" s="32" t="s">
        <v>34</v>
      </c>
      <c r="JK9" s="32" t="s">
        <v>34</v>
      </c>
      <c r="JL9" s="32" t="s">
        <v>34</v>
      </c>
      <c r="JM9" s="32" t="s">
        <v>34</v>
      </c>
      <c r="JN9" s="32" t="s">
        <v>34</v>
      </c>
      <c r="JO9" s="32" t="s">
        <v>34</v>
      </c>
      <c r="JP9" s="32" t="s">
        <v>34</v>
      </c>
      <c r="JQ9" s="32" t="s">
        <v>34</v>
      </c>
      <c r="JR9" s="32" t="s">
        <v>34</v>
      </c>
      <c r="JS9" s="32" t="s">
        <v>34</v>
      </c>
      <c r="JT9" s="32" t="s">
        <v>34</v>
      </c>
      <c r="JU9" s="69"/>
      <c r="JV9" s="32" t="s">
        <v>34</v>
      </c>
      <c r="JW9" s="32" t="s">
        <v>34</v>
      </c>
      <c r="JX9" s="32" t="s">
        <v>34</v>
      </c>
      <c r="JY9" s="32" t="s">
        <v>34</v>
      </c>
      <c r="JZ9" s="32" t="s">
        <v>34</v>
      </c>
      <c r="KA9" s="32" t="s">
        <v>34</v>
      </c>
      <c r="KB9" s="32" t="s">
        <v>34</v>
      </c>
      <c r="KC9" s="32" t="s">
        <v>34</v>
      </c>
      <c r="KD9" s="32" t="s">
        <v>34</v>
      </c>
      <c r="KE9" s="32" t="s">
        <v>34</v>
      </c>
      <c r="KF9" s="32" t="s">
        <v>34</v>
      </c>
      <c r="KG9" s="32" t="s">
        <v>34</v>
      </c>
      <c r="KH9" s="32" t="s">
        <v>34</v>
      </c>
      <c r="KI9" s="32" t="s">
        <v>34</v>
      </c>
      <c r="KJ9" s="32" t="s">
        <v>34</v>
      </c>
      <c r="KK9" s="32" t="s">
        <v>34</v>
      </c>
      <c r="KL9" s="32" t="s">
        <v>34</v>
      </c>
      <c r="KM9" s="69"/>
      <c r="KN9" s="32" t="s">
        <v>34</v>
      </c>
      <c r="KO9" s="32" t="s">
        <v>34</v>
      </c>
      <c r="KP9" s="32" t="s">
        <v>34</v>
      </c>
      <c r="KQ9" s="32" t="s">
        <v>34</v>
      </c>
      <c r="KR9" s="32" t="s">
        <v>34</v>
      </c>
      <c r="KS9" s="32" t="s">
        <v>34</v>
      </c>
      <c r="KT9" s="32" t="s">
        <v>34</v>
      </c>
      <c r="KU9" s="32" t="s">
        <v>34</v>
      </c>
      <c r="KV9" s="32" t="s">
        <v>34</v>
      </c>
      <c r="KW9" s="32" t="s">
        <v>34</v>
      </c>
      <c r="KX9" s="32" t="s">
        <v>34</v>
      </c>
      <c r="KY9" s="32" t="s">
        <v>34</v>
      </c>
      <c r="KZ9" s="32" t="s">
        <v>34</v>
      </c>
      <c r="LA9" s="32" t="s">
        <v>34</v>
      </c>
      <c r="LB9" s="32" t="s">
        <v>34</v>
      </c>
      <c r="LC9" s="32" t="s">
        <v>34</v>
      </c>
      <c r="LD9" s="32" t="s">
        <v>34</v>
      </c>
      <c r="LE9" s="32" t="s">
        <v>34</v>
      </c>
      <c r="LF9" s="32" t="s">
        <v>34</v>
      </c>
      <c r="LG9" s="32" t="s">
        <v>34</v>
      </c>
      <c r="LH9" s="69"/>
      <c r="LI9" s="32" t="s">
        <v>34</v>
      </c>
      <c r="LJ9" s="32" t="s">
        <v>34</v>
      </c>
      <c r="LK9" s="32" t="s">
        <v>34</v>
      </c>
      <c r="LL9" s="32" t="s">
        <v>34</v>
      </c>
      <c r="LM9" s="32" t="s">
        <v>34</v>
      </c>
      <c r="LN9" s="69"/>
      <c r="LO9" s="32" t="s">
        <v>34</v>
      </c>
      <c r="LP9" s="32" t="s">
        <v>34</v>
      </c>
      <c r="LQ9" s="32" t="s">
        <v>34</v>
      </c>
      <c r="LR9" s="32" t="s">
        <v>34</v>
      </c>
      <c r="LS9" s="32" t="s">
        <v>34</v>
      </c>
      <c r="LT9" s="32" t="s">
        <v>34</v>
      </c>
      <c r="LU9" s="32" t="s">
        <v>34</v>
      </c>
      <c r="LV9" s="32" t="s">
        <v>34</v>
      </c>
      <c r="LW9" s="32" t="s">
        <v>34</v>
      </c>
      <c r="LX9" s="32" t="s">
        <v>34</v>
      </c>
      <c r="LY9" s="32" t="s">
        <v>34</v>
      </c>
      <c r="LZ9" s="32" t="s">
        <v>34</v>
      </c>
      <c r="MA9" s="32" t="s">
        <v>34</v>
      </c>
      <c r="MB9" s="32" t="s">
        <v>34</v>
      </c>
      <c r="MC9" s="32" t="s">
        <v>34</v>
      </c>
      <c r="MD9" s="32" t="s">
        <v>34</v>
      </c>
      <c r="ME9" s="32" t="s">
        <v>34</v>
      </c>
      <c r="MF9" s="32" t="s">
        <v>34</v>
      </c>
      <c r="MG9" s="8" t="s">
        <v>34</v>
      </c>
      <c r="MH9" s="32" t="s">
        <v>34</v>
      </c>
      <c r="MI9" s="32" t="s">
        <v>34</v>
      </c>
      <c r="MJ9" s="32" t="s">
        <v>34</v>
      </c>
      <c r="MK9" s="32" t="s">
        <v>34</v>
      </c>
      <c r="ML9" s="32" t="s">
        <v>34</v>
      </c>
      <c r="MM9" s="32" t="s">
        <v>34</v>
      </c>
      <c r="MN9" s="32" t="s">
        <v>34</v>
      </c>
      <c r="MO9" s="32" t="s">
        <v>34</v>
      </c>
      <c r="MP9" s="32" t="s">
        <v>34</v>
      </c>
      <c r="MQ9" s="32" t="s">
        <v>34</v>
      </c>
      <c r="MR9" s="32" t="s">
        <v>34</v>
      </c>
      <c r="MS9" s="32" t="s">
        <v>34</v>
      </c>
      <c r="MT9" s="32" t="s">
        <v>34</v>
      </c>
      <c r="MU9" s="32" t="s">
        <v>34</v>
      </c>
      <c r="MV9" s="32" t="s">
        <v>34</v>
      </c>
      <c r="MW9" s="32" t="s">
        <v>34</v>
      </c>
      <c r="MX9" s="32" t="s">
        <v>34</v>
      </c>
      <c r="MY9" s="32" t="s">
        <v>34</v>
      </c>
      <c r="MZ9" s="32" t="s">
        <v>34</v>
      </c>
      <c r="NA9" s="32" t="s">
        <v>34</v>
      </c>
      <c r="NB9" s="17" t="s">
        <v>34</v>
      </c>
      <c r="NC9" s="69"/>
      <c r="ND9" s="32" t="s">
        <v>34</v>
      </c>
      <c r="NE9" s="32" t="s">
        <v>34</v>
      </c>
      <c r="NF9" s="32" t="s">
        <v>34</v>
      </c>
      <c r="NG9" s="32" t="s">
        <v>34</v>
      </c>
      <c r="NH9" s="32" t="s">
        <v>34</v>
      </c>
      <c r="NI9" s="32" t="s">
        <v>34</v>
      </c>
      <c r="NJ9" s="32" t="s">
        <v>34</v>
      </c>
      <c r="NK9" s="32" t="s">
        <v>34</v>
      </c>
      <c r="NL9" s="32" t="s">
        <v>34</v>
      </c>
      <c r="NM9" s="32" t="s">
        <v>34</v>
      </c>
      <c r="NN9" s="32" t="s">
        <v>34</v>
      </c>
      <c r="NO9" s="32" t="s">
        <v>34</v>
      </c>
      <c r="NP9" s="32" t="s">
        <v>34</v>
      </c>
      <c r="NQ9" s="32" t="s">
        <v>34</v>
      </c>
      <c r="NR9" s="32" t="s">
        <v>34</v>
      </c>
      <c r="NS9" s="32" t="s">
        <v>34</v>
      </c>
      <c r="NT9" s="32" t="s">
        <v>34</v>
      </c>
      <c r="NU9" s="32" t="s">
        <v>34</v>
      </c>
      <c r="NV9" s="8" t="s">
        <v>34</v>
      </c>
      <c r="NW9" s="32" t="s">
        <v>34</v>
      </c>
      <c r="NX9" s="32" t="s">
        <v>34</v>
      </c>
      <c r="NY9" s="32" t="s">
        <v>34</v>
      </c>
      <c r="NZ9" s="32" t="s">
        <v>34</v>
      </c>
      <c r="OA9" s="32" t="s">
        <v>34</v>
      </c>
      <c r="OB9" s="32" t="s">
        <v>34</v>
      </c>
      <c r="OC9" s="32" t="s">
        <v>34</v>
      </c>
      <c r="OD9" s="32" t="s">
        <v>34</v>
      </c>
      <c r="OE9" s="32" t="s">
        <v>34</v>
      </c>
      <c r="OF9" s="32" t="s">
        <v>34</v>
      </c>
      <c r="OG9" s="32" t="s">
        <v>34</v>
      </c>
      <c r="OH9" s="32" t="s">
        <v>34</v>
      </c>
      <c r="OI9" s="32" t="s">
        <v>34</v>
      </c>
      <c r="OJ9" s="32" t="s">
        <v>34</v>
      </c>
      <c r="OK9" s="32" t="s">
        <v>34</v>
      </c>
      <c r="OL9" s="32" t="s">
        <v>34</v>
      </c>
      <c r="OM9" s="32" t="s">
        <v>34</v>
      </c>
      <c r="ON9" s="69"/>
      <c r="OO9" s="32" t="s">
        <v>34</v>
      </c>
      <c r="OP9" s="32" t="s">
        <v>34</v>
      </c>
      <c r="OQ9" s="32" t="s">
        <v>34</v>
      </c>
      <c r="OR9" s="32" t="s">
        <v>34</v>
      </c>
      <c r="OS9" s="32" t="s">
        <v>34</v>
      </c>
      <c r="OT9" s="32" t="s">
        <v>34</v>
      </c>
      <c r="OU9" s="32" t="s">
        <v>34</v>
      </c>
      <c r="OV9" s="32" t="s">
        <v>34</v>
      </c>
      <c r="OW9" s="32" t="s">
        <v>34</v>
      </c>
      <c r="OX9" s="32" t="s">
        <v>34</v>
      </c>
      <c r="OY9" s="32" t="s">
        <v>34</v>
      </c>
    </row>
    <row r="10" spans="1:415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9"/>
      <c r="K10" s="32" t="s">
        <v>34</v>
      </c>
      <c r="L10" s="32" t="s">
        <v>34</v>
      </c>
      <c r="M10" s="32" t="s">
        <v>34</v>
      </c>
      <c r="N10" s="32" t="s">
        <v>34</v>
      </c>
      <c r="O10" s="32" t="s">
        <v>34</v>
      </c>
      <c r="P10" s="32" t="s">
        <v>34</v>
      </c>
      <c r="Q10" s="32" t="s">
        <v>34</v>
      </c>
      <c r="R10" s="32" t="s">
        <v>34</v>
      </c>
      <c r="S10" s="32" t="s">
        <v>34</v>
      </c>
      <c r="T10" s="32" t="s">
        <v>34</v>
      </c>
      <c r="U10" s="32" t="s">
        <v>34</v>
      </c>
      <c r="V10" s="32" t="s">
        <v>34</v>
      </c>
      <c r="W10" s="32" t="s">
        <v>34</v>
      </c>
      <c r="X10" s="32" t="s">
        <v>34</v>
      </c>
      <c r="Y10" s="32" t="s">
        <v>34</v>
      </c>
      <c r="Z10" s="32" t="s">
        <v>34</v>
      </c>
      <c r="AA10" s="32" t="s">
        <v>34</v>
      </c>
      <c r="AB10" s="69"/>
      <c r="AC10" s="32" t="s">
        <v>34</v>
      </c>
      <c r="AD10" s="32" t="s">
        <v>34</v>
      </c>
      <c r="AE10" s="32" t="s">
        <v>34</v>
      </c>
      <c r="AF10" s="32" t="s">
        <v>34</v>
      </c>
      <c r="AG10" s="32" t="s">
        <v>34</v>
      </c>
      <c r="AH10" s="32" t="s">
        <v>34</v>
      </c>
      <c r="AI10" s="32" t="s">
        <v>34</v>
      </c>
      <c r="AJ10" s="32" t="s">
        <v>34</v>
      </c>
      <c r="AK10" s="32" t="s">
        <v>34</v>
      </c>
      <c r="AL10" s="32" t="s">
        <v>34</v>
      </c>
      <c r="AM10" s="32" t="s">
        <v>34</v>
      </c>
      <c r="AN10" s="32" t="s">
        <v>34</v>
      </c>
      <c r="AO10" s="32" t="s">
        <v>34</v>
      </c>
      <c r="AP10" s="32" t="s">
        <v>34</v>
      </c>
      <c r="AQ10" s="32" t="s">
        <v>34</v>
      </c>
      <c r="AR10" s="32" t="s">
        <v>34</v>
      </c>
      <c r="AS10" s="32" t="s">
        <v>34</v>
      </c>
      <c r="AT10" s="32" t="s">
        <v>34</v>
      </c>
      <c r="AU10" s="32" t="s">
        <v>34</v>
      </c>
      <c r="AV10" s="32" t="s">
        <v>34</v>
      </c>
      <c r="AW10" s="69"/>
      <c r="AX10" s="32" t="s">
        <v>34</v>
      </c>
      <c r="AY10" s="32" t="s">
        <v>34</v>
      </c>
      <c r="AZ10" s="32" t="s">
        <v>34</v>
      </c>
      <c r="BA10" s="32" t="s">
        <v>34</v>
      </c>
      <c r="BB10" s="32" t="s">
        <v>34</v>
      </c>
      <c r="BC10" s="69"/>
      <c r="BD10" s="32" t="s">
        <v>34</v>
      </c>
      <c r="BE10" s="32" t="s">
        <v>34</v>
      </c>
      <c r="BF10" s="32" t="s">
        <v>34</v>
      </c>
      <c r="BG10" s="32" t="s">
        <v>34</v>
      </c>
      <c r="BH10" s="32" t="s">
        <v>34</v>
      </c>
      <c r="BI10" s="32" t="s">
        <v>34</v>
      </c>
      <c r="BJ10" s="32" t="s">
        <v>34</v>
      </c>
      <c r="BK10" s="32" t="s">
        <v>34</v>
      </c>
      <c r="BL10" s="32" t="s">
        <v>34</v>
      </c>
      <c r="BM10" s="32" t="s">
        <v>34</v>
      </c>
      <c r="BN10" s="32" t="s">
        <v>34</v>
      </c>
      <c r="BO10" s="32" t="s">
        <v>34</v>
      </c>
      <c r="BP10" s="32" t="s">
        <v>34</v>
      </c>
      <c r="BQ10" s="32" t="s">
        <v>34</v>
      </c>
      <c r="BR10" s="32" t="s">
        <v>34</v>
      </c>
      <c r="BS10" s="32" t="s">
        <v>34</v>
      </c>
      <c r="BT10" s="32" t="s">
        <v>34</v>
      </c>
      <c r="BU10" s="32" t="s">
        <v>34</v>
      </c>
      <c r="BV10" s="8" t="s">
        <v>34</v>
      </c>
      <c r="BW10" s="32" t="s">
        <v>34</v>
      </c>
      <c r="BX10" s="32" t="s">
        <v>34</v>
      </c>
      <c r="BY10" s="32" t="s">
        <v>34</v>
      </c>
      <c r="BZ10" s="32" t="s">
        <v>34</v>
      </c>
      <c r="CA10" s="32" t="s">
        <v>34</v>
      </c>
      <c r="CB10" s="32" t="s">
        <v>34</v>
      </c>
      <c r="CC10" s="32" t="s">
        <v>34</v>
      </c>
      <c r="CD10" s="32" t="s">
        <v>34</v>
      </c>
      <c r="CE10" s="32" t="s">
        <v>34</v>
      </c>
      <c r="CF10" s="32" t="s">
        <v>34</v>
      </c>
      <c r="CG10" s="32" t="s">
        <v>34</v>
      </c>
      <c r="CH10" s="32" t="s">
        <v>34</v>
      </c>
      <c r="CI10" s="32" t="s">
        <v>34</v>
      </c>
      <c r="CJ10" s="32" t="s">
        <v>34</v>
      </c>
      <c r="CK10" s="32" t="s">
        <v>34</v>
      </c>
      <c r="CL10" s="32" t="s">
        <v>34</v>
      </c>
      <c r="CM10" s="32" t="s">
        <v>34</v>
      </c>
      <c r="CN10" s="32" t="s">
        <v>34</v>
      </c>
      <c r="CO10" s="32" t="s">
        <v>34</v>
      </c>
      <c r="CP10" s="32" t="s">
        <v>34</v>
      </c>
      <c r="CQ10" s="17" t="s">
        <v>34</v>
      </c>
      <c r="CR10" s="69"/>
      <c r="CS10" s="32" t="s">
        <v>34</v>
      </c>
      <c r="CT10" s="32" t="s">
        <v>34</v>
      </c>
      <c r="CU10" s="32" t="s">
        <v>34</v>
      </c>
      <c r="CV10" s="32" t="s">
        <v>34</v>
      </c>
      <c r="CW10" s="32" t="s">
        <v>34</v>
      </c>
      <c r="CX10" s="32" t="s">
        <v>34</v>
      </c>
      <c r="CY10" s="32" t="s">
        <v>34</v>
      </c>
      <c r="CZ10" s="32" t="s">
        <v>34</v>
      </c>
      <c r="DA10" s="32" t="s">
        <v>34</v>
      </c>
      <c r="DB10" s="32" t="s">
        <v>34</v>
      </c>
      <c r="DC10" s="32" t="s">
        <v>34</v>
      </c>
      <c r="DD10" s="32" t="s">
        <v>34</v>
      </c>
      <c r="DE10" s="32" t="s">
        <v>34</v>
      </c>
      <c r="DF10" s="32" t="s">
        <v>34</v>
      </c>
      <c r="DG10" s="32" t="s">
        <v>34</v>
      </c>
      <c r="DH10" s="32" t="s">
        <v>34</v>
      </c>
      <c r="DI10" s="32" t="s">
        <v>34</v>
      </c>
      <c r="DJ10" s="32" t="s">
        <v>34</v>
      </c>
      <c r="DK10" s="8" t="s">
        <v>34</v>
      </c>
      <c r="DL10" s="32" t="s">
        <v>34</v>
      </c>
      <c r="DM10" s="32" t="s">
        <v>34</v>
      </c>
      <c r="DN10" s="32" t="s">
        <v>34</v>
      </c>
      <c r="DO10" s="32" t="s">
        <v>34</v>
      </c>
      <c r="DP10" s="32" t="s">
        <v>34</v>
      </c>
      <c r="DQ10" s="32" t="s">
        <v>34</v>
      </c>
      <c r="DR10" s="32" t="s">
        <v>34</v>
      </c>
      <c r="DS10" s="32" t="s">
        <v>34</v>
      </c>
      <c r="DT10" s="32" t="s">
        <v>34</v>
      </c>
      <c r="DU10" s="32" t="s">
        <v>34</v>
      </c>
      <c r="DV10" s="32" t="s">
        <v>34</v>
      </c>
      <c r="DW10" s="32" t="s">
        <v>34</v>
      </c>
      <c r="DX10" s="32" t="s">
        <v>34</v>
      </c>
      <c r="DY10" s="32" t="s">
        <v>34</v>
      </c>
      <c r="DZ10" s="32" t="s">
        <v>34</v>
      </c>
      <c r="EA10" s="32" t="s">
        <v>34</v>
      </c>
      <c r="EB10" s="32" t="s">
        <v>34</v>
      </c>
      <c r="EC10" s="69"/>
      <c r="ED10" s="32" t="s">
        <v>34</v>
      </c>
      <c r="EE10" s="32" t="s">
        <v>34</v>
      </c>
      <c r="EF10" s="32" t="s">
        <v>34</v>
      </c>
      <c r="EG10" s="32" t="s">
        <v>34</v>
      </c>
      <c r="EH10" s="32" t="s">
        <v>34</v>
      </c>
      <c r="EI10" s="32" t="s">
        <v>34</v>
      </c>
      <c r="EJ10" s="32" t="s">
        <v>34</v>
      </c>
      <c r="EK10" s="32" t="s">
        <v>34</v>
      </c>
      <c r="EL10" s="32" t="s">
        <v>34</v>
      </c>
      <c r="EM10" s="32" t="s">
        <v>34</v>
      </c>
      <c r="EN10" s="32" t="s">
        <v>34</v>
      </c>
      <c r="EO10" s="69"/>
      <c r="EP10" s="32" t="s">
        <v>34</v>
      </c>
      <c r="EQ10" s="32" t="s">
        <v>34</v>
      </c>
      <c r="ER10" s="32" t="s">
        <v>34</v>
      </c>
      <c r="ES10" s="32" t="s">
        <v>34</v>
      </c>
      <c r="ET10" s="32" t="s">
        <v>34</v>
      </c>
      <c r="EU10" s="32" t="s">
        <v>34</v>
      </c>
      <c r="EV10" s="32" t="s">
        <v>34</v>
      </c>
      <c r="EW10" s="32" t="s">
        <v>34</v>
      </c>
      <c r="EX10" s="32" t="s">
        <v>34</v>
      </c>
      <c r="EY10" s="32" t="s">
        <v>34</v>
      </c>
      <c r="EZ10" s="32" t="s">
        <v>34</v>
      </c>
      <c r="FA10" s="32" t="s">
        <v>34</v>
      </c>
      <c r="FB10" s="32" t="s">
        <v>34</v>
      </c>
      <c r="FC10" s="32" t="s">
        <v>34</v>
      </c>
      <c r="FD10" s="32" t="s">
        <v>34</v>
      </c>
      <c r="FE10" s="32" t="s">
        <v>34</v>
      </c>
      <c r="FF10" s="32" t="s">
        <v>34</v>
      </c>
      <c r="FG10" s="69"/>
      <c r="FH10" s="32" t="s">
        <v>34</v>
      </c>
      <c r="FI10" s="32" t="s">
        <v>34</v>
      </c>
      <c r="FJ10" s="32" t="s">
        <v>34</v>
      </c>
      <c r="FK10" s="32" t="s">
        <v>34</v>
      </c>
      <c r="FL10" s="32" t="s">
        <v>34</v>
      </c>
      <c r="FM10" s="32" t="s">
        <v>34</v>
      </c>
      <c r="FN10" s="32" t="s">
        <v>34</v>
      </c>
      <c r="FO10" s="32" t="s">
        <v>34</v>
      </c>
      <c r="FP10" s="32" t="s">
        <v>34</v>
      </c>
      <c r="FQ10" s="32" t="s">
        <v>34</v>
      </c>
      <c r="FR10" s="32" t="s">
        <v>34</v>
      </c>
      <c r="FS10" s="32" t="s">
        <v>34</v>
      </c>
      <c r="FT10" s="32" t="s">
        <v>34</v>
      </c>
      <c r="FU10" s="32" t="s">
        <v>34</v>
      </c>
      <c r="FV10" s="32" t="s">
        <v>34</v>
      </c>
      <c r="FW10" s="32" t="s">
        <v>34</v>
      </c>
      <c r="FX10" s="32" t="s">
        <v>34</v>
      </c>
      <c r="FY10" s="32" t="s">
        <v>34</v>
      </c>
      <c r="FZ10" s="32" t="s">
        <v>34</v>
      </c>
      <c r="GA10" s="32" t="s">
        <v>34</v>
      </c>
      <c r="GB10" s="69"/>
      <c r="GC10" s="32" t="s">
        <v>34</v>
      </c>
      <c r="GD10" s="32" t="s">
        <v>34</v>
      </c>
      <c r="GE10" s="32" t="s">
        <v>34</v>
      </c>
      <c r="GF10" s="32" t="s">
        <v>34</v>
      </c>
      <c r="GG10" s="32" t="s">
        <v>34</v>
      </c>
      <c r="GH10" s="69"/>
      <c r="GI10" s="32" t="s">
        <v>34</v>
      </c>
      <c r="GJ10" s="32" t="s">
        <v>34</v>
      </c>
      <c r="GK10" s="32" t="s">
        <v>34</v>
      </c>
      <c r="GL10" s="32" t="s">
        <v>34</v>
      </c>
      <c r="GM10" s="32" t="s">
        <v>34</v>
      </c>
      <c r="GN10" s="32" t="s">
        <v>34</v>
      </c>
      <c r="GO10" s="32" t="s">
        <v>34</v>
      </c>
      <c r="GP10" s="32" t="s">
        <v>34</v>
      </c>
      <c r="GQ10" s="32" t="s">
        <v>34</v>
      </c>
      <c r="GR10" s="32" t="s">
        <v>34</v>
      </c>
      <c r="GS10" s="32" t="s">
        <v>34</v>
      </c>
      <c r="GT10" s="32" t="s">
        <v>34</v>
      </c>
      <c r="GU10" s="32" t="s">
        <v>34</v>
      </c>
      <c r="GV10" s="32" t="s">
        <v>34</v>
      </c>
      <c r="GW10" s="32" t="s">
        <v>34</v>
      </c>
      <c r="GX10" s="32" t="s">
        <v>34</v>
      </c>
      <c r="GY10" s="32" t="s">
        <v>34</v>
      </c>
      <c r="GZ10" s="32" t="s">
        <v>34</v>
      </c>
      <c r="HA10" s="8" t="s">
        <v>34</v>
      </c>
      <c r="HB10" s="32" t="s">
        <v>34</v>
      </c>
      <c r="HC10" s="32" t="s">
        <v>34</v>
      </c>
      <c r="HD10" s="32" t="s">
        <v>34</v>
      </c>
      <c r="HE10" s="32" t="s">
        <v>34</v>
      </c>
      <c r="HF10" s="32" t="s">
        <v>34</v>
      </c>
      <c r="HG10" s="32" t="s">
        <v>34</v>
      </c>
      <c r="HH10" s="32" t="s">
        <v>34</v>
      </c>
      <c r="HI10" s="32" t="s">
        <v>34</v>
      </c>
      <c r="HJ10" s="32" t="s">
        <v>34</v>
      </c>
      <c r="HK10" s="32" t="s">
        <v>34</v>
      </c>
      <c r="HL10" s="32" t="s">
        <v>34</v>
      </c>
      <c r="HM10" s="32" t="s">
        <v>34</v>
      </c>
      <c r="HN10" s="32" t="s">
        <v>34</v>
      </c>
      <c r="HO10" s="32" t="s">
        <v>34</v>
      </c>
      <c r="HP10" s="32" t="s">
        <v>34</v>
      </c>
      <c r="HQ10" s="32" t="s">
        <v>34</v>
      </c>
      <c r="HR10" s="32" t="s">
        <v>34</v>
      </c>
      <c r="HS10" s="32" t="s">
        <v>34</v>
      </c>
      <c r="HT10" s="32" t="s">
        <v>34</v>
      </c>
      <c r="HU10" s="32" t="s">
        <v>34</v>
      </c>
      <c r="HV10" s="32" t="s">
        <v>34</v>
      </c>
      <c r="HW10" s="17" t="s">
        <v>34</v>
      </c>
      <c r="HX10" s="69"/>
      <c r="HY10" s="32" t="s">
        <v>34</v>
      </c>
      <c r="HZ10" s="32" t="s">
        <v>34</v>
      </c>
      <c r="IA10" s="32" t="s">
        <v>34</v>
      </c>
      <c r="IB10" s="32" t="s">
        <v>34</v>
      </c>
      <c r="IC10" s="32" t="s">
        <v>34</v>
      </c>
      <c r="ID10" s="32" t="s">
        <v>34</v>
      </c>
      <c r="IE10" s="32" t="s">
        <v>34</v>
      </c>
      <c r="IF10" s="32" t="s">
        <v>34</v>
      </c>
      <c r="IG10" s="32" t="s">
        <v>34</v>
      </c>
      <c r="IH10" s="32" t="s">
        <v>34</v>
      </c>
      <c r="II10" s="32" t="s">
        <v>34</v>
      </c>
      <c r="IJ10" s="32" t="s">
        <v>34</v>
      </c>
      <c r="IK10" s="32" t="s">
        <v>34</v>
      </c>
      <c r="IL10" s="32" t="s">
        <v>34</v>
      </c>
      <c r="IM10" s="32" t="s">
        <v>34</v>
      </c>
      <c r="IN10" s="32" t="s">
        <v>34</v>
      </c>
      <c r="IO10" s="32" t="s">
        <v>34</v>
      </c>
      <c r="IP10" s="32" t="s">
        <v>34</v>
      </c>
      <c r="IQ10" s="8" t="s">
        <v>34</v>
      </c>
      <c r="IR10" s="32" t="s">
        <v>34</v>
      </c>
      <c r="IS10" s="32" t="s">
        <v>34</v>
      </c>
      <c r="IT10" s="32" t="s">
        <v>34</v>
      </c>
      <c r="IU10" s="32" t="s">
        <v>34</v>
      </c>
      <c r="IV10" s="32" t="s">
        <v>34</v>
      </c>
      <c r="IW10" s="32" t="s">
        <v>34</v>
      </c>
      <c r="IX10" s="32" t="s">
        <v>34</v>
      </c>
      <c r="IY10" s="32" t="s">
        <v>34</v>
      </c>
      <c r="IZ10" s="32" t="s">
        <v>34</v>
      </c>
      <c r="JA10" s="32" t="s">
        <v>34</v>
      </c>
      <c r="JB10" s="32" t="s">
        <v>34</v>
      </c>
      <c r="JC10" s="32" t="s">
        <v>34</v>
      </c>
      <c r="JD10" s="32" t="s">
        <v>34</v>
      </c>
      <c r="JE10" s="32" t="s">
        <v>34</v>
      </c>
      <c r="JF10" s="32" t="s">
        <v>34</v>
      </c>
      <c r="JG10" s="32" t="s">
        <v>34</v>
      </c>
      <c r="JH10" s="32" t="s">
        <v>34</v>
      </c>
      <c r="JI10" s="69"/>
      <c r="JJ10" s="32" t="s">
        <v>34</v>
      </c>
      <c r="JK10" s="32" t="s">
        <v>34</v>
      </c>
      <c r="JL10" s="32" t="s">
        <v>34</v>
      </c>
      <c r="JM10" s="32" t="s">
        <v>34</v>
      </c>
      <c r="JN10" s="32" t="s">
        <v>34</v>
      </c>
      <c r="JO10" s="32" t="s">
        <v>34</v>
      </c>
      <c r="JP10" s="32" t="s">
        <v>34</v>
      </c>
      <c r="JQ10" s="32" t="s">
        <v>34</v>
      </c>
      <c r="JR10" s="32" t="s">
        <v>34</v>
      </c>
      <c r="JS10" s="32" t="s">
        <v>34</v>
      </c>
      <c r="JT10" s="32" t="s">
        <v>34</v>
      </c>
      <c r="JU10" s="69"/>
      <c r="JV10" s="32" t="s">
        <v>34</v>
      </c>
      <c r="JW10" s="32" t="s">
        <v>34</v>
      </c>
      <c r="JX10" s="32" t="s">
        <v>34</v>
      </c>
      <c r="JY10" s="32" t="s">
        <v>34</v>
      </c>
      <c r="JZ10" s="32" t="s">
        <v>34</v>
      </c>
      <c r="KA10" s="32" t="s">
        <v>34</v>
      </c>
      <c r="KB10" s="32" t="s">
        <v>34</v>
      </c>
      <c r="KC10" s="32" t="s">
        <v>34</v>
      </c>
      <c r="KD10" s="32" t="s">
        <v>34</v>
      </c>
      <c r="KE10" s="32" t="s">
        <v>34</v>
      </c>
      <c r="KF10" s="32" t="s">
        <v>34</v>
      </c>
      <c r="KG10" s="32" t="s">
        <v>34</v>
      </c>
      <c r="KH10" s="32" t="s">
        <v>34</v>
      </c>
      <c r="KI10" s="32" t="s">
        <v>34</v>
      </c>
      <c r="KJ10" s="32" t="s">
        <v>34</v>
      </c>
      <c r="KK10" s="32" t="s">
        <v>34</v>
      </c>
      <c r="KL10" s="32" t="s">
        <v>34</v>
      </c>
      <c r="KM10" s="69"/>
      <c r="KN10" s="32" t="s">
        <v>34</v>
      </c>
      <c r="KO10" s="32" t="s">
        <v>34</v>
      </c>
      <c r="KP10" s="32" t="s">
        <v>34</v>
      </c>
      <c r="KQ10" s="32" t="s">
        <v>34</v>
      </c>
      <c r="KR10" s="32" t="s">
        <v>34</v>
      </c>
      <c r="KS10" s="32" t="s">
        <v>34</v>
      </c>
      <c r="KT10" s="32" t="s">
        <v>34</v>
      </c>
      <c r="KU10" s="32" t="s">
        <v>34</v>
      </c>
      <c r="KV10" s="32" t="s">
        <v>34</v>
      </c>
      <c r="KW10" s="32" t="s">
        <v>34</v>
      </c>
      <c r="KX10" s="32" t="s">
        <v>34</v>
      </c>
      <c r="KY10" s="32" t="s">
        <v>34</v>
      </c>
      <c r="KZ10" s="32" t="s">
        <v>34</v>
      </c>
      <c r="LA10" s="32" t="s">
        <v>34</v>
      </c>
      <c r="LB10" s="32" t="s">
        <v>34</v>
      </c>
      <c r="LC10" s="32" t="s">
        <v>34</v>
      </c>
      <c r="LD10" s="32" t="s">
        <v>34</v>
      </c>
      <c r="LE10" s="32" t="s">
        <v>34</v>
      </c>
      <c r="LF10" s="32" t="s">
        <v>34</v>
      </c>
      <c r="LG10" s="32" t="s">
        <v>34</v>
      </c>
      <c r="LH10" s="69"/>
      <c r="LI10" s="32" t="s">
        <v>34</v>
      </c>
      <c r="LJ10" s="32" t="s">
        <v>34</v>
      </c>
      <c r="LK10" s="32" t="s">
        <v>34</v>
      </c>
      <c r="LL10" s="32" t="s">
        <v>34</v>
      </c>
      <c r="LM10" s="32" t="s">
        <v>34</v>
      </c>
      <c r="LN10" s="69"/>
      <c r="LO10" s="32" t="s">
        <v>34</v>
      </c>
      <c r="LP10" s="32" t="s">
        <v>34</v>
      </c>
      <c r="LQ10" s="32" t="s">
        <v>34</v>
      </c>
      <c r="LR10" s="32" t="s">
        <v>34</v>
      </c>
      <c r="LS10" s="32" t="s">
        <v>34</v>
      </c>
      <c r="LT10" s="32" t="s">
        <v>34</v>
      </c>
      <c r="LU10" s="32" t="s">
        <v>34</v>
      </c>
      <c r="LV10" s="32" t="s">
        <v>34</v>
      </c>
      <c r="LW10" s="32" t="s">
        <v>34</v>
      </c>
      <c r="LX10" s="32" t="s">
        <v>34</v>
      </c>
      <c r="LY10" s="32" t="s">
        <v>34</v>
      </c>
      <c r="LZ10" s="32" t="s">
        <v>34</v>
      </c>
      <c r="MA10" s="32" t="s">
        <v>34</v>
      </c>
      <c r="MB10" s="32" t="s">
        <v>34</v>
      </c>
      <c r="MC10" s="32" t="s">
        <v>34</v>
      </c>
      <c r="MD10" s="32" t="s">
        <v>34</v>
      </c>
      <c r="ME10" s="32" t="s">
        <v>34</v>
      </c>
      <c r="MF10" s="32" t="s">
        <v>34</v>
      </c>
      <c r="MG10" s="8" t="s">
        <v>34</v>
      </c>
      <c r="MH10" s="32" t="s">
        <v>34</v>
      </c>
      <c r="MI10" s="32" t="s">
        <v>34</v>
      </c>
      <c r="MJ10" s="32" t="s">
        <v>34</v>
      </c>
      <c r="MK10" s="32" t="s">
        <v>34</v>
      </c>
      <c r="ML10" s="32" t="s">
        <v>34</v>
      </c>
      <c r="MM10" s="32" t="s">
        <v>34</v>
      </c>
      <c r="MN10" s="32" t="s">
        <v>34</v>
      </c>
      <c r="MO10" s="32" t="s">
        <v>34</v>
      </c>
      <c r="MP10" s="32" t="s">
        <v>34</v>
      </c>
      <c r="MQ10" s="32" t="s">
        <v>34</v>
      </c>
      <c r="MR10" s="32" t="s">
        <v>34</v>
      </c>
      <c r="MS10" s="32" t="s">
        <v>34</v>
      </c>
      <c r="MT10" s="32" t="s">
        <v>34</v>
      </c>
      <c r="MU10" s="32" t="s">
        <v>34</v>
      </c>
      <c r="MV10" s="32" t="s">
        <v>34</v>
      </c>
      <c r="MW10" s="32" t="s">
        <v>34</v>
      </c>
      <c r="MX10" s="32" t="s">
        <v>34</v>
      </c>
      <c r="MY10" s="32" t="s">
        <v>34</v>
      </c>
      <c r="MZ10" s="32" t="s">
        <v>34</v>
      </c>
      <c r="NA10" s="32" t="s">
        <v>34</v>
      </c>
      <c r="NB10" s="17" t="s">
        <v>34</v>
      </c>
      <c r="NC10" s="69"/>
      <c r="ND10" s="32" t="s">
        <v>34</v>
      </c>
      <c r="NE10" s="32" t="s">
        <v>34</v>
      </c>
      <c r="NF10" s="32" t="s">
        <v>34</v>
      </c>
      <c r="NG10" s="32" t="s">
        <v>34</v>
      </c>
      <c r="NH10" s="32" t="s">
        <v>34</v>
      </c>
      <c r="NI10" s="32" t="s">
        <v>34</v>
      </c>
      <c r="NJ10" s="32" t="s">
        <v>34</v>
      </c>
      <c r="NK10" s="32" t="s">
        <v>34</v>
      </c>
      <c r="NL10" s="32" t="s">
        <v>34</v>
      </c>
      <c r="NM10" s="32" t="s">
        <v>34</v>
      </c>
      <c r="NN10" s="32" t="s">
        <v>34</v>
      </c>
      <c r="NO10" s="32" t="s">
        <v>34</v>
      </c>
      <c r="NP10" s="32" t="s">
        <v>34</v>
      </c>
      <c r="NQ10" s="32" t="s">
        <v>34</v>
      </c>
      <c r="NR10" s="32" t="s">
        <v>34</v>
      </c>
      <c r="NS10" s="32" t="s">
        <v>34</v>
      </c>
      <c r="NT10" s="32" t="s">
        <v>34</v>
      </c>
      <c r="NU10" s="32" t="s">
        <v>34</v>
      </c>
      <c r="NV10" s="8" t="s">
        <v>34</v>
      </c>
      <c r="NW10" s="32" t="s">
        <v>34</v>
      </c>
      <c r="NX10" s="32" t="s">
        <v>34</v>
      </c>
      <c r="NY10" s="32" t="s">
        <v>34</v>
      </c>
      <c r="NZ10" s="32" t="s">
        <v>34</v>
      </c>
      <c r="OA10" s="32" t="s">
        <v>34</v>
      </c>
      <c r="OB10" s="32" t="s">
        <v>34</v>
      </c>
      <c r="OC10" s="32" t="s">
        <v>34</v>
      </c>
      <c r="OD10" s="32" t="s">
        <v>34</v>
      </c>
      <c r="OE10" s="32" t="s">
        <v>34</v>
      </c>
      <c r="OF10" s="32" t="s">
        <v>34</v>
      </c>
      <c r="OG10" s="32" t="s">
        <v>34</v>
      </c>
      <c r="OH10" s="32" t="s">
        <v>34</v>
      </c>
      <c r="OI10" s="32" t="s">
        <v>34</v>
      </c>
      <c r="OJ10" s="32" t="s">
        <v>34</v>
      </c>
      <c r="OK10" s="32" t="s">
        <v>34</v>
      </c>
      <c r="OL10" s="32" t="s">
        <v>34</v>
      </c>
      <c r="OM10" s="32" t="s">
        <v>34</v>
      </c>
      <c r="ON10" s="69"/>
      <c r="OO10" s="32" t="s">
        <v>34</v>
      </c>
      <c r="OP10" s="32" t="s">
        <v>34</v>
      </c>
      <c r="OQ10" s="32" t="s">
        <v>34</v>
      </c>
      <c r="OR10" s="32" t="s">
        <v>34</v>
      </c>
      <c r="OS10" s="32" t="s">
        <v>34</v>
      </c>
      <c r="OT10" s="32" t="s">
        <v>34</v>
      </c>
      <c r="OU10" s="32" t="s">
        <v>34</v>
      </c>
      <c r="OV10" s="32" t="s">
        <v>34</v>
      </c>
      <c r="OW10" s="32" t="s">
        <v>34</v>
      </c>
      <c r="OX10" s="32" t="s">
        <v>34</v>
      </c>
      <c r="OY10" s="32" t="s">
        <v>34</v>
      </c>
    </row>
    <row r="11" spans="1:415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9"/>
      <c r="K11" s="32" t="s">
        <v>34</v>
      </c>
      <c r="L11" s="32" t="s">
        <v>34</v>
      </c>
      <c r="M11" s="32" t="s">
        <v>34</v>
      </c>
      <c r="N11" s="32" t="s">
        <v>34</v>
      </c>
      <c r="O11" s="32" t="s">
        <v>34</v>
      </c>
      <c r="P11" s="32" t="s">
        <v>34</v>
      </c>
      <c r="Q11" s="32" t="s">
        <v>34</v>
      </c>
      <c r="R11" s="32" t="s">
        <v>34</v>
      </c>
      <c r="S11" s="32" t="s">
        <v>34</v>
      </c>
      <c r="T11" s="32" t="s">
        <v>34</v>
      </c>
      <c r="U11" s="32" t="s">
        <v>34</v>
      </c>
      <c r="V11" s="32" t="s">
        <v>34</v>
      </c>
      <c r="W11" s="32" t="s">
        <v>34</v>
      </c>
      <c r="X11" s="32" t="s">
        <v>34</v>
      </c>
      <c r="Y11" s="32" t="s">
        <v>34</v>
      </c>
      <c r="Z11" s="32" t="s">
        <v>34</v>
      </c>
      <c r="AA11" s="32" t="s">
        <v>34</v>
      </c>
      <c r="AB11" s="69"/>
      <c r="AC11" s="32" t="s">
        <v>34</v>
      </c>
      <c r="AD11" s="32" t="s">
        <v>34</v>
      </c>
      <c r="AE11" s="32" t="s">
        <v>34</v>
      </c>
      <c r="AF11" s="32" t="s">
        <v>34</v>
      </c>
      <c r="AG11" s="32" t="s">
        <v>34</v>
      </c>
      <c r="AH11" s="32" t="s">
        <v>34</v>
      </c>
      <c r="AI11" s="32" t="s">
        <v>34</v>
      </c>
      <c r="AJ11" s="32" t="s">
        <v>34</v>
      </c>
      <c r="AK11" s="32" t="s">
        <v>34</v>
      </c>
      <c r="AL11" s="32" t="s">
        <v>34</v>
      </c>
      <c r="AM11" s="32" t="s">
        <v>34</v>
      </c>
      <c r="AN11" s="32" t="s">
        <v>34</v>
      </c>
      <c r="AO11" s="32" t="s">
        <v>34</v>
      </c>
      <c r="AP11" s="32" t="s">
        <v>34</v>
      </c>
      <c r="AQ11" s="32" t="s">
        <v>34</v>
      </c>
      <c r="AR11" s="32" t="s">
        <v>34</v>
      </c>
      <c r="AS11" s="32" t="s">
        <v>34</v>
      </c>
      <c r="AT11" s="32" t="s">
        <v>34</v>
      </c>
      <c r="AU11" s="32" t="s">
        <v>34</v>
      </c>
      <c r="AV11" s="32" t="s">
        <v>34</v>
      </c>
      <c r="AW11" s="69"/>
      <c r="AX11" s="32" t="s">
        <v>34</v>
      </c>
      <c r="AY11" s="32" t="s">
        <v>34</v>
      </c>
      <c r="AZ11" s="32" t="s">
        <v>34</v>
      </c>
      <c r="BA11" s="32" t="s">
        <v>34</v>
      </c>
      <c r="BB11" s="32" t="s">
        <v>34</v>
      </c>
      <c r="BC11" s="69"/>
      <c r="BD11" s="32" t="s">
        <v>34</v>
      </c>
      <c r="BE11" s="32" t="s">
        <v>34</v>
      </c>
      <c r="BF11" s="32" t="s">
        <v>34</v>
      </c>
      <c r="BG11" s="32" t="s">
        <v>34</v>
      </c>
      <c r="BH11" s="32" t="s">
        <v>34</v>
      </c>
      <c r="BI11" s="32" t="s">
        <v>34</v>
      </c>
      <c r="BJ11" s="32" t="s">
        <v>34</v>
      </c>
      <c r="BK11" s="32" t="s">
        <v>34</v>
      </c>
      <c r="BL11" s="32" t="s">
        <v>34</v>
      </c>
      <c r="BM11" s="32" t="s">
        <v>34</v>
      </c>
      <c r="BN11" s="32" t="s">
        <v>34</v>
      </c>
      <c r="BO11" s="32" t="s">
        <v>34</v>
      </c>
      <c r="BP11" s="32" t="s">
        <v>34</v>
      </c>
      <c r="BQ11" s="32" t="s">
        <v>34</v>
      </c>
      <c r="BR11" s="32" t="s">
        <v>34</v>
      </c>
      <c r="BS11" s="32" t="s">
        <v>34</v>
      </c>
      <c r="BT11" s="32" t="s">
        <v>34</v>
      </c>
      <c r="BU11" s="32" t="s">
        <v>34</v>
      </c>
      <c r="BV11" s="8" t="s">
        <v>34</v>
      </c>
      <c r="BW11" s="32" t="s">
        <v>34</v>
      </c>
      <c r="BX11" s="32" t="s">
        <v>34</v>
      </c>
      <c r="BY11" s="32" t="s">
        <v>34</v>
      </c>
      <c r="BZ11" s="32" t="s">
        <v>34</v>
      </c>
      <c r="CA11" s="32" t="s">
        <v>34</v>
      </c>
      <c r="CB11" s="32" t="s">
        <v>34</v>
      </c>
      <c r="CC11" s="32" t="s">
        <v>34</v>
      </c>
      <c r="CD11" s="32" t="s">
        <v>34</v>
      </c>
      <c r="CE11" s="32" t="s">
        <v>34</v>
      </c>
      <c r="CF11" s="32" t="s">
        <v>34</v>
      </c>
      <c r="CG11" s="32" t="s">
        <v>34</v>
      </c>
      <c r="CH11" s="32" t="s">
        <v>34</v>
      </c>
      <c r="CI11" s="32" t="s">
        <v>34</v>
      </c>
      <c r="CJ11" s="32" t="s">
        <v>34</v>
      </c>
      <c r="CK11" s="32" t="s">
        <v>34</v>
      </c>
      <c r="CL11" s="32" t="s">
        <v>34</v>
      </c>
      <c r="CM11" s="32" t="s">
        <v>34</v>
      </c>
      <c r="CN11" s="32" t="s">
        <v>34</v>
      </c>
      <c r="CO11" s="32" t="s">
        <v>34</v>
      </c>
      <c r="CP11" s="32" t="s">
        <v>34</v>
      </c>
      <c r="CQ11" s="17" t="s">
        <v>34</v>
      </c>
      <c r="CR11" s="69"/>
      <c r="CS11" s="32" t="s">
        <v>34</v>
      </c>
      <c r="CT11" s="32" t="s">
        <v>34</v>
      </c>
      <c r="CU11" s="32" t="s">
        <v>34</v>
      </c>
      <c r="CV11" s="32" t="s">
        <v>34</v>
      </c>
      <c r="CW11" s="32" t="s">
        <v>34</v>
      </c>
      <c r="CX11" s="32" t="s">
        <v>34</v>
      </c>
      <c r="CY11" s="32" t="s">
        <v>34</v>
      </c>
      <c r="CZ11" s="32" t="s">
        <v>34</v>
      </c>
      <c r="DA11" s="32" t="s">
        <v>34</v>
      </c>
      <c r="DB11" s="32" t="s">
        <v>34</v>
      </c>
      <c r="DC11" s="32" t="s">
        <v>34</v>
      </c>
      <c r="DD11" s="32" t="s">
        <v>34</v>
      </c>
      <c r="DE11" s="32" t="s">
        <v>34</v>
      </c>
      <c r="DF11" s="32" t="s">
        <v>34</v>
      </c>
      <c r="DG11" s="32" t="s">
        <v>34</v>
      </c>
      <c r="DH11" s="32" t="s">
        <v>34</v>
      </c>
      <c r="DI11" s="32" t="s">
        <v>34</v>
      </c>
      <c r="DJ11" s="32" t="s">
        <v>34</v>
      </c>
      <c r="DK11" s="8" t="s">
        <v>34</v>
      </c>
      <c r="DL11" s="32" t="s">
        <v>34</v>
      </c>
      <c r="DM11" s="32" t="s">
        <v>34</v>
      </c>
      <c r="DN11" s="32" t="s">
        <v>34</v>
      </c>
      <c r="DO11" s="32" t="s">
        <v>34</v>
      </c>
      <c r="DP11" s="32" t="s">
        <v>34</v>
      </c>
      <c r="DQ11" s="32" t="s">
        <v>34</v>
      </c>
      <c r="DR11" s="32" t="s">
        <v>34</v>
      </c>
      <c r="DS11" s="32" t="s">
        <v>34</v>
      </c>
      <c r="DT11" s="32" t="s">
        <v>34</v>
      </c>
      <c r="DU11" s="32" t="s">
        <v>34</v>
      </c>
      <c r="DV11" s="32" t="s">
        <v>34</v>
      </c>
      <c r="DW11" s="32" t="s">
        <v>34</v>
      </c>
      <c r="DX11" s="32" t="s">
        <v>34</v>
      </c>
      <c r="DY11" s="32" t="s">
        <v>34</v>
      </c>
      <c r="DZ11" s="32" t="s">
        <v>34</v>
      </c>
      <c r="EA11" s="32" t="s">
        <v>34</v>
      </c>
      <c r="EB11" s="32" t="s">
        <v>34</v>
      </c>
      <c r="EC11" s="69"/>
      <c r="ED11" s="32" t="s">
        <v>34</v>
      </c>
      <c r="EE11" s="32" t="s">
        <v>34</v>
      </c>
      <c r="EF11" s="32" t="s">
        <v>34</v>
      </c>
      <c r="EG11" s="32" t="s">
        <v>34</v>
      </c>
      <c r="EH11" s="32" t="s">
        <v>34</v>
      </c>
      <c r="EI11" s="32" t="s">
        <v>34</v>
      </c>
      <c r="EJ11" s="32" t="s">
        <v>34</v>
      </c>
      <c r="EK11" s="32" t="s">
        <v>34</v>
      </c>
      <c r="EL11" s="32" t="s">
        <v>34</v>
      </c>
      <c r="EM11" s="32" t="s">
        <v>34</v>
      </c>
      <c r="EN11" s="32" t="s">
        <v>34</v>
      </c>
      <c r="EO11" s="69"/>
      <c r="EP11" s="32" t="s">
        <v>34</v>
      </c>
      <c r="EQ11" s="32" t="s">
        <v>34</v>
      </c>
      <c r="ER11" s="32" t="s">
        <v>34</v>
      </c>
      <c r="ES11" s="32" t="s">
        <v>34</v>
      </c>
      <c r="ET11" s="32" t="s">
        <v>34</v>
      </c>
      <c r="EU11" s="32" t="s">
        <v>34</v>
      </c>
      <c r="EV11" s="32" t="s">
        <v>34</v>
      </c>
      <c r="EW11" s="32" t="s">
        <v>34</v>
      </c>
      <c r="EX11" s="32" t="s">
        <v>34</v>
      </c>
      <c r="EY11" s="32" t="s">
        <v>34</v>
      </c>
      <c r="EZ11" s="32" t="s">
        <v>34</v>
      </c>
      <c r="FA11" s="32" t="s">
        <v>34</v>
      </c>
      <c r="FB11" s="32" t="s">
        <v>34</v>
      </c>
      <c r="FC11" s="32" t="s">
        <v>34</v>
      </c>
      <c r="FD11" s="32" t="s">
        <v>34</v>
      </c>
      <c r="FE11" s="32" t="s">
        <v>34</v>
      </c>
      <c r="FF11" s="32" t="s">
        <v>34</v>
      </c>
      <c r="FG11" s="69"/>
      <c r="FH11" s="32" t="s">
        <v>34</v>
      </c>
      <c r="FI11" s="32" t="s">
        <v>34</v>
      </c>
      <c r="FJ11" s="32" t="s">
        <v>34</v>
      </c>
      <c r="FK11" s="32" t="s">
        <v>34</v>
      </c>
      <c r="FL11" s="32" t="s">
        <v>34</v>
      </c>
      <c r="FM11" s="32" t="s">
        <v>34</v>
      </c>
      <c r="FN11" s="32" t="s">
        <v>34</v>
      </c>
      <c r="FO11" s="32" t="s">
        <v>34</v>
      </c>
      <c r="FP11" s="32" t="s">
        <v>34</v>
      </c>
      <c r="FQ11" s="32" t="s">
        <v>34</v>
      </c>
      <c r="FR11" s="32" t="s">
        <v>34</v>
      </c>
      <c r="FS11" s="32" t="s">
        <v>34</v>
      </c>
      <c r="FT11" s="32" t="s">
        <v>34</v>
      </c>
      <c r="FU11" s="32" t="s">
        <v>34</v>
      </c>
      <c r="FV11" s="32" t="s">
        <v>34</v>
      </c>
      <c r="FW11" s="32" t="s">
        <v>34</v>
      </c>
      <c r="FX11" s="32" t="s">
        <v>34</v>
      </c>
      <c r="FY11" s="32" t="s">
        <v>34</v>
      </c>
      <c r="FZ11" s="32" t="s">
        <v>34</v>
      </c>
      <c r="GA11" s="32" t="s">
        <v>34</v>
      </c>
      <c r="GB11" s="69"/>
      <c r="GC11" s="32" t="s">
        <v>34</v>
      </c>
      <c r="GD11" s="32" t="s">
        <v>34</v>
      </c>
      <c r="GE11" s="32" t="s">
        <v>34</v>
      </c>
      <c r="GF11" s="32" t="s">
        <v>34</v>
      </c>
      <c r="GG11" s="32" t="s">
        <v>34</v>
      </c>
      <c r="GH11" s="69"/>
      <c r="GI11" s="32" t="s">
        <v>34</v>
      </c>
      <c r="GJ11" s="32" t="s">
        <v>34</v>
      </c>
      <c r="GK11" s="32" t="s">
        <v>34</v>
      </c>
      <c r="GL11" s="32" t="s">
        <v>34</v>
      </c>
      <c r="GM11" s="32" t="s">
        <v>34</v>
      </c>
      <c r="GN11" s="32" t="s">
        <v>34</v>
      </c>
      <c r="GO11" s="32" t="s">
        <v>34</v>
      </c>
      <c r="GP11" s="32" t="s">
        <v>34</v>
      </c>
      <c r="GQ11" s="32" t="s">
        <v>34</v>
      </c>
      <c r="GR11" s="32" t="s">
        <v>34</v>
      </c>
      <c r="GS11" s="32" t="s">
        <v>34</v>
      </c>
      <c r="GT11" s="32" t="s">
        <v>34</v>
      </c>
      <c r="GU11" s="32" t="s">
        <v>34</v>
      </c>
      <c r="GV11" s="32" t="s">
        <v>34</v>
      </c>
      <c r="GW11" s="32" t="s">
        <v>34</v>
      </c>
      <c r="GX11" s="32" t="s">
        <v>34</v>
      </c>
      <c r="GY11" s="32" t="s">
        <v>34</v>
      </c>
      <c r="GZ11" s="32" t="s">
        <v>34</v>
      </c>
      <c r="HA11" s="8" t="s">
        <v>34</v>
      </c>
      <c r="HB11" s="32" t="s">
        <v>34</v>
      </c>
      <c r="HC11" s="32" t="s">
        <v>34</v>
      </c>
      <c r="HD11" s="32" t="s">
        <v>34</v>
      </c>
      <c r="HE11" s="32" t="s">
        <v>34</v>
      </c>
      <c r="HF11" s="32" t="s">
        <v>34</v>
      </c>
      <c r="HG11" s="32" t="s">
        <v>34</v>
      </c>
      <c r="HH11" s="32" t="s">
        <v>34</v>
      </c>
      <c r="HI11" s="32" t="s">
        <v>34</v>
      </c>
      <c r="HJ11" s="32" t="s">
        <v>34</v>
      </c>
      <c r="HK11" s="32" t="s">
        <v>34</v>
      </c>
      <c r="HL11" s="32" t="s">
        <v>34</v>
      </c>
      <c r="HM11" s="32" t="s">
        <v>34</v>
      </c>
      <c r="HN11" s="32" t="s">
        <v>34</v>
      </c>
      <c r="HO11" s="32" t="s">
        <v>34</v>
      </c>
      <c r="HP11" s="32" t="s">
        <v>34</v>
      </c>
      <c r="HQ11" s="32" t="s">
        <v>34</v>
      </c>
      <c r="HR11" s="32" t="s">
        <v>34</v>
      </c>
      <c r="HS11" s="32" t="s">
        <v>34</v>
      </c>
      <c r="HT11" s="32" t="s">
        <v>34</v>
      </c>
      <c r="HU11" s="32" t="s">
        <v>34</v>
      </c>
      <c r="HV11" s="32" t="s">
        <v>34</v>
      </c>
      <c r="HW11" s="17" t="s">
        <v>34</v>
      </c>
      <c r="HX11" s="69"/>
      <c r="HY11" s="32" t="s">
        <v>34</v>
      </c>
      <c r="HZ11" s="32" t="s">
        <v>34</v>
      </c>
      <c r="IA11" s="32" t="s">
        <v>34</v>
      </c>
      <c r="IB11" s="32" t="s">
        <v>34</v>
      </c>
      <c r="IC11" s="32" t="s">
        <v>34</v>
      </c>
      <c r="ID11" s="32" t="s">
        <v>34</v>
      </c>
      <c r="IE11" s="32" t="s">
        <v>34</v>
      </c>
      <c r="IF11" s="32" t="s">
        <v>34</v>
      </c>
      <c r="IG11" s="32" t="s">
        <v>34</v>
      </c>
      <c r="IH11" s="32" t="s">
        <v>34</v>
      </c>
      <c r="II11" s="32" t="s">
        <v>34</v>
      </c>
      <c r="IJ11" s="32" t="s">
        <v>34</v>
      </c>
      <c r="IK11" s="32" t="s">
        <v>34</v>
      </c>
      <c r="IL11" s="32" t="s">
        <v>34</v>
      </c>
      <c r="IM11" s="32" t="s">
        <v>34</v>
      </c>
      <c r="IN11" s="32" t="s">
        <v>34</v>
      </c>
      <c r="IO11" s="32" t="s">
        <v>34</v>
      </c>
      <c r="IP11" s="32" t="s">
        <v>34</v>
      </c>
      <c r="IQ11" s="8" t="s">
        <v>34</v>
      </c>
      <c r="IR11" s="32" t="s">
        <v>34</v>
      </c>
      <c r="IS11" s="32" t="s">
        <v>34</v>
      </c>
      <c r="IT11" s="32" t="s">
        <v>34</v>
      </c>
      <c r="IU11" s="32" t="s">
        <v>34</v>
      </c>
      <c r="IV11" s="32" t="s">
        <v>34</v>
      </c>
      <c r="IW11" s="32" t="s">
        <v>34</v>
      </c>
      <c r="IX11" s="32" t="s">
        <v>34</v>
      </c>
      <c r="IY11" s="32" t="s">
        <v>34</v>
      </c>
      <c r="IZ11" s="32" t="s">
        <v>34</v>
      </c>
      <c r="JA11" s="32" t="s">
        <v>34</v>
      </c>
      <c r="JB11" s="32" t="s">
        <v>34</v>
      </c>
      <c r="JC11" s="32" t="s">
        <v>34</v>
      </c>
      <c r="JD11" s="32" t="s">
        <v>34</v>
      </c>
      <c r="JE11" s="32" t="s">
        <v>34</v>
      </c>
      <c r="JF11" s="32" t="s">
        <v>34</v>
      </c>
      <c r="JG11" s="32" t="s">
        <v>34</v>
      </c>
      <c r="JH11" s="32" t="s">
        <v>34</v>
      </c>
      <c r="JI11" s="69"/>
      <c r="JJ11" s="32" t="s">
        <v>34</v>
      </c>
      <c r="JK11" s="32" t="s">
        <v>34</v>
      </c>
      <c r="JL11" s="32" t="s">
        <v>34</v>
      </c>
      <c r="JM11" s="32" t="s">
        <v>34</v>
      </c>
      <c r="JN11" s="32" t="s">
        <v>34</v>
      </c>
      <c r="JO11" s="32" t="s">
        <v>34</v>
      </c>
      <c r="JP11" s="32" t="s">
        <v>34</v>
      </c>
      <c r="JQ11" s="32" t="s">
        <v>34</v>
      </c>
      <c r="JR11" s="32" t="s">
        <v>34</v>
      </c>
      <c r="JS11" s="32" t="s">
        <v>34</v>
      </c>
      <c r="JT11" s="32" t="s">
        <v>34</v>
      </c>
      <c r="JU11" s="69"/>
      <c r="JV11" s="32" t="s">
        <v>34</v>
      </c>
      <c r="JW11" s="32" t="s">
        <v>34</v>
      </c>
      <c r="JX11" s="32" t="s">
        <v>34</v>
      </c>
      <c r="JY11" s="32" t="s">
        <v>34</v>
      </c>
      <c r="JZ11" s="32" t="s">
        <v>34</v>
      </c>
      <c r="KA11" s="32" t="s">
        <v>34</v>
      </c>
      <c r="KB11" s="32" t="s">
        <v>34</v>
      </c>
      <c r="KC11" s="32" t="s">
        <v>34</v>
      </c>
      <c r="KD11" s="32" t="s">
        <v>34</v>
      </c>
      <c r="KE11" s="32" t="s">
        <v>34</v>
      </c>
      <c r="KF11" s="32" t="s">
        <v>34</v>
      </c>
      <c r="KG11" s="32" t="s">
        <v>34</v>
      </c>
      <c r="KH11" s="32" t="s">
        <v>34</v>
      </c>
      <c r="KI11" s="32" t="s">
        <v>34</v>
      </c>
      <c r="KJ11" s="32" t="s">
        <v>34</v>
      </c>
      <c r="KK11" s="32" t="s">
        <v>34</v>
      </c>
      <c r="KL11" s="32" t="s">
        <v>34</v>
      </c>
      <c r="KM11" s="69"/>
      <c r="KN11" s="32" t="s">
        <v>34</v>
      </c>
      <c r="KO11" s="32" t="s">
        <v>34</v>
      </c>
      <c r="KP11" s="32" t="s">
        <v>34</v>
      </c>
      <c r="KQ11" s="32" t="s">
        <v>34</v>
      </c>
      <c r="KR11" s="32" t="s">
        <v>34</v>
      </c>
      <c r="KS11" s="32" t="s">
        <v>34</v>
      </c>
      <c r="KT11" s="32" t="s">
        <v>34</v>
      </c>
      <c r="KU11" s="32" t="s">
        <v>34</v>
      </c>
      <c r="KV11" s="32" t="s">
        <v>34</v>
      </c>
      <c r="KW11" s="32" t="s">
        <v>34</v>
      </c>
      <c r="KX11" s="32" t="s">
        <v>34</v>
      </c>
      <c r="KY11" s="32" t="s">
        <v>34</v>
      </c>
      <c r="KZ11" s="32" t="s">
        <v>34</v>
      </c>
      <c r="LA11" s="32" t="s">
        <v>34</v>
      </c>
      <c r="LB11" s="32" t="s">
        <v>34</v>
      </c>
      <c r="LC11" s="32" t="s">
        <v>34</v>
      </c>
      <c r="LD11" s="32" t="s">
        <v>34</v>
      </c>
      <c r="LE11" s="32" t="s">
        <v>34</v>
      </c>
      <c r="LF11" s="32" t="s">
        <v>34</v>
      </c>
      <c r="LG11" s="32" t="s">
        <v>34</v>
      </c>
      <c r="LH11" s="69"/>
      <c r="LI11" s="32" t="s">
        <v>34</v>
      </c>
      <c r="LJ11" s="32" t="s">
        <v>34</v>
      </c>
      <c r="LK11" s="32" t="s">
        <v>34</v>
      </c>
      <c r="LL11" s="32" t="s">
        <v>34</v>
      </c>
      <c r="LM11" s="32" t="s">
        <v>34</v>
      </c>
      <c r="LN11" s="69"/>
      <c r="LO11" s="32" t="s">
        <v>34</v>
      </c>
      <c r="LP11" s="32" t="s">
        <v>34</v>
      </c>
      <c r="LQ11" s="32" t="s">
        <v>34</v>
      </c>
      <c r="LR11" s="32" t="s">
        <v>34</v>
      </c>
      <c r="LS11" s="32" t="s">
        <v>34</v>
      </c>
      <c r="LT11" s="32" t="s">
        <v>34</v>
      </c>
      <c r="LU11" s="32" t="s">
        <v>34</v>
      </c>
      <c r="LV11" s="32" t="s">
        <v>34</v>
      </c>
      <c r="LW11" s="32" t="s">
        <v>34</v>
      </c>
      <c r="LX11" s="32" t="s">
        <v>34</v>
      </c>
      <c r="LY11" s="32" t="s">
        <v>34</v>
      </c>
      <c r="LZ11" s="32" t="s">
        <v>34</v>
      </c>
      <c r="MA11" s="32" t="s">
        <v>34</v>
      </c>
      <c r="MB11" s="32" t="s">
        <v>34</v>
      </c>
      <c r="MC11" s="32" t="s">
        <v>34</v>
      </c>
      <c r="MD11" s="32" t="s">
        <v>34</v>
      </c>
      <c r="ME11" s="32" t="s">
        <v>34</v>
      </c>
      <c r="MF11" s="32" t="s">
        <v>34</v>
      </c>
      <c r="MG11" s="8" t="s">
        <v>34</v>
      </c>
      <c r="MH11" s="32" t="s">
        <v>34</v>
      </c>
      <c r="MI11" s="32" t="s">
        <v>34</v>
      </c>
      <c r="MJ11" s="32" t="s">
        <v>34</v>
      </c>
      <c r="MK11" s="32" t="s">
        <v>34</v>
      </c>
      <c r="ML11" s="32" t="s">
        <v>34</v>
      </c>
      <c r="MM11" s="32" t="s">
        <v>34</v>
      </c>
      <c r="MN11" s="32" t="s">
        <v>34</v>
      </c>
      <c r="MO11" s="32" t="s">
        <v>34</v>
      </c>
      <c r="MP11" s="32" t="s">
        <v>34</v>
      </c>
      <c r="MQ11" s="32" t="s">
        <v>34</v>
      </c>
      <c r="MR11" s="32" t="s">
        <v>34</v>
      </c>
      <c r="MS11" s="32" t="s">
        <v>34</v>
      </c>
      <c r="MT11" s="32" t="s">
        <v>34</v>
      </c>
      <c r="MU11" s="32" t="s">
        <v>34</v>
      </c>
      <c r="MV11" s="32" t="s">
        <v>34</v>
      </c>
      <c r="MW11" s="32" t="s">
        <v>34</v>
      </c>
      <c r="MX11" s="32" t="s">
        <v>34</v>
      </c>
      <c r="MY11" s="32" t="s">
        <v>34</v>
      </c>
      <c r="MZ11" s="32" t="s">
        <v>34</v>
      </c>
      <c r="NA11" s="32" t="s">
        <v>34</v>
      </c>
      <c r="NB11" s="17" t="s">
        <v>34</v>
      </c>
      <c r="NC11" s="69"/>
      <c r="ND11" s="32" t="s">
        <v>34</v>
      </c>
      <c r="NE11" s="32" t="s">
        <v>34</v>
      </c>
      <c r="NF11" s="32" t="s">
        <v>34</v>
      </c>
      <c r="NG11" s="32" t="s">
        <v>34</v>
      </c>
      <c r="NH11" s="32" t="s">
        <v>34</v>
      </c>
      <c r="NI11" s="32" t="s">
        <v>34</v>
      </c>
      <c r="NJ11" s="32" t="s">
        <v>34</v>
      </c>
      <c r="NK11" s="32" t="s">
        <v>34</v>
      </c>
      <c r="NL11" s="32" t="s">
        <v>34</v>
      </c>
      <c r="NM11" s="32" t="s">
        <v>34</v>
      </c>
      <c r="NN11" s="32" t="s">
        <v>34</v>
      </c>
      <c r="NO11" s="32" t="s">
        <v>34</v>
      </c>
      <c r="NP11" s="32" t="s">
        <v>34</v>
      </c>
      <c r="NQ11" s="32" t="s">
        <v>34</v>
      </c>
      <c r="NR11" s="32" t="s">
        <v>34</v>
      </c>
      <c r="NS11" s="32" t="s">
        <v>34</v>
      </c>
      <c r="NT11" s="32" t="s">
        <v>34</v>
      </c>
      <c r="NU11" s="32" t="s">
        <v>34</v>
      </c>
      <c r="NV11" s="8" t="s">
        <v>34</v>
      </c>
      <c r="NW11" s="32" t="s">
        <v>34</v>
      </c>
      <c r="NX11" s="32" t="s">
        <v>34</v>
      </c>
      <c r="NY11" s="32" t="s">
        <v>34</v>
      </c>
      <c r="NZ11" s="32" t="s">
        <v>34</v>
      </c>
      <c r="OA11" s="32" t="s">
        <v>34</v>
      </c>
      <c r="OB11" s="32" t="s">
        <v>34</v>
      </c>
      <c r="OC11" s="32" t="s">
        <v>34</v>
      </c>
      <c r="OD11" s="32" t="s">
        <v>34</v>
      </c>
      <c r="OE11" s="32" t="s">
        <v>34</v>
      </c>
      <c r="OF11" s="32" t="s">
        <v>34</v>
      </c>
      <c r="OG11" s="32" t="s">
        <v>34</v>
      </c>
      <c r="OH11" s="32" t="s">
        <v>34</v>
      </c>
      <c r="OI11" s="32" t="s">
        <v>34</v>
      </c>
      <c r="OJ11" s="32" t="s">
        <v>34</v>
      </c>
      <c r="OK11" s="32" t="s">
        <v>34</v>
      </c>
      <c r="OL11" s="32" t="s">
        <v>34</v>
      </c>
      <c r="OM11" s="32" t="s">
        <v>34</v>
      </c>
      <c r="ON11" s="69"/>
      <c r="OO11" s="32" t="s">
        <v>34</v>
      </c>
      <c r="OP11" s="32" t="s">
        <v>34</v>
      </c>
      <c r="OQ11" s="32" t="s">
        <v>34</v>
      </c>
      <c r="OR11" s="32" t="s">
        <v>34</v>
      </c>
      <c r="OS11" s="32" t="s">
        <v>34</v>
      </c>
      <c r="OT11" s="32" t="s">
        <v>34</v>
      </c>
      <c r="OU11" s="32" t="s">
        <v>34</v>
      </c>
      <c r="OV11" s="32" t="s">
        <v>34</v>
      </c>
      <c r="OW11" s="32" t="s">
        <v>34</v>
      </c>
      <c r="OX11" s="32" t="s">
        <v>34</v>
      </c>
      <c r="OY11" s="32" t="s">
        <v>34</v>
      </c>
    </row>
    <row r="12" spans="1:415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9"/>
      <c r="K12" s="32" t="s">
        <v>34</v>
      </c>
      <c r="L12" s="32" t="s">
        <v>34</v>
      </c>
      <c r="M12" s="32" t="s">
        <v>34</v>
      </c>
      <c r="N12" s="32" t="s">
        <v>34</v>
      </c>
      <c r="O12" s="32" t="s">
        <v>34</v>
      </c>
      <c r="P12" s="32" t="s">
        <v>34</v>
      </c>
      <c r="Q12" s="32" t="s">
        <v>34</v>
      </c>
      <c r="R12" s="32" t="s">
        <v>34</v>
      </c>
      <c r="S12" s="32" t="s">
        <v>34</v>
      </c>
      <c r="T12" s="32" t="s">
        <v>34</v>
      </c>
      <c r="U12" s="32" t="s">
        <v>34</v>
      </c>
      <c r="V12" s="32" t="s">
        <v>34</v>
      </c>
      <c r="W12" s="32" t="s">
        <v>34</v>
      </c>
      <c r="X12" s="32" t="s">
        <v>34</v>
      </c>
      <c r="Y12" s="32" t="s">
        <v>34</v>
      </c>
      <c r="Z12" s="32" t="s">
        <v>34</v>
      </c>
      <c r="AA12" s="32" t="s">
        <v>34</v>
      </c>
      <c r="AB12" s="69"/>
      <c r="AC12" s="32" t="s">
        <v>34</v>
      </c>
      <c r="AD12" s="32" t="s">
        <v>34</v>
      </c>
      <c r="AE12" s="32" t="s">
        <v>34</v>
      </c>
      <c r="AF12" s="32" t="s">
        <v>34</v>
      </c>
      <c r="AG12" s="32" t="s">
        <v>34</v>
      </c>
      <c r="AH12" s="32" t="s">
        <v>34</v>
      </c>
      <c r="AI12" s="32" t="s">
        <v>34</v>
      </c>
      <c r="AJ12" s="32" t="s">
        <v>34</v>
      </c>
      <c r="AK12" s="32" t="s">
        <v>34</v>
      </c>
      <c r="AL12" s="32" t="s">
        <v>34</v>
      </c>
      <c r="AM12" s="32" t="s">
        <v>34</v>
      </c>
      <c r="AN12" s="32" t="s">
        <v>34</v>
      </c>
      <c r="AO12" s="32" t="s">
        <v>34</v>
      </c>
      <c r="AP12" s="32" t="s">
        <v>34</v>
      </c>
      <c r="AQ12" s="32" t="s">
        <v>34</v>
      </c>
      <c r="AR12" s="32" t="s">
        <v>34</v>
      </c>
      <c r="AS12" s="32" t="s">
        <v>34</v>
      </c>
      <c r="AT12" s="32" t="s">
        <v>34</v>
      </c>
      <c r="AU12" s="32" t="s">
        <v>34</v>
      </c>
      <c r="AV12" s="32" t="s">
        <v>34</v>
      </c>
      <c r="AW12" s="69"/>
      <c r="AX12" s="32" t="s">
        <v>34</v>
      </c>
      <c r="AY12" s="32" t="s">
        <v>34</v>
      </c>
      <c r="AZ12" s="32" t="s">
        <v>34</v>
      </c>
      <c r="BA12" s="32" t="s">
        <v>34</v>
      </c>
      <c r="BB12" s="32" t="s">
        <v>34</v>
      </c>
      <c r="BC12" s="69"/>
      <c r="BD12" s="32" t="s">
        <v>34</v>
      </c>
      <c r="BE12" s="32" t="s">
        <v>34</v>
      </c>
      <c r="BF12" s="32" t="s">
        <v>34</v>
      </c>
      <c r="BG12" s="32" t="s">
        <v>34</v>
      </c>
      <c r="BH12" s="32" t="s">
        <v>34</v>
      </c>
      <c r="BI12" s="32" t="s">
        <v>34</v>
      </c>
      <c r="BJ12" s="32" t="s">
        <v>34</v>
      </c>
      <c r="BK12" s="32" t="s">
        <v>34</v>
      </c>
      <c r="BL12" s="32" t="s">
        <v>34</v>
      </c>
      <c r="BM12" s="32" t="s">
        <v>34</v>
      </c>
      <c r="BN12" s="32" t="s">
        <v>34</v>
      </c>
      <c r="BO12" s="32" t="s">
        <v>34</v>
      </c>
      <c r="BP12" s="32" t="s">
        <v>34</v>
      </c>
      <c r="BQ12" s="32" t="s">
        <v>34</v>
      </c>
      <c r="BR12" s="32" t="s">
        <v>34</v>
      </c>
      <c r="BS12" s="32" t="s">
        <v>34</v>
      </c>
      <c r="BT12" s="32" t="s">
        <v>34</v>
      </c>
      <c r="BU12" s="32" t="s">
        <v>34</v>
      </c>
      <c r="BV12" s="8" t="s">
        <v>34</v>
      </c>
      <c r="BW12" s="32" t="s">
        <v>34</v>
      </c>
      <c r="BX12" s="32" t="s">
        <v>34</v>
      </c>
      <c r="BY12" s="32" t="s">
        <v>34</v>
      </c>
      <c r="BZ12" s="32" t="s">
        <v>34</v>
      </c>
      <c r="CA12" s="32" t="s">
        <v>34</v>
      </c>
      <c r="CB12" s="32" t="s">
        <v>34</v>
      </c>
      <c r="CC12" s="32" t="s">
        <v>34</v>
      </c>
      <c r="CD12" s="32" t="s">
        <v>34</v>
      </c>
      <c r="CE12" s="32" t="s">
        <v>34</v>
      </c>
      <c r="CF12" s="32" t="s">
        <v>34</v>
      </c>
      <c r="CG12" s="32" t="s">
        <v>34</v>
      </c>
      <c r="CH12" s="32" t="s">
        <v>34</v>
      </c>
      <c r="CI12" s="32" t="s">
        <v>34</v>
      </c>
      <c r="CJ12" s="32" t="s">
        <v>34</v>
      </c>
      <c r="CK12" s="32" t="s">
        <v>34</v>
      </c>
      <c r="CL12" s="32" t="s">
        <v>34</v>
      </c>
      <c r="CM12" s="32" t="s">
        <v>34</v>
      </c>
      <c r="CN12" s="32" t="s">
        <v>34</v>
      </c>
      <c r="CO12" s="32" t="s">
        <v>34</v>
      </c>
      <c r="CP12" s="32" t="s">
        <v>34</v>
      </c>
      <c r="CQ12" s="17" t="s">
        <v>34</v>
      </c>
      <c r="CR12" s="69"/>
      <c r="CS12" s="32" t="s">
        <v>34</v>
      </c>
      <c r="CT12" s="32" t="s">
        <v>34</v>
      </c>
      <c r="CU12" s="32" t="s">
        <v>34</v>
      </c>
      <c r="CV12" s="32" t="s">
        <v>34</v>
      </c>
      <c r="CW12" s="32" t="s">
        <v>34</v>
      </c>
      <c r="CX12" s="32" t="s">
        <v>34</v>
      </c>
      <c r="CY12" s="32" t="s">
        <v>34</v>
      </c>
      <c r="CZ12" s="32" t="s">
        <v>34</v>
      </c>
      <c r="DA12" s="32" t="s">
        <v>34</v>
      </c>
      <c r="DB12" s="32" t="s">
        <v>34</v>
      </c>
      <c r="DC12" s="32" t="s">
        <v>34</v>
      </c>
      <c r="DD12" s="32" t="s">
        <v>34</v>
      </c>
      <c r="DE12" s="32" t="s">
        <v>34</v>
      </c>
      <c r="DF12" s="32" t="s">
        <v>34</v>
      </c>
      <c r="DG12" s="32" t="s">
        <v>34</v>
      </c>
      <c r="DH12" s="32" t="s">
        <v>34</v>
      </c>
      <c r="DI12" s="32" t="s">
        <v>34</v>
      </c>
      <c r="DJ12" s="32" t="s">
        <v>34</v>
      </c>
      <c r="DK12" s="8" t="s">
        <v>34</v>
      </c>
      <c r="DL12" s="32" t="s">
        <v>34</v>
      </c>
      <c r="DM12" s="32" t="s">
        <v>34</v>
      </c>
      <c r="DN12" s="32" t="s">
        <v>34</v>
      </c>
      <c r="DO12" s="32" t="s">
        <v>34</v>
      </c>
      <c r="DP12" s="32" t="s">
        <v>34</v>
      </c>
      <c r="DQ12" s="32" t="s">
        <v>34</v>
      </c>
      <c r="DR12" s="32" t="s">
        <v>34</v>
      </c>
      <c r="DS12" s="32" t="s">
        <v>34</v>
      </c>
      <c r="DT12" s="32" t="s">
        <v>34</v>
      </c>
      <c r="DU12" s="32" t="s">
        <v>34</v>
      </c>
      <c r="DV12" s="32" t="s">
        <v>34</v>
      </c>
      <c r="DW12" s="32" t="s">
        <v>34</v>
      </c>
      <c r="DX12" s="32" t="s">
        <v>34</v>
      </c>
      <c r="DY12" s="32" t="s">
        <v>34</v>
      </c>
      <c r="DZ12" s="32" t="s">
        <v>34</v>
      </c>
      <c r="EA12" s="32" t="s">
        <v>34</v>
      </c>
      <c r="EB12" s="32" t="s">
        <v>34</v>
      </c>
      <c r="EC12" s="69"/>
      <c r="ED12" s="32" t="s">
        <v>34</v>
      </c>
      <c r="EE12" s="32" t="s">
        <v>34</v>
      </c>
      <c r="EF12" s="32" t="s">
        <v>34</v>
      </c>
      <c r="EG12" s="32" t="s">
        <v>34</v>
      </c>
      <c r="EH12" s="32" t="s">
        <v>34</v>
      </c>
      <c r="EI12" s="32" t="s">
        <v>34</v>
      </c>
      <c r="EJ12" s="32" t="s">
        <v>34</v>
      </c>
      <c r="EK12" s="32" t="s">
        <v>34</v>
      </c>
      <c r="EL12" s="32" t="s">
        <v>34</v>
      </c>
      <c r="EM12" s="32" t="s">
        <v>34</v>
      </c>
      <c r="EN12" s="32" t="s">
        <v>34</v>
      </c>
      <c r="EO12" s="69"/>
      <c r="EP12" s="32" t="s">
        <v>34</v>
      </c>
      <c r="EQ12" s="32" t="s">
        <v>34</v>
      </c>
      <c r="ER12" s="32" t="s">
        <v>34</v>
      </c>
      <c r="ES12" s="32" t="s">
        <v>34</v>
      </c>
      <c r="ET12" s="32" t="s">
        <v>34</v>
      </c>
      <c r="EU12" s="32" t="s">
        <v>34</v>
      </c>
      <c r="EV12" s="32" t="s">
        <v>34</v>
      </c>
      <c r="EW12" s="32" t="s">
        <v>34</v>
      </c>
      <c r="EX12" s="32" t="s">
        <v>34</v>
      </c>
      <c r="EY12" s="32" t="s">
        <v>34</v>
      </c>
      <c r="EZ12" s="32" t="s">
        <v>34</v>
      </c>
      <c r="FA12" s="32" t="s">
        <v>34</v>
      </c>
      <c r="FB12" s="32" t="s">
        <v>34</v>
      </c>
      <c r="FC12" s="32" t="s">
        <v>34</v>
      </c>
      <c r="FD12" s="32" t="s">
        <v>34</v>
      </c>
      <c r="FE12" s="32" t="s">
        <v>34</v>
      </c>
      <c r="FF12" s="32" t="s">
        <v>34</v>
      </c>
      <c r="FG12" s="69"/>
      <c r="FH12" s="32" t="s">
        <v>34</v>
      </c>
      <c r="FI12" s="32" t="s">
        <v>34</v>
      </c>
      <c r="FJ12" s="32" t="s">
        <v>34</v>
      </c>
      <c r="FK12" s="32" t="s">
        <v>34</v>
      </c>
      <c r="FL12" s="32" t="s">
        <v>34</v>
      </c>
      <c r="FM12" s="32" t="s">
        <v>34</v>
      </c>
      <c r="FN12" s="32" t="s">
        <v>34</v>
      </c>
      <c r="FO12" s="32" t="s">
        <v>34</v>
      </c>
      <c r="FP12" s="32" t="s">
        <v>34</v>
      </c>
      <c r="FQ12" s="32" t="s">
        <v>34</v>
      </c>
      <c r="FR12" s="32" t="s">
        <v>34</v>
      </c>
      <c r="FS12" s="32" t="s">
        <v>34</v>
      </c>
      <c r="FT12" s="32" t="s">
        <v>34</v>
      </c>
      <c r="FU12" s="32" t="s">
        <v>34</v>
      </c>
      <c r="FV12" s="32" t="s">
        <v>34</v>
      </c>
      <c r="FW12" s="32" t="s">
        <v>34</v>
      </c>
      <c r="FX12" s="32" t="s">
        <v>34</v>
      </c>
      <c r="FY12" s="32" t="s">
        <v>34</v>
      </c>
      <c r="FZ12" s="32" t="s">
        <v>34</v>
      </c>
      <c r="GA12" s="32" t="s">
        <v>34</v>
      </c>
      <c r="GB12" s="69"/>
      <c r="GC12" s="32" t="s">
        <v>34</v>
      </c>
      <c r="GD12" s="32" t="s">
        <v>34</v>
      </c>
      <c r="GE12" s="32" t="s">
        <v>34</v>
      </c>
      <c r="GF12" s="32" t="s">
        <v>34</v>
      </c>
      <c r="GG12" s="32" t="s">
        <v>34</v>
      </c>
      <c r="GH12" s="69"/>
      <c r="GI12" s="32" t="s">
        <v>34</v>
      </c>
      <c r="GJ12" s="32" t="s">
        <v>34</v>
      </c>
      <c r="GK12" s="32" t="s">
        <v>34</v>
      </c>
      <c r="GL12" s="32" t="s">
        <v>34</v>
      </c>
      <c r="GM12" s="32" t="s">
        <v>34</v>
      </c>
      <c r="GN12" s="32" t="s">
        <v>34</v>
      </c>
      <c r="GO12" s="32" t="s">
        <v>34</v>
      </c>
      <c r="GP12" s="32" t="s">
        <v>34</v>
      </c>
      <c r="GQ12" s="32" t="s">
        <v>34</v>
      </c>
      <c r="GR12" s="32" t="s">
        <v>34</v>
      </c>
      <c r="GS12" s="32" t="s">
        <v>34</v>
      </c>
      <c r="GT12" s="32" t="s">
        <v>34</v>
      </c>
      <c r="GU12" s="32" t="s">
        <v>34</v>
      </c>
      <c r="GV12" s="32" t="s">
        <v>34</v>
      </c>
      <c r="GW12" s="32" t="s">
        <v>34</v>
      </c>
      <c r="GX12" s="32" t="s">
        <v>34</v>
      </c>
      <c r="GY12" s="32" t="s">
        <v>34</v>
      </c>
      <c r="GZ12" s="32" t="s">
        <v>34</v>
      </c>
      <c r="HA12" s="8" t="s">
        <v>34</v>
      </c>
      <c r="HB12" s="32" t="s">
        <v>34</v>
      </c>
      <c r="HC12" s="32" t="s">
        <v>34</v>
      </c>
      <c r="HD12" s="32" t="s">
        <v>34</v>
      </c>
      <c r="HE12" s="32" t="s">
        <v>34</v>
      </c>
      <c r="HF12" s="32" t="s">
        <v>34</v>
      </c>
      <c r="HG12" s="32" t="s">
        <v>34</v>
      </c>
      <c r="HH12" s="32" t="s">
        <v>34</v>
      </c>
      <c r="HI12" s="32" t="s">
        <v>34</v>
      </c>
      <c r="HJ12" s="32" t="s">
        <v>34</v>
      </c>
      <c r="HK12" s="32" t="s">
        <v>34</v>
      </c>
      <c r="HL12" s="32" t="s">
        <v>34</v>
      </c>
      <c r="HM12" s="32" t="s">
        <v>34</v>
      </c>
      <c r="HN12" s="32" t="s">
        <v>34</v>
      </c>
      <c r="HO12" s="32" t="s">
        <v>34</v>
      </c>
      <c r="HP12" s="32" t="s">
        <v>34</v>
      </c>
      <c r="HQ12" s="32" t="s">
        <v>34</v>
      </c>
      <c r="HR12" s="32" t="s">
        <v>34</v>
      </c>
      <c r="HS12" s="32" t="s">
        <v>34</v>
      </c>
      <c r="HT12" s="32" t="s">
        <v>34</v>
      </c>
      <c r="HU12" s="32" t="s">
        <v>34</v>
      </c>
      <c r="HV12" s="32" t="s">
        <v>34</v>
      </c>
      <c r="HW12" s="17" t="s">
        <v>34</v>
      </c>
      <c r="HX12" s="69"/>
      <c r="HY12" s="32" t="s">
        <v>34</v>
      </c>
      <c r="HZ12" s="32" t="s">
        <v>34</v>
      </c>
      <c r="IA12" s="32" t="s">
        <v>34</v>
      </c>
      <c r="IB12" s="32" t="s">
        <v>34</v>
      </c>
      <c r="IC12" s="32" t="s">
        <v>34</v>
      </c>
      <c r="ID12" s="32" t="s">
        <v>34</v>
      </c>
      <c r="IE12" s="32" t="s">
        <v>34</v>
      </c>
      <c r="IF12" s="32" t="s">
        <v>34</v>
      </c>
      <c r="IG12" s="32" t="s">
        <v>34</v>
      </c>
      <c r="IH12" s="32" t="s">
        <v>34</v>
      </c>
      <c r="II12" s="32" t="s">
        <v>34</v>
      </c>
      <c r="IJ12" s="32" t="s">
        <v>34</v>
      </c>
      <c r="IK12" s="32" t="s">
        <v>34</v>
      </c>
      <c r="IL12" s="32" t="s">
        <v>34</v>
      </c>
      <c r="IM12" s="32" t="s">
        <v>34</v>
      </c>
      <c r="IN12" s="32" t="s">
        <v>34</v>
      </c>
      <c r="IO12" s="32" t="s">
        <v>34</v>
      </c>
      <c r="IP12" s="32" t="s">
        <v>34</v>
      </c>
      <c r="IQ12" s="8" t="s">
        <v>34</v>
      </c>
      <c r="IR12" s="32" t="s">
        <v>34</v>
      </c>
      <c r="IS12" s="32" t="s">
        <v>34</v>
      </c>
      <c r="IT12" s="32" t="s">
        <v>34</v>
      </c>
      <c r="IU12" s="32" t="s">
        <v>34</v>
      </c>
      <c r="IV12" s="32" t="s">
        <v>34</v>
      </c>
      <c r="IW12" s="32" t="s">
        <v>34</v>
      </c>
      <c r="IX12" s="32" t="s">
        <v>34</v>
      </c>
      <c r="IY12" s="32" t="s">
        <v>34</v>
      </c>
      <c r="IZ12" s="32" t="s">
        <v>34</v>
      </c>
      <c r="JA12" s="32" t="s">
        <v>34</v>
      </c>
      <c r="JB12" s="32" t="s">
        <v>34</v>
      </c>
      <c r="JC12" s="32" t="s">
        <v>34</v>
      </c>
      <c r="JD12" s="32" t="s">
        <v>34</v>
      </c>
      <c r="JE12" s="32" t="s">
        <v>34</v>
      </c>
      <c r="JF12" s="32" t="s">
        <v>34</v>
      </c>
      <c r="JG12" s="32" t="s">
        <v>34</v>
      </c>
      <c r="JH12" s="32" t="s">
        <v>34</v>
      </c>
      <c r="JI12" s="69"/>
      <c r="JJ12" s="32" t="s">
        <v>34</v>
      </c>
      <c r="JK12" s="32" t="s">
        <v>34</v>
      </c>
      <c r="JL12" s="32" t="s">
        <v>34</v>
      </c>
      <c r="JM12" s="32" t="s">
        <v>34</v>
      </c>
      <c r="JN12" s="32" t="s">
        <v>34</v>
      </c>
      <c r="JO12" s="32" t="s">
        <v>34</v>
      </c>
      <c r="JP12" s="32" t="s">
        <v>34</v>
      </c>
      <c r="JQ12" s="32" t="s">
        <v>34</v>
      </c>
      <c r="JR12" s="32" t="s">
        <v>34</v>
      </c>
      <c r="JS12" s="32" t="s">
        <v>34</v>
      </c>
      <c r="JT12" s="32" t="s">
        <v>34</v>
      </c>
      <c r="JU12" s="69"/>
      <c r="JV12" s="32" t="s">
        <v>34</v>
      </c>
      <c r="JW12" s="32" t="s">
        <v>34</v>
      </c>
      <c r="JX12" s="32" t="s">
        <v>34</v>
      </c>
      <c r="JY12" s="32" t="s">
        <v>34</v>
      </c>
      <c r="JZ12" s="32" t="s">
        <v>34</v>
      </c>
      <c r="KA12" s="32" t="s">
        <v>34</v>
      </c>
      <c r="KB12" s="32" t="s">
        <v>34</v>
      </c>
      <c r="KC12" s="32" t="s">
        <v>34</v>
      </c>
      <c r="KD12" s="32" t="s">
        <v>34</v>
      </c>
      <c r="KE12" s="32" t="s">
        <v>34</v>
      </c>
      <c r="KF12" s="32" t="s">
        <v>34</v>
      </c>
      <c r="KG12" s="32" t="s">
        <v>34</v>
      </c>
      <c r="KH12" s="32" t="s">
        <v>34</v>
      </c>
      <c r="KI12" s="32" t="s">
        <v>34</v>
      </c>
      <c r="KJ12" s="32" t="s">
        <v>34</v>
      </c>
      <c r="KK12" s="32" t="s">
        <v>34</v>
      </c>
      <c r="KL12" s="32" t="s">
        <v>34</v>
      </c>
      <c r="KM12" s="69"/>
      <c r="KN12" s="32" t="s">
        <v>34</v>
      </c>
      <c r="KO12" s="32" t="s">
        <v>34</v>
      </c>
      <c r="KP12" s="32" t="s">
        <v>34</v>
      </c>
      <c r="KQ12" s="32" t="s">
        <v>34</v>
      </c>
      <c r="KR12" s="32" t="s">
        <v>34</v>
      </c>
      <c r="KS12" s="32" t="s">
        <v>34</v>
      </c>
      <c r="KT12" s="32" t="s">
        <v>34</v>
      </c>
      <c r="KU12" s="32" t="s">
        <v>34</v>
      </c>
      <c r="KV12" s="32" t="s">
        <v>34</v>
      </c>
      <c r="KW12" s="32" t="s">
        <v>34</v>
      </c>
      <c r="KX12" s="32" t="s">
        <v>34</v>
      </c>
      <c r="KY12" s="32" t="s">
        <v>34</v>
      </c>
      <c r="KZ12" s="32" t="s">
        <v>34</v>
      </c>
      <c r="LA12" s="32" t="s">
        <v>34</v>
      </c>
      <c r="LB12" s="32" t="s">
        <v>34</v>
      </c>
      <c r="LC12" s="32" t="s">
        <v>34</v>
      </c>
      <c r="LD12" s="32" t="s">
        <v>34</v>
      </c>
      <c r="LE12" s="32" t="s">
        <v>34</v>
      </c>
      <c r="LF12" s="32" t="s">
        <v>34</v>
      </c>
      <c r="LG12" s="32" t="s">
        <v>34</v>
      </c>
      <c r="LH12" s="69"/>
      <c r="LI12" s="32" t="s">
        <v>34</v>
      </c>
      <c r="LJ12" s="32" t="s">
        <v>34</v>
      </c>
      <c r="LK12" s="32" t="s">
        <v>34</v>
      </c>
      <c r="LL12" s="32" t="s">
        <v>34</v>
      </c>
      <c r="LM12" s="32" t="s">
        <v>34</v>
      </c>
      <c r="LN12" s="69"/>
      <c r="LO12" s="32" t="s">
        <v>34</v>
      </c>
      <c r="LP12" s="32" t="s">
        <v>34</v>
      </c>
      <c r="LQ12" s="32" t="s">
        <v>34</v>
      </c>
      <c r="LR12" s="32" t="s">
        <v>34</v>
      </c>
      <c r="LS12" s="32" t="s">
        <v>34</v>
      </c>
      <c r="LT12" s="32" t="s">
        <v>34</v>
      </c>
      <c r="LU12" s="32" t="s">
        <v>34</v>
      </c>
      <c r="LV12" s="32" t="s">
        <v>34</v>
      </c>
      <c r="LW12" s="32" t="s">
        <v>34</v>
      </c>
      <c r="LX12" s="32" t="s">
        <v>34</v>
      </c>
      <c r="LY12" s="32" t="s">
        <v>34</v>
      </c>
      <c r="LZ12" s="32" t="s">
        <v>34</v>
      </c>
      <c r="MA12" s="32" t="s">
        <v>34</v>
      </c>
      <c r="MB12" s="32" t="s">
        <v>34</v>
      </c>
      <c r="MC12" s="32" t="s">
        <v>34</v>
      </c>
      <c r="MD12" s="32" t="s">
        <v>34</v>
      </c>
      <c r="ME12" s="32" t="s">
        <v>34</v>
      </c>
      <c r="MF12" s="32" t="s">
        <v>34</v>
      </c>
      <c r="MG12" s="8" t="s">
        <v>34</v>
      </c>
      <c r="MH12" s="32" t="s">
        <v>34</v>
      </c>
      <c r="MI12" s="32" t="s">
        <v>34</v>
      </c>
      <c r="MJ12" s="32" t="s">
        <v>34</v>
      </c>
      <c r="MK12" s="32" t="s">
        <v>34</v>
      </c>
      <c r="ML12" s="32" t="s">
        <v>34</v>
      </c>
      <c r="MM12" s="32" t="s">
        <v>34</v>
      </c>
      <c r="MN12" s="32" t="s">
        <v>34</v>
      </c>
      <c r="MO12" s="32" t="s">
        <v>34</v>
      </c>
      <c r="MP12" s="32" t="s">
        <v>34</v>
      </c>
      <c r="MQ12" s="32" t="s">
        <v>34</v>
      </c>
      <c r="MR12" s="32" t="s">
        <v>34</v>
      </c>
      <c r="MS12" s="32" t="s">
        <v>34</v>
      </c>
      <c r="MT12" s="32" t="s">
        <v>34</v>
      </c>
      <c r="MU12" s="32" t="s">
        <v>34</v>
      </c>
      <c r="MV12" s="32" t="s">
        <v>34</v>
      </c>
      <c r="MW12" s="32" t="s">
        <v>34</v>
      </c>
      <c r="MX12" s="32" t="s">
        <v>34</v>
      </c>
      <c r="MY12" s="32" t="s">
        <v>34</v>
      </c>
      <c r="MZ12" s="32" t="s">
        <v>34</v>
      </c>
      <c r="NA12" s="32" t="s">
        <v>34</v>
      </c>
      <c r="NB12" s="17" t="s">
        <v>34</v>
      </c>
      <c r="NC12" s="69"/>
      <c r="ND12" s="32" t="s">
        <v>34</v>
      </c>
      <c r="NE12" s="32" t="s">
        <v>34</v>
      </c>
      <c r="NF12" s="32" t="s">
        <v>34</v>
      </c>
      <c r="NG12" s="32" t="s">
        <v>34</v>
      </c>
      <c r="NH12" s="32" t="s">
        <v>34</v>
      </c>
      <c r="NI12" s="32" t="s">
        <v>34</v>
      </c>
      <c r="NJ12" s="32" t="s">
        <v>34</v>
      </c>
      <c r="NK12" s="32" t="s">
        <v>34</v>
      </c>
      <c r="NL12" s="32" t="s">
        <v>34</v>
      </c>
      <c r="NM12" s="32" t="s">
        <v>34</v>
      </c>
      <c r="NN12" s="32" t="s">
        <v>34</v>
      </c>
      <c r="NO12" s="32" t="s">
        <v>34</v>
      </c>
      <c r="NP12" s="32" t="s">
        <v>34</v>
      </c>
      <c r="NQ12" s="32" t="s">
        <v>34</v>
      </c>
      <c r="NR12" s="32" t="s">
        <v>34</v>
      </c>
      <c r="NS12" s="32" t="s">
        <v>34</v>
      </c>
      <c r="NT12" s="32" t="s">
        <v>34</v>
      </c>
      <c r="NU12" s="32" t="s">
        <v>34</v>
      </c>
      <c r="NV12" s="8" t="s">
        <v>34</v>
      </c>
      <c r="NW12" s="32" t="s">
        <v>34</v>
      </c>
      <c r="NX12" s="32" t="s">
        <v>34</v>
      </c>
      <c r="NY12" s="32" t="s">
        <v>34</v>
      </c>
      <c r="NZ12" s="32" t="s">
        <v>34</v>
      </c>
      <c r="OA12" s="32" t="s">
        <v>34</v>
      </c>
      <c r="OB12" s="32" t="s">
        <v>34</v>
      </c>
      <c r="OC12" s="32" t="s">
        <v>34</v>
      </c>
      <c r="OD12" s="32" t="s">
        <v>34</v>
      </c>
      <c r="OE12" s="32" t="s">
        <v>34</v>
      </c>
      <c r="OF12" s="32" t="s">
        <v>34</v>
      </c>
      <c r="OG12" s="32" t="s">
        <v>34</v>
      </c>
      <c r="OH12" s="32" t="s">
        <v>34</v>
      </c>
      <c r="OI12" s="32" t="s">
        <v>34</v>
      </c>
      <c r="OJ12" s="32" t="s">
        <v>34</v>
      </c>
      <c r="OK12" s="32" t="s">
        <v>34</v>
      </c>
      <c r="OL12" s="32" t="s">
        <v>34</v>
      </c>
      <c r="OM12" s="32" t="s">
        <v>34</v>
      </c>
      <c r="ON12" s="69"/>
      <c r="OO12" s="32" t="s">
        <v>34</v>
      </c>
      <c r="OP12" s="32" t="s">
        <v>34</v>
      </c>
      <c r="OQ12" s="32" t="s">
        <v>34</v>
      </c>
      <c r="OR12" s="32" t="s">
        <v>34</v>
      </c>
      <c r="OS12" s="32" t="s">
        <v>34</v>
      </c>
      <c r="OT12" s="32" t="s">
        <v>34</v>
      </c>
      <c r="OU12" s="32" t="s">
        <v>34</v>
      </c>
      <c r="OV12" s="32" t="s">
        <v>34</v>
      </c>
      <c r="OW12" s="32" t="s">
        <v>34</v>
      </c>
      <c r="OX12" s="32" t="s">
        <v>34</v>
      </c>
      <c r="OY12" s="32" t="s">
        <v>34</v>
      </c>
    </row>
    <row r="13" spans="1:415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9"/>
      <c r="K13" s="32" t="s">
        <v>34</v>
      </c>
      <c r="L13" s="32" t="s">
        <v>34</v>
      </c>
      <c r="M13" s="32" t="s">
        <v>34</v>
      </c>
      <c r="N13" s="32" t="s">
        <v>34</v>
      </c>
      <c r="O13" s="32" t="s">
        <v>34</v>
      </c>
      <c r="P13" s="32" t="s">
        <v>34</v>
      </c>
      <c r="Q13" s="32" t="s">
        <v>34</v>
      </c>
      <c r="R13" s="32" t="s">
        <v>34</v>
      </c>
      <c r="S13" s="32" t="s">
        <v>34</v>
      </c>
      <c r="T13" s="32" t="s">
        <v>34</v>
      </c>
      <c r="U13" s="32" t="s">
        <v>34</v>
      </c>
      <c r="V13" s="32" t="s">
        <v>34</v>
      </c>
      <c r="W13" s="32" t="s">
        <v>34</v>
      </c>
      <c r="X13" s="32" t="s">
        <v>34</v>
      </c>
      <c r="Y13" s="32" t="s">
        <v>34</v>
      </c>
      <c r="Z13" s="32" t="s">
        <v>34</v>
      </c>
      <c r="AA13" s="32" t="s">
        <v>34</v>
      </c>
      <c r="AB13" s="69"/>
      <c r="AC13" s="32" t="s">
        <v>34</v>
      </c>
      <c r="AD13" s="32" t="s">
        <v>34</v>
      </c>
      <c r="AE13" s="32" t="s">
        <v>34</v>
      </c>
      <c r="AF13" s="32" t="s">
        <v>34</v>
      </c>
      <c r="AG13" s="32" t="s">
        <v>34</v>
      </c>
      <c r="AH13" s="32" t="s">
        <v>34</v>
      </c>
      <c r="AI13" s="32" t="s">
        <v>34</v>
      </c>
      <c r="AJ13" s="32" t="s">
        <v>34</v>
      </c>
      <c r="AK13" s="32" t="s">
        <v>34</v>
      </c>
      <c r="AL13" s="32" t="s">
        <v>34</v>
      </c>
      <c r="AM13" s="32" t="s">
        <v>34</v>
      </c>
      <c r="AN13" s="32" t="s">
        <v>34</v>
      </c>
      <c r="AO13" s="32" t="s">
        <v>34</v>
      </c>
      <c r="AP13" s="32" t="s">
        <v>34</v>
      </c>
      <c r="AQ13" s="32" t="s">
        <v>34</v>
      </c>
      <c r="AR13" s="32" t="s">
        <v>34</v>
      </c>
      <c r="AS13" s="32" t="s">
        <v>34</v>
      </c>
      <c r="AT13" s="32" t="s">
        <v>34</v>
      </c>
      <c r="AU13" s="32" t="s">
        <v>34</v>
      </c>
      <c r="AV13" s="32" t="s">
        <v>34</v>
      </c>
      <c r="AW13" s="69"/>
      <c r="AX13" s="32" t="s">
        <v>34</v>
      </c>
      <c r="AY13" s="32" t="s">
        <v>34</v>
      </c>
      <c r="AZ13" s="32" t="s">
        <v>34</v>
      </c>
      <c r="BA13" s="32" t="s">
        <v>34</v>
      </c>
      <c r="BB13" s="32" t="s">
        <v>34</v>
      </c>
      <c r="BC13" s="69"/>
      <c r="BD13" s="32" t="s">
        <v>34</v>
      </c>
      <c r="BE13" s="32" t="s">
        <v>34</v>
      </c>
      <c r="BF13" s="32" t="s">
        <v>34</v>
      </c>
      <c r="BG13" s="32" t="s">
        <v>34</v>
      </c>
      <c r="BH13" s="32" t="s">
        <v>34</v>
      </c>
      <c r="BI13" s="32" t="s">
        <v>34</v>
      </c>
      <c r="BJ13" s="32" t="s">
        <v>34</v>
      </c>
      <c r="BK13" s="32" t="s">
        <v>34</v>
      </c>
      <c r="BL13" s="32" t="s">
        <v>34</v>
      </c>
      <c r="BM13" s="32" t="s">
        <v>34</v>
      </c>
      <c r="BN13" s="32" t="s">
        <v>34</v>
      </c>
      <c r="BO13" s="32" t="s">
        <v>34</v>
      </c>
      <c r="BP13" s="32" t="s">
        <v>34</v>
      </c>
      <c r="BQ13" s="32" t="s">
        <v>34</v>
      </c>
      <c r="BR13" s="32" t="s">
        <v>34</v>
      </c>
      <c r="BS13" s="32" t="s">
        <v>34</v>
      </c>
      <c r="BT13" s="32" t="s">
        <v>34</v>
      </c>
      <c r="BU13" s="32" t="s">
        <v>34</v>
      </c>
      <c r="BV13" s="8" t="s">
        <v>34</v>
      </c>
      <c r="BW13" s="32" t="s">
        <v>34</v>
      </c>
      <c r="BX13" s="32" t="s">
        <v>34</v>
      </c>
      <c r="BY13" s="32" t="s">
        <v>34</v>
      </c>
      <c r="BZ13" s="32" t="s">
        <v>34</v>
      </c>
      <c r="CA13" s="32" t="s">
        <v>34</v>
      </c>
      <c r="CB13" s="32" t="s">
        <v>34</v>
      </c>
      <c r="CC13" s="32" t="s">
        <v>34</v>
      </c>
      <c r="CD13" s="32" t="s">
        <v>34</v>
      </c>
      <c r="CE13" s="32" t="s">
        <v>34</v>
      </c>
      <c r="CF13" s="32" t="s">
        <v>34</v>
      </c>
      <c r="CG13" s="32" t="s">
        <v>34</v>
      </c>
      <c r="CH13" s="32" t="s">
        <v>34</v>
      </c>
      <c r="CI13" s="32" t="s">
        <v>34</v>
      </c>
      <c r="CJ13" s="32" t="s">
        <v>34</v>
      </c>
      <c r="CK13" s="32" t="s">
        <v>34</v>
      </c>
      <c r="CL13" s="32" t="s">
        <v>34</v>
      </c>
      <c r="CM13" s="32" t="s">
        <v>34</v>
      </c>
      <c r="CN13" s="32" t="s">
        <v>34</v>
      </c>
      <c r="CO13" s="32" t="s">
        <v>34</v>
      </c>
      <c r="CP13" s="32" t="s">
        <v>34</v>
      </c>
      <c r="CQ13" s="17" t="s">
        <v>34</v>
      </c>
      <c r="CR13" s="69"/>
      <c r="CS13" s="32" t="s">
        <v>34</v>
      </c>
      <c r="CT13" s="32" t="s">
        <v>34</v>
      </c>
      <c r="CU13" s="32" t="s">
        <v>34</v>
      </c>
      <c r="CV13" s="32" t="s">
        <v>34</v>
      </c>
      <c r="CW13" s="32" t="s">
        <v>34</v>
      </c>
      <c r="CX13" s="32" t="s">
        <v>34</v>
      </c>
      <c r="CY13" s="32" t="s">
        <v>34</v>
      </c>
      <c r="CZ13" s="32" t="s">
        <v>34</v>
      </c>
      <c r="DA13" s="32" t="s">
        <v>34</v>
      </c>
      <c r="DB13" s="32" t="s">
        <v>34</v>
      </c>
      <c r="DC13" s="32" t="s">
        <v>34</v>
      </c>
      <c r="DD13" s="32" t="s">
        <v>34</v>
      </c>
      <c r="DE13" s="32" t="s">
        <v>34</v>
      </c>
      <c r="DF13" s="32" t="s">
        <v>34</v>
      </c>
      <c r="DG13" s="32" t="s">
        <v>34</v>
      </c>
      <c r="DH13" s="32" t="s">
        <v>34</v>
      </c>
      <c r="DI13" s="32" t="s">
        <v>34</v>
      </c>
      <c r="DJ13" s="32" t="s">
        <v>34</v>
      </c>
      <c r="DK13" s="8" t="s">
        <v>34</v>
      </c>
      <c r="DL13" s="32" t="s">
        <v>34</v>
      </c>
      <c r="DM13" s="32" t="s">
        <v>34</v>
      </c>
      <c r="DN13" s="32" t="s">
        <v>34</v>
      </c>
      <c r="DO13" s="32" t="s">
        <v>34</v>
      </c>
      <c r="DP13" s="32" t="s">
        <v>34</v>
      </c>
      <c r="DQ13" s="32" t="s">
        <v>34</v>
      </c>
      <c r="DR13" s="32" t="s">
        <v>34</v>
      </c>
      <c r="DS13" s="32" t="s">
        <v>34</v>
      </c>
      <c r="DT13" s="32" t="s">
        <v>34</v>
      </c>
      <c r="DU13" s="32" t="s">
        <v>34</v>
      </c>
      <c r="DV13" s="32" t="s">
        <v>34</v>
      </c>
      <c r="DW13" s="32" t="s">
        <v>34</v>
      </c>
      <c r="DX13" s="32" t="s">
        <v>34</v>
      </c>
      <c r="DY13" s="32" t="s">
        <v>34</v>
      </c>
      <c r="DZ13" s="32" t="s">
        <v>34</v>
      </c>
      <c r="EA13" s="32" t="s">
        <v>34</v>
      </c>
      <c r="EB13" s="32" t="s">
        <v>34</v>
      </c>
      <c r="EC13" s="69"/>
      <c r="ED13" s="32" t="s">
        <v>34</v>
      </c>
      <c r="EE13" s="32" t="s">
        <v>34</v>
      </c>
      <c r="EF13" s="32" t="s">
        <v>34</v>
      </c>
      <c r="EG13" s="32" t="s">
        <v>34</v>
      </c>
      <c r="EH13" s="32" t="s">
        <v>34</v>
      </c>
      <c r="EI13" s="32" t="s">
        <v>34</v>
      </c>
      <c r="EJ13" s="32" t="s">
        <v>34</v>
      </c>
      <c r="EK13" s="32" t="s">
        <v>34</v>
      </c>
      <c r="EL13" s="32" t="s">
        <v>34</v>
      </c>
      <c r="EM13" s="32" t="s">
        <v>34</v>
      </c>
      <c r="EN13" s="32" t="s">
        <v>34</v>
      </c>
      <c r="EO13" s="69"/>
      <c r="EP13" s="32" t="s">
        <v>34</v>
      </c>
      <c r="EQ13" s="32" t="s">
        <v>34</v>
      </c>
      <c r="ER13" s="32" t="s">
        <v>34</v>
      </c>
      <c r="ES13" s="32" t="s">
        <v>34</v>
      </c>
      <c r="ET13" s="32" t="s">
        <v>34</v>
      </c>
      <c r="EU13" s="32" t="s">
        <v>34</v>
      </c>
      <c r="EV13" s="32" t="s">
        <v>34</v>
      </c>
      <c r="EW13" s="32" t="s">
        <v>34</v>
      </c>
      <c r="EX13" s="32" t="s">
        <v>34</v>
      </c>
      <c r="EY13" s="32" t="s">
        <v>34</v>
      </c>
      <c r="EZ13" s="32" t="s">
        <v>34</v>
      </c>
      <c r="FA13" s="32" t="s">
        <v>34</v>
      </c>
      <c r="FB13" s="32" t="s">
        <v>34</v>
      </c>
      <c r="FC13" s="32" t="s">
        <v>34</v>
      </c>
      <c r="FD13" s="32" t="s">
        <v>34</v>
      </c>
      <c r="FE13" s="32" t="s">
        <v>34</v>
      </c>
      <c r="FF13" s="32" t="s">
        <v>34</v>
      </c>
      <c r="FG13" s="69"/>
      <c r="FH13" s="32" t="s">
        <v>34</v>
      </c>
      <c r="FI13" s="32" t="s">
        <v>34</v>
      </c>
      <c r="FJ13" s="32" t="s">
        <v>34</v>
      </c>
      <c r="FK13" s="32" t="s">
        <v>34</v>
      </c>
      <c r="FL13" s="32" t="s">
        <v>34</v>
      </c>
      <c r="FM13" s="32" t="s">
        <v>34</v>
      </c>
      <c r="FN13" s="32" t="s">
        <v>34</v>
      </c>
      <c r="FO13" s="32" t="s">
        <v>34</v>
      </c>
      <c r="FP13" s="32" t="s">
        <v>34</v>
      </c>
      <c r="FQ13" s="32" t="s">
        <v>34</v>
      </c>
      <c r="FR13" s="32" t="s">
        <v>34</v>
      </c>
      <c r="FS13" s="32" t="s">
        <v>34</v>
      </c>
      <c r="FT13" s="32" t="s">
        <v>34</v>
      </c>
      <c r="FU13" s="32" t="s">
        <v>34</v>
      </c>
      <c r="FV13" s="32" t="s">
        <v>34</v>
      </c>
      <c r="FW13" s="32" t="s">
        <v>34</v>
      </c>
      <c r="FX13" s="32" t="s">
        <v>34</v>
      </c>
      <c r="FY13" s="32" t="s">
        <v>34</v>
      </c>
      <c r="FZ13" s="32" t="s">
        <v>34</v>
      </c>
      <c r="GA13" s="32" t="s">
        <v>34</v>
      </c>
      <c r="GB13" s="69"/>
      <c r="GC13" s="32" t="s">
        <v>34</v>
      </c>
      <c r="GD13" s="32" t="s">
        <v>34</v>
      </c>
      <c r="GE13" s="32" t="s">
        <v>34</v>
      </c>
      <c r="GF13" s="32" t="s">
        <v>34</v>
      </c>
      <c r="GG13" s="32" t="s">
        <v>34</v>
      </c>
      <c r="GH13" s="69"/>
      <c r="GI13" s="32" t="s">
        <v>34</v>
      </c>
      <c r="GJ13" s="32" t="s">
        <v>34</v>
      </c>
      <c r="GK13" s="32" t="s">
        <v>34</v>
      </c>
      <c r="GL13" s="32" t="s">
        <v>34</v>
      </c>
      <c r="GM13" s="32" t="s">
        <v>34</v>
      </c>
      <c r="GN13" s="32" t="s">
        <v>34</v>
      </c>
      <c r="GO13" s="32" t="s">
        <v>34</v>
      </c>
      <c r="GP13" s="32" t="s">
        <v>34</v>
      </c>
      <c r="GQ13" s="32" t="s">
        <v>34</v>
      </c>
      <c r="GR13" s="32" t="s">
        <v>34</v>
      </c>
      <c r="GS13" s="32" t="s">
        <v>34</v>
      </c>
      <c r="GT13" s="32" t="s">
        <v>34</v>
      </c>
      <c r="GU13" s="32" t="s">
        <v>34</v>
      </c>
      <c r="GV13" s="32" t="s">
        <v>34</v>
      </c>
      <c r="GW13" s="32" t="s">
        <v>34</v>
      </c>
      <c r="GX13" s="32" t="s">
        <v>34</v>
      </c>
      <c r="GY13" s="32" t="s">
        <v>34</v>
      </c>
      <c r="GZ13" s="32" t="s">
        <v>34</v>
      </c>
      <c r="HA13" s="8" t="s">
        <v>34</v>
      </c>
      <c r="HB13" s="32" t="s">
        <v>34</v>
      </c>
      <c r="HC13" s="32" t="s">
        <v>34</v>
      </c>
      <c r="HD13" s="32" t="s">
        <v>34</v>
      </c>
      <c r="HE13" s="32" t="s">
        <v>34</v>
      </c>
      <c r="HF13" s="32" t="s">
        <v>34</v>
      </c>
      <c r="HG13" s="32" t="s">
        <v>34</v>
      </c>
      <c r="HH13" s="32" t="s">
        <v>34</v>
      </c>
      <c r="HI13" s="32" t="s">
        <v>34</v>
      </c>
      <c r="HJ13" s="32" t="s">
        <v>34</v>
      </c>
      <c r="HK13" s="32" t="s">
        <v>34</v>
      </c>
      <c r="HL13" s="32" t="s">
        <v>34</v>
      </c>
      <c r="HM13" s="32" t="s">
        <v>34</v>
      </c>
      <c r="HN13" s="32" t="s">
        <v>34</v>
      </c>
      <c r="HO13" s="32" t="s">
        <v>34</v>
      </c>
      <c r="HP13" s="32" t="s">
        <v>34</v>
      </c>
      <c r="HQ13" s="32" t="s">
        <v>34</v>
      </c>
      <c r="HR13" s="32" t="s">
        <v>34</v>
      </c>
      <c r="HS13" s="32" t="s">
        <v>34</v>
      </c>
      <c r="HT13" s="32" t="s">
        <v>34</v>
      </c>
      <c r="HU13" s="32" t="s">
        <v>34</v>
      </c>
      <c r="HV13" s="32" t="s">
        <v>34</v>
      </c>
      <c r="HW13" s="17" t="s">
        <v>34</v>
      </c>
      <c r="HX13" s="69"/>
      <c r="HY13" s="32" t="s">
        <v>34</v>
      </c>
      <c r="HZ13" s="32" t="s">
        <v>34</v>
      </c>
      <c r="IA13" s="32" t="s">
        <v>34</v>
      </c>
      <c r="IB13" s="32" t="s">
        <v>34</v>
      </c>
      <c r="IC13" s="32" t="s">
        <v>34</v>
      </c>
      <c r="ID13" s="32" t="s">
        <v>34</v>
      </c>
      <c r="IE13" s="32" t="s">
        <v>34</v>
      </c>
      <c r="IF13" s="32" t="s">
        <v>34</v>
      </c>
      <c r="IG13" s="32" t="s">
        <v>34</v>
      </c>
      <c r="IH13" s="32" t="s">
        <v>34</v>
      </c>
      <c r="II13" s="32" t="s">
        <v>34</v>
      </c>
      <c r="IJ13" s="32" t="s">
        <v>34</v>
      </c>
      <c r="IK13" s="32" t="s">
        <v>34</v>
      </c>
      <c r="IL13" s="32" t="s">
        <v>34</v>
      </c>
      <c r="IM13" s="32" t="s">
        <v>34</v>
      </c>
      <c r="IN13" s="32" t="s">
        <v>34</v>
      </c>
      <c r="IO13" s="32" t="s">
        <v>34</v>
      </c>
      <c r="IP13" s="32" t="s">
        <v>34</v>
      </c>
      <c r="IQ13" s="8" t="s">
        <v>34</v>
      </c>
      <c r="IR13" s="32" t="s">
        <v>34</v>
      </c>
      <c r="IS13" s="32" t="s">
        <v>34</v>
      </c>
      <c r="IT13" s="32" t="s">
        <v>34</v>
      </c>
      <c r="IU13" s="32" t="s">
        <v>34</v>
      </c>
      <c r="IV13" s="32" t="s">
        <v>34</v>
      </c>
      <c r="IW13" s="32" t="s">
        <v>34</v>
      </c>
      <c r="IX13" s="32" t="s">
        <v>34</v>
      </c>
      <c r="IY13" s="32" t="s">
        <v>34</v>
      </c>
      <c r="IZ13" s="32" t="s">
        <v>34</v>
      </c>
      <c r="JA13" s="32" t="s">
        <v>34</v>
      </c>
      <c r="JB13" s="32" t="s">
        <v>34</v>
      </c>
      <c r="JC13" s="32" t="s">
        <v>34</v>
      </c>
      <c r="JD13" s="32" t="s">
        <v>34</v>
      </c>
      <c r="JE13" s="32" t="s">
        <v>34</v>
      </c>
      <c r="JF13" s="32" t="s">
        <v>34</v>
      </c>
      <c r="JG13" s="32" t="s">
        <v>34</v>
      </c>
      <c r="JH13" s="32" t="s">
        <v>34</v>
      </c>
      <c r="JI13" s="69"/>
      <c r="JJ13" s="32" t="s">
        <v>34</v>
      </c>
      <c r="JK13" s="32" t="s">
        <v>34</v>
      </c>
      <c r="JL13" s="32" t="s">
        <v>34</v>
      </c>
      <c r="JM13" s="32" t="s">
        <v>34</v>
      </c>
      <c r="JN13" s="32" t="s">
        <v>34</v>
      </c>
      <c r="JO13" s="32" t="s">
        <v>34</v>
      </c>
      <c r="JP13" s="32" t="s">
        <v>34</v>
      </c>
      <c r="JQ13" s="32" t="s">
        <v>34</v>
      </c>
      <c r="JR13" s="32" t="s">
        <v>34</v>
      </c>
      <c r="JS13" s="32" t="s">
        <v>34</v>
      </c>
      <c r="JT13" s="32" t="s">
        <v>34</v>
      </c>
      <c r="JU13" s="69"/>
      <c r="JV13" s="32" t="s">
        <v>34</v>
      </c>
      <c r="JW13" s="32" t="s">
        <v>34</v>
      </c>
      <c r="JX13" s="32" t="s">
        <v>34</v>
      </c>
      <c r="JY13" s="32" t="s">
        <v>34</v>
      </c>
      <c r="JZ13" s="32" t="s">
        <v>34</v>
      </c>
      <c r="KA13" s="32" t="s">
        <v>34</v>
      </c>
      <c r="KB13" s="32" t="s">
        <v>34</v>
      </c>
      <c r="KC13" s="32" t="s">
        <v>34</v>
      </c>
      <c r="KD13" s="32" t="s">
        <v>34</v>
      </c>
      <c r="KE13" s="32" t="s">
        <v>34</v>
      </c>
      <c r="KF13" s="32" t="s">
        <v>34</v>
      </c>
      <c r="KG13" s="32" t="s">
        <v>34</v>
      </c>
      <c r="KH13" s="32" t="s">
        <v>34</v>
      </c>
      <c r="KI13" s="32" t="s">
        <v>34</v>
      </c>
      <c r="KJ13" s="32" t="s">
        <v>34</v>
      </c>
      <c r="KK13" s="32" t="s">
        <v>34</v>
      </c>
      <c r="KL13" s="32" t="s">
        <v>34</v>
      </c>
      <c r="KM13" s="69"/>
      <c r="KN13" s="32" t="s">
        <v>34</v>
      </c>
      <c r="KO13" s="32" t="s">
        <v>34</v>
      </c>
      <c r="KP13" s="32" t="s">
        <v>34</v>
      </c>
      <c r="KQ13" s="32" t="s">
        <v>34</v>
      </c>
      <c r="KR13" s="32" t="s">
        <v>34</v>
      </c>
      <c r="KS13" s="32" t="s">
        <v>34</v>
      </c>
      <c r="KT13" s="32" t="s">
        <v>34</v>
      </c>
      <c r="KU13" s="32" t="s">
        <v>34</v>
      </c>
      <c r="KV13" s="32" t="s">
        <v>34</v>
      </c>
      <c r="KW13" s="32" t="s">
        <v>34</v>
      </c>
      <c r="KX13" s="32" t="s">
        <v>34</v>
      </c>
      <c r="KY13" s="32" t="s">
        <v>34</v>
      </c>
      <c r="KZ13" s="32" t="s">
        <v>34</v>
      </c>
      <c r="LA13" s="32" t="s">
        <v>34</v>
      </c>
      <c r="LB13" s="32" t="s">
        <v>34</v>
      </c>
      <c r="LC13" s="32" t="s">
        <v>34</v>
      </c>
      <c r="LD13" s="32" t="s">
        <v>34</v>
      </c>
      <c r="LE13" s="32" t="s">
        <v>34</v>
      </c>
      <c r="LF13" s="32" t="s">
        <v>34</v>
      </c>
      <c r="LG13" s="32" t="s">
        <v>34</v>
      </c>
      <c r="LH13" s="69"/>
      <c r="LI13" s="32" t="s">
        <v>34</v>
      </c>
      <c r="LJ13" s="32" t="s">
        <v>34</v>
      </c>
      <c r="LK13" s="32" t="s">
        <v>34</v>
      </c>
      <c r="LL13" s="32" t="s">
        <v>34</v>
      </c>
      <c r="LM13" s="32" t="s">
        <v>34</v>
      </c>
      <c r="LN13" s="69"/>
      <c r="LO13" s="32" t="s">
        <v>34</v>
      </c>
      <c r="LP13" s="32" t="s">
        <v>34</v>
      </c>
      <c r="LQ13" s="32" t="s">
        <v>34</v>
      </c>
      <c r="LR13" s="32" t="s">
        <v>34</v>
      </c>
      <c r="LS13" s="32" t="s">
        <v>34</v>
      </c>
      <c r="LT13" s="32" t="s">
        <v>34</v>
      </c>
      <c r="LU13" s="32" t="s">
        <v>34</v>
      </c>
      <c r="LV13" s="32" t="s">
        <v>34</v>
      </c>
      <c r="LW13" s="32" t="s">
        <v>34</v>
      </c>
      <c r="LX13" s="32" t="s">
        <v>34</v>
      </c>
      <c r="LY13" s="32" t="s">
        <v>34</v>
      </c>
      <c r="LZ13" s="32" t="s">
        <v>34</v>
      </c>
      <c r="MA13" s="32" t="s">
        <v>34</v>
      </c>
      <c r="MB13" s="32" t="s">
        <v>34</v>
      </c>
      <c r="MC13" s="32" t="s">
        <v>34</v>
      </c>
      <c r="MD13" s="32" t="s">
        <v>34</v>
      </c>
      <c r="ME13" s="32" t="s">
        <v>34</v>
      </c>
      <c r="MF13" s="32" t="s">
        <v>34</v>
      </c>
      <c r="MG13" s="8" t="s">
        <v>34</v>
      </c>
      <c r="MH13" s="32" t="s">
        <v>34</v>
      </c>
      <c r="MI13" s="32" t="s">
        <v>34</v>
      </c>
      <c r="MJ13" s="32" t="s">
        <v>34</v>
      </c>
      <c r="MK13" s="32" t="s">
        <v>34</v>
      </c>
      <c r="ML13" s="32" t="s">
        <v>34</v>
      </c>
      <c r="MM13" s="32" t="s">
        <v>34</v>
      </c>
      <c r="MN13" s="32" t="s">
        <v>34</v>
      </c>
      <c r="MO13" s="32" t="s">
        <v>34</v>
      </c>
      <c r="MP13" s="32" t="s">
        <v>34</v>
      </c>
      <c r="MQ13" s="32" t="s">
        <v>34</v>
      </c>
      <c r="MR13" s="32" t="s">
        <v>34</v>
      </c>
      <c r="MS13" s="32" t="s">
        <v>34</v>
      </c>
      <c r="MT13" s="32" t="s">
        <v>34</v>
      </c>
      <c r="MU13" s="32" t="s">
        <v>34</v>
      </c>
      <c r="MV13" s="32" t="s">
        <v>34</v>
      </c>
      <c r="MW13" s="32" t="s">
        <v>34</v>
      </c>
      <c r="MX13" s="32" t="s">
        <v>34</v>
      </c>
      <c r="MY13" s="32" t="s">
        <v>34</v>
      </c>
      <c r="MZ13" s="32" t="s">
        <v>34</v>
      </c>
      <c r="NA13" s="32" t="s">
        <v>34</v>
      </c>
      <c r="NB13" s="17" t="s">
        <v>34</v>
      </c>
      <c r="NC13" s="69"/>
      <c r="ND13" s="32" t="s">
        <v>34</v>
      </c>
      <c r="NE13" s="32" t="s">
        <v>34</v>
      </c>
      <c r="NF13" s="32" t="s">
        <v>34</v>
      </c>
      <c r="NG13" s="32" t="s">
        <v>34</v>
      </c>
      <c r="NH13" s="32" t="s">
        <v>34</v>
      </c>
      <c r="NI13" s="32" t="s">
        <v>34</v>
      </c>
      <c r="NJ13" s="32" t="s">
        <v>34</v>
      </c>
      <c r="NK13" s="32" t="s">
        <v>34</v>
      </c>
      <c r="NL13" s="32" t="s">
        <v>34</v>
      </c>
      <c r="NM13" s="32" t="s">
        <v>34</v>
      </c>
      <c r="NN13" s="32" t="s">
        <v>34</v>
      </c>
      <c r="NO13" s="32" t="s">
        <v>34</v>
      </c>
      <c r="NP13" s="32" t="s">
        <v>34</v>
      </c>
      <c r="NQ13" s="32" t="s">
        <v>34</v>
      </c>
      <c r="NR13" s="32" t="s">
        <v>34</v>
      </c>
      <c r="NS13" s="32" t="s">
        <v>34</v>
      </c>
      <c r="NT13" s="32" t="s">
        <v>34</v>
      </c>
      <c r="NU13" s="32" t="s">
        <v>34</v>
      </c>
      <c r="NV13" s="8" t="s">
        <v>34</v>
      </c>
      <c r="NW13" s="32" t="s">
        <v>34</v>
      </c>
      <c r="NX13" s="32" t="s">
        <v>34</v>
      </c>
      <c r="NY13" s="32" t="s">
        <v>34</v>
      </c>
      <c r="NZ13" s="32" t="s">
        <v>34</v>
      </c>
      <c r="OA13" s="32" t="s">
        <v>34</v>
      </c>
      <c r="OB13" s="32" t="s">
        <v>34</v>
      </c>
      <c r="OC13" s="32" t="s">
        <v>34</v>
      </c>
      <c r="OD13" s="32" t="s">
        <v>34</v>
      </c>
      <c r="OE13" s="32" t="s">
        <v>34</v>
      </c>
      <c r="OF13" s="32" t="s">
        <v>34</v>
      </c>
      <c r="OG13" s="32" t="s">
        <v>34</v>
      </c>
      <c r="OH13" s="32" t="s">
        <v>34</v>
      </c>
      <c r="OI13" s="32" t="s">
        <v>34</v>
      </c>
      <c r="OJ13" s="32" t="s">
        <v>34</v>
      </c>
      <c r="OK13" s="32" t="s">
        <v>34</v>
      </c>
      <c r="OL13" s="32" t="s">
        <v>34</v>
      </c>
      <c r="OM13" s="32" t="s">
        <v>34</v>
      </c>
      <c r="ON13" s="69"/>
      <c r="OO13" s="32" t="s">
        <v>34</v>
      </c>
      <c r="OP13" s="32" t="s">
        <v>34</v>
      </c>
      <c r="OQ13" s="32" t="s">
        <v>34</v>
      </c>
      <c r="OR13" s="32" t="s">
        <v>34</v>
      </c>
      <c r="OS13" s="32" t="s">
        <v>34</v>
      </c>
      <c r="OT13" s="32" t="s">
        <v>34</v>
      </c>
      <c r="OU13" s="32" t="s">
        <v>34</v>
      </c>
      <c r="OV13" s="32" t="s">
        <v>34</v>
      </c>
      <c r="OW13" s="32" t="s">
        <v>34</v>
      </c>
      <c r="OX13" s="32" t="s">
        <v>34</v>
      </c>
      <c r="OY13" s="32" t="s">
        <v>34</v>
      </c>
    </row>
    <row r="14" spans="1:415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9"/>
      <c r="K14" s="32" t="s">
        <v>34</v>
      </c>
      <c r="L14" s="32" t="s">
        <v>34</v>
      </c>
      <c r="M14" s="32" t="s">
        <v>34</v>
      </c>
      <c r="N14" s="32" t="s">
        <v>34</v>
      </c>
      <c r="O14" s="32" t="s">
        <v>34</v>
      </c>
      <c r="P14" s="32" t="s">
        <v>34</v>
      </c>
      <c r="Q14" s="32" t="s">
        <v>34</v>
      </c>
      <c r="R14" s="32" t="s">
        <v>34</v>
      </c>
      <c r="S14" s="32" t="s">
        <v>34</v>
      </c>
      <c r="T14" s="32" t="s">
        <v>34</v>
      </c>
      <c r="U14" s="32" t="s">
        <v>34</v>
      </c>
      <c r="V14" s="32" t="s">
        <v>34</v>
      </c>
      <c r="W14" s="32" t="s">
        <v>34</v>
      </c>
      <c r="X14" s="32" t="s">
        <v>34</v>
      </c>
      <c r="Y14" s="32" t="s">
        <v>34</v>
      </c>
      <c r="Z14" s="32" t="s">
        <v>34</v>
      </c>
      <c r="AA14" s="32" t="s">
        <v>34</v>
      </c>
      <c r="AB14" s="69"/>
      <c r="AC14" s="32" t="s">
        <v>34</v>
      </c>
      <c r="AD14" s="32" t="s">
        <v>34</v>
      </c>
      <c r="AE14" s="32" t="s">
        <v>34</v>
      </c>
      <c r="AF14" s="32" t="s">
        <v>34</v>
      </c>
      <c r="AG14" s="32" t="s">
        <v>34</v>
      </c>
      <c r="AH14" s="32" t="s">
        <v>34</v>
      </c>
      <c r="AI14" s="32" t="s">
        <v>34</v>
      </c>
      <c r="AJ14" s="32" t="s">
        <v>34</v>
      </c>
      <c r="AK14" s="32" t="s">
        <v>34</v>
      </c>
      <c r="AL14" s="32" t="s">
        <v>34</v>
      </c>
      <c r="AM14" s="32" t="s">
        <v>34</v>
      </c>
      <c r="AN14" s="32" t="s">
        <v>34</v>
      </c>
      <c r="AO14" s="32" t="s">
        <v>34</v>
      </c>
      <c r="AP14" s="32" t="s">
        <v>34</v>
      </c>
      <c r="AQ14" s="32" t="s">
        <v>34</v>
      </c>
      <c r="AR14" s="32" t="s">
        <v>34</v>
      </c>
      <c r="AS14" s="32" t="s">
        <v>34</v>
      </c>
      <c r="AT14" s="32" t="s">
        <v>34</v>
      </c>
      <c r="AU14" s="32" t="s">
        <v>34</v>
      </c>
      <c r="AV14" s="32" t="s">
        <v>34</v>
      </c>
      <c r="AW14" s="69"/>
      <c r="AX14" s="32" t="s">
        <v>34</v>
      </c>
      <c r="AY14" s="32" t="s">
        <v>34</v>
      </c>
      <c r="AZ14" s="32" t="s">
        <v>34</v>
      </c>
      <c r="BA14" s="32" t="s">
        <v>34</v>
      </c>
      <c r="BB14" s="32" t="s">
        <v>34</v>
      </c>
      <c r="BC14" s="69"/>
      <c r="BD14" s="32" t="s">
        <v>34</v>
      </c>
      <c r="BE14" s="32" t="s">
        <v>34</v>
      </c>
      <c r="BF14" s="32" t="s">
        <v>34</v>
      </c>
      <c r="BG14" s="32" t="s">
        <v>34</v>
      </c>
      <c r="BH14" s="32" t="s">
        <v>34</v>
      </c>
      <c r="BI14" s="32" t="s">
        <v>34</v>
      </c>
      <c r="BJ14" s="32" t="s">
        <v>34</v>
      </c>
      <c r="BK14" s="32" t="s">
        <v>34</v>
      </c>
      <c r="BL14" s="32" t="s">
        <v>34</v>
      </c>
      <c r="BM14" s="32" t="s">
        <v>34</v>
      </c>
      <c r="BN14" s="32" t="s">
        <v>34</v>
      </c>
      <c r="BO14" s="32" t="s">
        <v>34</v>
      </c>
      <c r="BP14" s="32" t="s">
        <v>34</v>
      </c>
      <c r="BQ14" s="32" t="s">
        <v>34</v>
      </c>
      <c r="BR14" s="32" t="s">
        <v>34</v>
      </c>
      <c r="BS14" s="32" t="s">
        <v>34</v>
      </c>
      <c r="BT14" s="32" t="s">
        <v>34</v>
      </c>
      <c r="BU14" s="32" t="s">
        <v>34</v>
      </c>
      <c r="BV14" s="8" t="s">
        <v>34</v>
      </c>
      <c r="BW14" s="32" t="s">
        <v>34</v>
      </c>
      <c r="BX14" s="32" t="s">
        <v>34</v>
      </c>
      <c r="BY14" s="32" t="s">
        <v>34</v>
      </c>
      <c r="BZ14" s="32" t="s">
        <v>34</v>
      </c>
      <c r="CA14" s="32" t="s">
        <v>34</v>
      </c>
      <c r="CB14" s="32" t="s">
        <v>34</v>
      </c>
      <c r="CC14" s="32" t="s">
        <v>34</v>
      </c>
      <c r="CD14" s="32" t="s">
        <v>34</v>
      </c>
      <c r="CE14" s="32" t="s">
        <v>34</v>
      </c>
      <c r="CF14" s="32" t="s">
        <v>34</v>
      </c>
      <c r="CG14" s="32" t="s">
        <v>34</v>
      </c>
      <c r="CH14" s="32" t="s">
        <v>34</v>
      </c>
      <c r="CI14" s="32" t="s">
        <v>34</v>
      </c>
      <c r="CJ14" s="32" t="s">
        <v>34</v>
      </c>
      <c r="CK14" s="32" t="s">
        <v>34</v>
      </c>
      <c r="CL14" s="32" t="s">
        <v>34</v>
      </c>
      <c r="CM14" s="32" t="s">
        <v>34</v>
      </c>
      <c r="CN14" s="32" t="s">
        <v>34</v>
      </c>
      <c r="CO14" s="32" t="s">
        <v>34</v>
      </c>
      <c r="CP14" s="32" t="s">
        <v>34</v>
      </c>
      <c r="CQ14" s="17" t="s">
        <v>34</v>
      </c>
      <c r="CR14" s="69"/>
      <c r="CS14" s="32" t="s">
        <v>34</v>
      </c>
      <c r="CT14" s="32" t="s">
        <v>34</v>
      </c>
      <c r="CU14" s="32" t="s">
        <v>34</v>
      </c>
      <c r="CV14" s="32" t="s">
        <v>34</v>
      </c>
      <c r="CW14" s="32" t="s">
        <v>34</v>
      </c>
      <c r="CX14" s="32" t="s">
        <v>34</v>
      </c>
      <c r="CY14" s="32" t="s">
        <v>34</v>
      </c>
      <c r="CZ14" s="32" t="s">
        <v>34</v>
      </c>
      <c r="DA14" s="32" t="s">
        <v>34</v>
      </c>
      <c r="DB14" s="32" t="s">
        <v>34</v>
      </c>
      <c r="DC14" s="32" t="s">
        <v>34</v>
      </c>
      <c r="DD14" s="32" t="s">
        <v>34</v>
      </c>
      <c r="DE14" s="32" t="s">
        <v>34</v>
      </c>
      <c r="DF14" s="32" t="s">
        <v>34</v>
      </c>
      <c r="DG14" s="32" t="s">
        <v>34</v>
      </c>
      <c r="DH14" s="32" t="s">
        <v>34</v>
      </c>
      <c r="DI14" s="32" t="s">
        <v>34</v>
      </c>
      <c r="DJ14" s="32" t="s">
        <v>34</v>
      </c>
      <c r="DK14" s="8" t="s">
        <v>34</v>
      </c>
      <c r="DL14" s="32" t="s">
        <v>34</v>
      </c>
      <c r="DM14" s="32" t="s">
        <v>34</v>
      </c>
      <c r="DN14" s="32" t="s">
        <v>34</v>
      </c>
      <c r="DO14" s="32" t="s">
        <v>34</v>
      </c>
      <c r="DP14" s="32" t="s">
        <v>34</v>
      </c>
      <c r="DQ14" s="32" t="s">
        <v>34</v>
      </c>
      <c r="DR14" s="32" t="s">
        <v>34</v>
      </c>
      <c r="DS14" s="32" t="s">
        <v>34</v>
      </c>
      <c r="DT14" s="32" t="s">
        <v>34</v>
      </c>
      <c r="DU14" s="32" t="s">
        <v>34</v>
      </c>
      <c r="DV14" s="32" t="s">
        <v>34</v>
      </c>
      <c r="DW14" s="32" t="s">
        <v>34</v>
      </c>
      <c r="DX14" s="32" t="s">
        <v>34</v>
      </c>
      <c r="DY14" s="32" t="s">
        <v>34</v>
      </c>
      <c r="DZ14" s="32" t="s">
        <v>34</v>
      </c>
      <c r="EA14" s="32" t="s">
        <v>34</v>
      </c>
      <c r="EB14" s="32" t="s">
        <v>34</v>
      </c>
      <c r="EC14" s="69"/>
      <c r="ED14" s="32" t="s">
        <v>34</v>
      </c>
      <c r="EE14" s="32" t="s">
        <v>34</v>
      </c>
      <c r="EF14" s="32" t="s">
        <v>34</v>
      </c>
      <c r="EG14" s="32" t="s">
        <v>34</v>
      </c>
      <c r="EH14" s="32" t="s">
        <v>34</v>
      </c>
      <c r="EI14" s="32" t="s">
        <v>34</v>
      </c>
      <c r="EJ14" s="32" t="s">
        <v>34</v>
      </c>
      <c r="EK14" s="32" t="s">
        <v>34</v>
      </c>
      <c r="EL14" s="32" t="s">
        <v>34</v>
      </c>
      <c r="EM14" s="32" t="s">
        <v>34</v>
      </c>
      <c r="EN14" s="32" t="s">
        <v>34</v>
      </c>
      <c r="EO14" s="69"/>
      <c r="EP14" s="32" t="s">
        <v>34</v>
      </c>
      <c r="EQ14" s="32" t="s">
        <v>34</v>
      </c>
      <c r="ER14" s="32" t="s">
        <v>34</v>
      </c>
      <c r="ES14" s="32" t="s">
        <v>34</v>
      </c>
      <c r="ET14" s="32" t="s">
        <v>34</v>
      </c>
      <c r="EU14" s="32" t="s">
        <v>34</v>
      </c>
      <c r="EV14" s="32" t="s">
        <v>34</v>
      </c>
      <c r="EW14" s="32" t="s">
        <v>34</v>
      </c>
      <c r="EX14" s="32" t="s">
        <v>34</v>
      </c>
      <c r="EY14" s="32" t="s">
        <v>34</v>
      </c>
      <c r="EZ14" s="32" t="s">
        <v>34</v>
      </c>
      <c r="FA14" s="32" t="s">
        <v>34</v>
      </c>
      <c r="FB14" s="32" t="s">
        <v>34</v>
      </c>
      <c r="FC14" s="32" t="s">
        <v>34</v>
      </c>
      <c r="FD14" s="32" t="s">
        <v>34</v>
      </c>
      <c r="FE14" s="32" t="s">
        <v>34</v>
      </c>
      <c r="FF14" s="32" t="s">
        <v>34</v>
      </c>
      <c r="FG14" s="69"/>
      <c r="FH14" s="32" t="s">
        <v>34</v>
      </c>
      <c r="FI14" s="32" t="s">
        <v>34</v>
      </c>
      <c r="FJ14" s="32" t="s">
        <v>34</v>
      </c>
      <c r="FK14" s="32" t="s">
        <v>34</v>
      </c>
      <c r="FL14" s="32" t="s">
        <v>34</v>
      </c>
      <c r="FM14" s="32" t="s">
        <v>34</v>
      </c>
      <c r="FN14" s="32" t="s">
        <v>34</v>
      </c>
      <c r="FO14" s="32" t="s">
        <v>34</v>
      </c>
      <c r="FP14" s="32" t="s">
        <v>34</v>
      </c>
      <c r="FQ14" s="32" t="s">
        <v>34</v>
      </c>
      <c r="FR14" s="32" t="s">
        <v>34</v>
      </c>
      <c r="FS14" s="32" t="s">
        <v>34</v>
      </c>
      <c r="FT14" s="32" t="s">
        <v>34</v>
      </c>
      <c r="FU14" s="32" t="s">
        <v>34</v>
      </c>
      <c r="FV14" s="32" t="s">
        <v>34</v>
      </c>
      <c r="FW14" s="32" t="s">
        <v>34</v>
      </c>
      <c r="FX14" s="32" t="s">
        <v>34</v>
      </c>
      <c r="FY14" s="32" t="s">
        <v>34</v>
      </c>
      <c r="FZ14" s="32" t="s">
        <v>34</v>
      </c>
      <c r="GA14" s="32" t="s">
        <v>34</v>
      </c>
      <c r="GB14" s="69"/>
      <c r="GC14" s="32" t="s">
        <v>34</v>
      </c>
      <c r="GD14" s="32" t="s">
        <v>34</v>
      </c>
      <c r="GE14" s="32" t="s">
        <v>34</v>
      </c>
      <c r="GF14" s="32" t="s">
        <v>34</v>
      </c>
      <c r="GG14" s="32" t="s">
        <v>34</v>
      </c>
      <c r="GH14" s="69"/>
      <c r="GI14" s="32" t="s">
        <v>34</v>
      </c>
      <c r="GJ14" s="32" t="s">
        <v>34</v>
      </c>
      <c r="GK14" s="32" t="s">
        <v>34</v>
      </c>
      <c r="GL14" s="32" t="s">
        <v>34</v>
      </c>
      <c r="GM14" s="32" t="s">
        <v>34</v>
      </c>
      <c r="GN14" s="32" t="s">
        <v>34</v>
      </c>
      <c r="GO14" s="32" t="s">
        <v>34</v>
      </c>
      <c r="GP14" s="32" t="s">
        <v>34</v>
      </c>
      <c r="GQ14" s="32" t="s">
        <v>34</v>
      </c>
      <c r="GR14" s="32" t="s">
        <v>34</v>
      </c>
      <c r="GS14" s="32" t="s">
        <v>34</v>
      </c>
      <c r="GT14" s="32" t="s">
        <v>34</v>
      </c>
      <c r="GU14" s="32" t="s">
        <v>34</v>
      </c>
      <c r="GV14" s="32" t="s">
        <v>34</v>
      </c>
      <c r="GW14" s="32" t="s">
        <v>34</v>
      </c>
      <c r="GX14" s="32" t="s">
        <v>34</v>
      </c>
      <c r="GY14" s="32" t="s">
        <v>34</v>
      </c>
      <c r="GZ14" s="32" t="s">
        <v>34</v>
      </c>
      <c r="HA14" s="8" t="s">
        <v>34</v>
      </c>
      <c r="HB14" s="32" t="s">
        <v>34</v>
      </c>
      <c r="HC14" s="32" t="s">
        <v>34</v>
      </c>
      <c r="HD14" s="32" t="s">
        <v>34</v>
      </c>
      <c r="HE14" s="32" t="s">
        <v>34</v>
      </c>
      <c r="HF14" s="32" t="s">
        <v>34</v>
      </c>
      <c r="HG14" s="32" t="s">
        <v>34</v>
      </c>
      <c r="HH14" s="32" t="s">
        <v>34</v>
      </c>
      <c r="HI14" s="32" t="s">
        <v>34</v>
      </c>
      <c r="HJ14" s="32" t="s">
        <v>34</v>
      </c>
      <c r="HK14" s="32" t="s">
        <v>34</v>
      </c>
      <c r="HL14" s="32" t="s">
        <v>34</v>
      </c>
      <c r="HM14" s="32" t="s">
        <v>34</v>
      </c>
      <c r="HN14" s="32" t="s">
        <v>34</v>
      </c>
      <c r="HO14" s="32" t="s">
        <v>34</v>
      </c>
      <c r="HP14" s="32" t="s">
        <v>34</v>
      </c>
      <c r="HQ14" s="32" t="s">
        <v>34</v>
      </c>
      <c r="HR14" s="32" t="s">
        <v>34</v>
      </c>
      <c r="HS14" s="32" t="s">
        <v>34</v>
      </c>
      <c r="HT14" s="32" t="s">
        <v>34</v>
      </c>
      <c r="HU14" s="32" t="s">
        <v>34</v>
      </c>
      <c r="HV14" s="32" t="s">
        <v>34</v>
      </c>
      <c r="HW14" s="17" t="s">
        <v>34</v>
      </c>
      <c r="HX14" s="69"/>
      <c r="HY14" s="32" t="s">
        <v>34</v>
      </c>
      <c r="HZ14" s="32" t="s">
        <v>34</v>
      </c>
      <c r="IA14" s="32" t="s">
        <v>34</v>
      </c>
      <c r="IB14" s="32" t="s">
        <v>34</v>
      </c>
      <c r="IC14" s="32" t="s">
        <v>34</v>
      </c>
      <c r="ID14" s="32" t="s">
        <v>34</v>
      </c>
      <c r="IE14" s="32" t="s">
        <v>34</v>
      </c>
      <c r="IF14" s="32" t="s">
        <v>34</v>
      </c>
      <c r="IG14" s="32" t="s">
        <v>34</v>
      </c>
      <c r="IH14" s="32" t="s">
        <v>34</v>
      </c>
      <c r="II14" s="32" t="s">
        <v>34</v>
      </c>
      <c r="IJ14" s="32" t="s">
        <v>34</v>
      </c>
      <c r="IK14" s="32" t="s">
        <v>34</v>
      </c>
      <c r="IL14" s="32" t="s">
        <v>34</v>
      </c>
      <c r="IM14" s="32" t="s">
        <v>34</v>
      </c>
      <c r="IN14" s="32" t="s">
        <v>34</v>
      </c>
      <c r="IO14" s="32" t="s">
        <v>34</v>
      </c>
      <c r="IP14" s="32" t="s">
        <v>34</v>
      </c>
      <c r="IQ14" s="8" t="s">
        <v>34</v>
      </c>
      <c r="IR14" s="32" t="s">
        <v>34</v>
      </c>
      <c r="IS14" s="32" t="s">
        <v>34</v>
      </c>
      <c r="IT14" s="32" t="s">
        <v>34</v>
      </c>
      <c r="IU14" s="32" t="s">
        <v>34</v>
      </c>
      <c r="IV14" s="32" t="s">
        <v>34</v>
      </c>
      <c r="IW14" s="32" t="s">
        <v>34</v>
      </c>
      <c r="IX14" s="32" t="s">
        <v>34</v>
      </c>
      <c r="IY14" s="32" t="s">
        <v>34</v>
      </c>
      <c r="IZ14" s="32" t="s">
        <v>34</v>
      </c>
      <c r="JA14" s="32" t="s">
        <v>34</v>
      </c>
      <c r="JB14" s="32" t="s">
        <v>34</v>
      </c>
      <c r="JC14" s="32" t="s">
        <v>34</v>
      </c>
      <c r="JD14" s="32" t="s">
        <v>34</v>
      </c>
      <c r="JE14" s="32" t="s">
        <v>34</v>
      </c>
      <c r="JF14" s="32" t="s">
        <v>34</v>
      </c>
      <c r="JG14" s="32" t="s">
        <v>34</v>
      </c>
      <c r="JH14" s="32" t="s">
        <v>34</v>
      </c>
      <c r="JI14" s="69"/>
      <c r="JJ14" s="32" t="s">
        <v>34</v>
      </c>
      <c r="JK14" s="32" t="s">
        <v>34</v>
      </c>
      <c r="JL14" s="32" t="s">
        <v>34</v>
      </c>
      <c r="JM14" s="32" t="s">
        <v>34</v>
      </c>
      <c r="JN14" s="32" t="s">
        <v>34</v>
      </c>
      <c r="JO14" s="32" t="s">
        <v>34</v>
      </c>
      <c r="JP14" s="32" t="s">
        <v>34</v>
      </c>
      <c r="JQ14" s="32" t="s">
        <v>34</v>
      </c>
      <c r="JR14" s="32" t="s">
        <v>34</v>
      </c>
      <c r="JS14" s="32" t="s">
        <v>34</v>
      </c>
      <c r="JT14" s="32" t="s">
        <v>34</v>
      </c>
      <c r="JU14" s="69"/>
      <c r="JV14" s="32" t="s">
        <v>34</v>
      </c>
      <c r="JW14" s="32" t="s">
        <v>34</v>
      </c>
      <c r="JX14" s="32" t="s">
        <v>34</v>
      </c>
      <c r="JY14" s="32" t="s">
        <v>34</v>
      </c>
      <c r="JZ14" s="32" t="s">
        <v>34</v>
      </c>
      <c r="KA14" s="32" t="s">
        <v>34</v>
      </c>
      <c r="KB14" s="32" t="s">
        <v>34</v>
      </c>
      <c r="KC14" s="32" t="s">
        <v>34</v>
      </c>
      <c r="KD14" s="32" t="s">
        <v>34</v>
      </c>
      <c r="KE14" s="32" t="s">
        <v>34</v>
      </c>
      <c r="KF14" s="32" t="s">
        <v>34</v>
      </c>
      <c r="KG14" s="32" t="s">
        <v>34</v>
      </c>
      <c r="KH14" s="32" t="s">
        <v>34</v>
      </c>
      <c r="KI14" s="32" t="s">
        <v>34</v>
      </c>
      <c r="KJ14" s="32" t="s">
        <v>34</v>
      </c>
      <c r="KK14" s="32" t="s">
        <v>34</v>
      </c>
      <c r="KL14" s="32" t="s">
        <v>34</v>
      </c>
      <c r="KM14" s="69"/>
      <c r="KN14" s="32" t="s">
        <v>34</v>
      </c>
      <c r="KO14" s="32" t="s">
        <v>34</v>
      </c>
      <c r="KP14" s="32" t="s">
        <v>34</v>
      </c>
      <c r="KQ14" s="32" t="s">
        <v>34</v>
      </c>
      <c r="KR14" s="32" t="s">
        <v>34</v>
      </c>
      <c r="KS14" s="32" t="s">
        <v>34</v>
      </c>
      <c r="KT14" s="32" t="s">
        <v>34</v>
      </c>
      <c r="KU14" s="32" t="s">
        <v>34</v>
      </c>
      <c r="KV14" s="32" t="s">
        <v>34</v>
      </c>
      <c r="KW14" s="32" t="s">
        <v>34</v>
      </c>
      <c r="KX14" s="32" t="s">
        <v>34</v>
      </c>
      <c r="KY14" s="32" t="s">
        <v>34</v>
      </c>
      <c r="KZ14" s="32" t="s">
        <v>34</v>
      </c>
      <c r="LA14" s="32" t="s">
        <v>34</v>
      </c>
      <c r="LB14" s="32" t="s">
        <v>34</v>
      </c>
      <c r="LC14" s="32" t="s">
        <v>34</v>
      </c>
      <c r="LD14" s="32" t="s">
        <v>34</v>
      </c>
      <c r="LE14" s="32" t="s">
        <v>34</v>
      </c>
      <c r="LF14" s="32" t="s">
        <v>34</v>
      </c>
      <c r="LG14" s="32" t="s">
        <v>34</v>
      </c>
      <c r="LH14" s="69"/>
      <c r="LI14" s="32" t="s">
        <v>34</v>
      </c>
      <c r="LJ14" s="32" t="s">
        <v>34</v>
      </c>
      <c r="LK14" s="32" t="s">
        <v>34</v>
      </c>
      <c r="LL14" s="32" t="s">
        <v>34</v>
      </c>
      <c r="LM14" s="32" t="s">
        <v>34</v>
      </c>
      <c r="LN14" s="69"/>
      <c r="LO14" s="32" t="s">
        <v>34</v>
      </c>
      <c r="LP14" s="32" t="s">
        <v>34</v>
      </c>
      <c r="LQ14" s="32" t="s">
        <v>34</v>
      </c>
      <c r="LR14" s="32" t="s">
        <v>34</v>
      </c>
      <c r="LS14" s="32" t="s">
        <v>34</v>
      </c>
      <c r="LT14" s="32" t="s">
        <v>34</v>
      </c>
      <c r="LU14" s="32" t="s">
        <v>34</v>
      </c>
      <c r="LV14" s="32" t="s">
        <v>34</v>
      </c>
      <c r="LW14" s="32" t="s">
        <v>34</v>
      </c>
      <c r="LX14" s="32" t="s">
        <v>34</v>
      </c>
      <c r="LY14" s="32" t="s">
        <v>34</v>
      </c>
      <c r="LZ14" s="32" t="s">
        <v>34</v>
      </c>
      <c r="MA14" s="32" t="s">
        <v>34</v>
      </c>
      <c r="MB14" s="32" t="s">
        <v>34</v>
      </c>
      <c r="MC14" s="32" t="s">
        <v>34</v>
      </c>
      <c r="MD14" s="32" t="s">
        <v>34</v>
      </c>
      <c r="ME14" s="32" t="s">
        <v>34</v>
      </c>
      <c r="MF14" s="32" t="s">
        <v>34</v>
      </c>
      <c r="MG14" s="8" t="s">
        <v>34</v>
      </c>
      <c r="MH14" s="32" t="s">
        <v>34</v>
      </c>
      <c r="MI14" s="32" t="s">
        <v>34</v>
      </c>
      <c r="MJ14" s="32" t="s">
        <v>34</v>
      </c>
      <c r="MK14" s="32" t="s">
        <v>34</v>
      </c>
      <c r="ML14" s="32" t="s">
        <v>34</v>
      </c>
      <c r="MM14" s="32" t="s">
        <v>34</v>
      </c>
      <c r="MN14" s="32" t="s">
        <v>34</v>
      </c>
      <c r="MO14" s="32" t="s">
        <v>34</v>
      </c>
      <c r="MP14" s="32" t="s">
        <v>34</v>
      </c>
      <c r="MQ14" s="32" t="s">
        <v>34</v>
      </c>
      <c r="MR14" s="32" t="s">
        <v>34</v>
      </c>
      <c r="MS14" s="32" t="s">
        <v>34</v>
      </c>
      <c r="MT14" s="32" t="s">
        <v>34</v>
      </c>
      <c r="MU14" s="32" t="s">
        <v>34</v>
      </c>
      <c r="MV14" s="32" t="s">
        <v>34</v>
      </c>
      <c r="MW14" s="32" t="s">
        <v>34</v>
      </c>
      <c r="MX14" s="32" t="s">
        <v>34</v>
      </c>
      <c r="MY14" s="32" t="s">
        <v>34</v>
      </c>
      <c r="MZ14" s="32" t="s">
        <v>34</v>
      </c>
      <c r="NA14" s="32" t="s">
        <v>34</v>
      </c>
      <c r="NB14" s="17" t="s">
        <v>34</v>
      </c>
      <c r="NC14" s="69"/>
      <c r="ND14" s="32" t="s">
        <v>34</v>
      </c>
      <c r="NE14" s="32" t="s">
        <v>34</v>
      </c>
      <c r="NF14" s="32" t="s">
        <v>34</v>
      </c>
      <c r="NG14" s="32" t="s">
        <v>34</v>
      </c>
      <c r="NH14" s="32" t="s">
        <v>34</v>
      </c>
      <c r="NI14" s="32" t="s">
        <v>34</v>
      </c>
      <c r="NJ14" s="32" t="s">
        <v>34</v>
      </c>
      <c r="NK14" s="32" t="s">
        <v>34</v>
      </c>
      <c r="NL14" s="32" t="s">
        <v>34</v>
      </c>
      <c r="NM14" s="32" t="s">
        <v>34</v>
      </c>
      <c r="NN14" s="32" t="s">
        <v>34</v>
      </c>
      <c r="NO14" s="32" t="s">
        <v>34</v>
      </c>
      <c r="NP14" s="32" t="s">
        <v>34</v>
      </c>
      <c r="NQ14" s="32" t="s">
        <v>34</v>
      </c>
      <c r="NR14" s="32" t="s">
        <v>34</v>
      </c>
      <c r="NS14" s="32" t="s">
        <v>34</v>
      </c>
      <c r="NT14" s="32" t="s">
        <v>34</v>
      </c>
      <c r="NU14" s="32" t="s">
        <v>34</v>
      </c>
      <c r="NV14" s="8" t="s">
        <v>34</v>
      </c>
      <c r="NW14" s="32" t="s">
        <v>34</v>
      </c>
      <c r="NX14" s="32" t="s">
        <v>34</v>
      </c>
      <c r="NY14" s="32" t="s">
        <v>34</v>
      </c>
      <c r="NZ14" s="32" t="s">
        <v>34</v>
      </c>
      <c r="OA14" s="32" t="s">
        <v>34</v>
      </c>
      <c r="OB14" s="32" t="s">
        <v>34</v>
      </c>
      <c r="OC14" s="32" t="s">
        <v>34</v>
      </c>
      <c r="OD14" s="32" t="s">
        <v>34</v>
      </c>
      <c r="OE14" s="32" t="s">
        <v>34</v>
      </c>
      <c r="OF14" s="32" t="s">
        <v>34</v>
      </c>
      <c r="OG14" s="32" t="s">
        <v>34</v>
      </c>
      <c r="OH14" s="32" t="s">
        <v>34</v>
      </c>
      <c r="OI14" s="32" t="s">
        <v>34</v>
      </c>
      <c r="OJ14" s="32" t="s">
        <v>34</v>
      </c>
      <c r="OK14" s="32" t="s">
        <v>34</v>
      </c>
      <c r="OL14" s="32" t="s">
        <v>34</v>
      </c>
      <c r="OM14" s="32" t="s">
        <v>34</v>
      </c>
      <c r="ON14" s="69"/>
      <c r="OO14" s="32" t="s">
        <v>34</v>
      </c>
      <c r="OP14" s="32" t="s">
        <v>34</v>
      </c>
      <c r="OQ14" s="32" t="s">
        <v>34</v>
      </c>
      <c r="OR14" s="32" t="s">
        <v>34</v>
      </c>
      <c r="OS14" s="32" t="s">
        <v>34</v>
      </c>
      <c r="OT14" s="32" t="s">
        <v>34</v>
      </c>
      <c r="OU14" s="32" t="s">
        <v>34</v>
      </c>
      <c r="OV14" s="32" t="s">
        <v>34</v>
      </c>
      <c r="OW14" s="32" t="s">
        <v>34</v>
      </c>
      <c r="OX14" s="32" t="s">
        <v>34</v>
      </c>
      <c r="OY14" s="32" t="s">
        <v>34</v>
      </c>
    </row>
    <row r="15" spans="1:415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9"/>
      <c r="K15" s="32" t="s">
        <v>34</v>
      </c>
      <c r="L15" s="32" t="s">
        <v>34</v>
      </c>
      <c r="M15" s="32" t="s">
        <v>34</v>
      </c>
      <c r="N15" s="32" t="s">
        <v>34</v>
      </c>
      <c r="O15" s="32" t="s">
        <v>34</v>
      </c>
      <c r="P15" s="32" t="s">
        <v>34</v>
      </c>
      <c r="Q15" s="32" t="s">
        <v>34</v>
      </c>
      <c r="R15" s="32" t="s">
        <v>34</v>
      </c>
      <c r="S15" s="32" t="s">
        <v>34</v>
      </c>
      <c r="T15" s="32" t="s">
        <v>34</v>
      </c>
      <c r="U15" s="32" t="s">
        <v>34</v>
      </c>
      <c r="V15" s="32" t="s">
        <v>34</v>
      </c>
      <c r="W15" s="32" t="s">
        <v>34</v>
      </c>
      <c r="X15" s="32" t="s">
        <v>34</v>
      </c>
      <c r="Y15" s="32" t="s">
        <v>34</v>
      </c>
      <c r="Z15" s="32" t="s">
        <v>34</v>
      </c>
      <c r="AA15" s="32" t="s">
        <v>34</v>
      </c>
      <c r="AB15" s="69"/>
      <c r="AC15" s="32" t="s">
        <v>34</v>
      </c>
      <c r="AD15" s="32" t="s">
        <v>34</v>
      </c>
      <c r="AE15" s="32" t="s">
        <v>34</v>
      </c>
      <c r="AF15" s="32" t="s">
        <v>34</v>
      </c>
      <c r="AG15" s="32" t="s">
        <v>34</v>
      </c>
      <c r="AH15" s="32" t="s">
        <v>34</v>
      </c>
      <c r="AI15" s="32" t="s">
        <v>34</v>
      </c>
      <c r="AJ15" s="32" t="s">
        <v>34</v>
      </c>
      <c r="AK15" s="32" t="s">
        <v>34</v>
      </c>
      <c r="AL15" s="32" t="s">
        <v>34</v>
      </c>
      <c r="AM15" s="32" t="s">
        <v>34</v>
      </c>
      <c r="AN15" s="32" t="s">
        <v>34</v>
      </c>
      <c r="AO15" s="32" t="s">
        <v>34</v>
      </c>
      <c r="AP15" s="32" t="s">
        <v>34</v>
      </c>
      <c r="AQ15" s="32" t="s">
        <v>34</v>
      </c>
      <c r="AR15" s="32" t="s">
        <v>34</v>
      </c>
      <c r="AS15" s="32" t="s">
        <v>34</v>
      </c>
      <c r="AT15" s="32" t="s">
        <v>34</v>
      </c>
      <c r="AU15" s="32" t="s">
        <v>34</v>
      </c>
      <c r="AV15" s="32" t="s">
        <v>34</v>
      </c>
      <c r="AW15" s="69"/>
      <c r="AX15" s="32" t="s">
        <v>34</v>
      </c>
      <c r="AY15" s="32" t="s">
        <v>34</v>
      </c>
      <c r="AZ15" s="32" t="s">
        <v>34</v>
      </c>
      <c r="BA15" s="32" t="s">
        <v>34</v>
      </c>
      <c r="BB15" s="32" t="s">
        <v>34</v>
      </c>
      <c r="BC15" s="69"/>
      <c r="BD15" s="32" t="s">
        <v>34</v>
      </c>
      <c r="BE15" s="32" t="s">
        <v>34</v>
      </c>
      <c r="BF15" s="32" t="s">
        <v>34</v>
      </c>
      <c r="BG15" s="32" t="s">
        <v>34</v>
      </c>
      <c r="BH15" s="32" t="s">
        <v>34</v>
      </c>
      <c r="BI15" s="32" t="s">
        <v>34</v>
      </c>
      <c r="BJ15" s="32" t="s">
        <v>34</v>
      </c>
      <c r="BK15" s="32" t="s">
        <v>34</v>
      </c>
      <c r="BL15" s="32" t="s">
        <v>34</v>
      </c>
      <c r="BM15" s="32" t="s">
        <v>34</v>
      </c>
      <c r="BN15" s="32" t="s">
        <v>34</v>
      </c>
      <c r="BO15" s="32" t="s">
        <v>34</v>
      </c>
      <c r="BP15" s="32" t="s">
        <v>34</v>
      </c>
      <c r="BQ15" s="32" t="s">
        <v>34</v>
      </c>
      <c r="BR15" s="32" t="s">
        <v>34</v>
      </c>
      <c r="BS15" s="32" t="s">
        <v>34</v>
      </c>
      <c r="BT15" s="32" t="s">
        <v>34</v>
      </c>
      <c r="BU15" s="32" t="s">
        <v>34</v>
      </c>
      <c r="BV15" s="8" t="s">
        <v>34</v>
      </c>
      <c r="BW15" s="32" t="s">
        <v>34</v>
      </c>
      <c r="BX15" s="32" t="s">
        <v>34</v>
      </c>
      <c r="BY15" s="32" t="s">
        <v>34</v>
      </c>
      <c r="BZ15" s="32" t="s">
        <v>34</v>
      </c>
      <c r="CA15" s="32" t="s">
        <v>34</v>
      </c>
      <c r="CB15" s="32" t="s">
        <v>34</v>
      </c>
      <c r="CC15" s="32" t="s">
        <v>34</v>
      </c>
      <c r="CD15" s="32" t="s">
        <v>34</v>
      </c>
      <c r="CE15" s="32" t="s">
        <v>34</v>
      </c>
      <c r="CF15" s="32" t="s">
        <v>34</v>
      </c>
      <c r="CG15" s="32" t="s">
        <v>34</v>
      </c>
      <c r="CH15" s="32" t="s">
        <v>34</v>
      </c>
      <c r="CI15" s="32" t="s">
        <v>34</v>
      </c>
      <c r="CJ15" s="32" t="s">
        <v>34</v>
      </c>
      <c r="CK15" s="32" t="s">
        <v>34</v>
      </c>
      <c r="CL15" s="32" t="s">
        <v>34</v>
      </c>
      <c r="CM15" s="32" t="s">
        <v>34</v>
      </c>
      <c r="CN15" s="32" t="s">
        <v>34</v>
      </c>
      <c r="CO15" s="32" t="s">
        <v>34</v>
      </c>
      <c r="CP15" s="32" t="s">
        <v>34</v>
      </c>
      <c r="CQ15" s="17" t="s">
        <v>34</v>
      </c>
      <c r="CR15" s="69"/>
      <c r="CS15" s="32" t="s">
        <v>34</v>
      </c>
      <c r="CT15" s="32" t="s">
        <v>34</v>
      </c>
      <c r="CU15" s="32" t="s">
        <v>34</v>
      </c>
      <c r="CV15" s="32" t="s">
        <v>34</v>
      </c>
      <c r="CW15" s="32" t="s">
        <v>34</v>
      </c>
      <c r="CX15" s="32" t="s">
        <v>34</v>
      </c>
      <c r="CY15" s="32" t="s">
        <v>34</v>
      </c>
      <c r="CZ15" s="32" t="s">
        <v>34</v>
      </c>
      <c r="DA15" s="32" t="s">
        <v>34</v>
      </c>
      <c r="DB15" s="32" t="s">
        <v>34</v>
      </c>
      <c r="DC15" s="32" t="s">
        <v>34</v>
      </c>
      <c r="DD15" s="32" t="s">
        <v>34</v>
      </c>
      <c r="DE15" s="32" t="s">
        <v>34</v>
      </c>
      <c r="DF15" s="32" t="s">
        <v>34</v>
      </c>
      <c r="DG15" s="32" t="s">
        <v>34</v>
      </c>
      <c r="DH15" s="32" t="s">
        <v>34</v>
      </c>
      <c r="DI15" s="32" t="s">
        <v>34</v>
      </c>
      <c r="DJ15" s="32" t="s">
        <v>34</v>
      </c>
      <c r="DK15" s="8" t="s">
        <v>34</v>
      </c>
      <c r="DL15" s="32" t="s">
        <v>34</v>
      </c>
      <c r="DM15" s="32" t="s">
        <v>34</v>
      </c>
      <c r="DN15" s="32" t="s">
        <v>34</v>
      </c>
      <c r="DO15" s="32" t="s">
        <v>34</v>
      </c>
      <c r="DP15" s="32" t="s">
        <v>34</v>
      </c>
      <c r="DQ15" s="32" t="s">
        <v>34</v>
      </c>
      <c r="DR15" s="32" t="s">
        <v>34</v>
      </c>
      <c r="DS15" s="32" t="s">
        <v>34</v>
      </c>
      <c r="DT15" s="32" t="s">
        <v>34</v>
      </c>
      <c r="DU15" s="32" t="s">
        <v>34</v>
      </c>
      <c r="DV15" s="32" t="s">
        <v>34</v>
      </c>
      <c r="DW15" s="32" t="s">
        <v>34</v>
      </c>
      <c r="DX15" s="32" t="s">
        <v>34</v>
      </c>
      <c r="DY15" s="32" t="s">
        <v>34</v>
      </c>
      <c r="DZ15" s="32" t="s">
        <v>34</v>
      </c>
      <c r="EA15" s="32" t="s">
        <v>34</v>
      </c>
      <c r="EB15" s="32" t="s">
        <v>34</v>
      </c>
      <c r="EC15" s="69"/>
      <c r="ED15" s="32" t="s">
        <v>34</v>
      </c>
      <c r="EE15" s="32" t="s">
        <v>34</v>
      </c>
      <c r="EF15" s="32" t="s">
        <v>34</v>
      </c>
      <c r="EG15" s="32" t="s">
        <v>34</v>
      </c>
      <c r="EH15" s="32" t="s">
        <v>34</v>
      </c>
      <c r="EI15" s="32" t="s">
        <v>34</v>
      </c>
      <c r="EJ15" s="32" t="s">
        <v>34</v>
      </c>
      <c r="EK15" s="32" t="s">
        <v>34</v>
      </c>
      <c r="EL15" s="32" t="s">
        <v>34</v>
      </c>
      <c r="EM15" s="32" t="s">
        <v>34</v>
      </c>
      <c r="EN15" s="32" t="s">
        <v>34</v>
      </c>
      <c r="EO15" s="69"/>
      <c r="EP15" s="32" t="s">
        <v>34</v>
      </c>
      <c r="EQ15" s="32" t="s">
        <v>34</v>
      </c>
      <c r="ER15" s="32" t="s">
        <v>34</v>
      </c>
      <c r="ES15" s="32" t="s">
        <v>34</v>
      </c>
      <c r="ET15" s="32" t="s">
        <v>34</v>
      </c>
      <c r="EU15" s="32" t="s">
        <v>34</v>
      </c>
      <c r="EV15" s="32" t="s">
        <v>34</v>
      </c>
      <c r="EW15" s="32" t="s">
        <v>34</v>
      </c>
      <c r="EX15" s="32" t="s">
        <v>34</v>
      </c>
      <c r="EY15" s="32" t="s">
        <v>34</v>
      </c>
      <c r="EZ15" s="32" t="s">
        <v>34</v>
      </c>
      <c r="FA15" s="32" t="s">
        <v>34</v>
      </c>
      <c r="FB15" s="32" t="s">
        <v>34</v>
      </c>
      <c r="FC15" s="32" t="s">
        <v>34</v>
      </c>
      <c r="FD15" s="32" t="s">
        <v>34</v>
      </c>
      <c r="FE15" s="32" t="s">
        <v>34</v>
      </c>
      <c r="FF15" s="32" t="s">
        <v>34</v>
      </c>
      <c r="FG15" s="69"/>
      <c r="FH15" s="32" t="s">
        <v>34</v>
      </c>
      <c r="FI15" s="32" t="s">
        <v>34</v>
      </c>
      <c r="FJ15" s="32" t="s">
        <v>34</v>
      </c>
      <c r="FK15" s="32" t="s">
        <v>34</v>
      </c>
      <c r="FL15" s="32" t="s">
        <v>34</v>
      </c>
      <c r="FM15" s="32" t="s">
        <v>34</v>
      </c>
      <c r="FN15" s="32" t="s">
        <v>34</v>
      </c>
      <c r="FO15" s="32" t="s">
        <v>34</v>
      </c>
      <c r="FP15" s="32" t="s">
        <v>34</v>
      </c>
      <c r="FQ15" s="32" t="s">
        <v>34</v>
      </c>
      <c r="FR15" s="32" t="s">
        <v>34</v>
      </c>
      <c r="FS15" s="32" t="s">
        <v>34</v>
      </c>
      <c r="FT15" s="32" t="s">
        <v>34</v>
      </c>
      <c r="FU15" s="32" t="s">
        <v>34</v>
      </c>
      <c r="FV15" s="32" t="s">
        <v>34</v>
      </c>
      <c r="FW15" s="32" t="s">
        <v>34</v>
      </c>
      <c r="FX15" s="32" t="s">
        <v>34</v>
      </c>
      <c r="FY15" s="32" t="s">
        <v>34</v>
      </c>
      <c r="FZ15" s="32" t="s">
        <v>34</v>
      </c>
      <c r="GA15" s="32" t="s">
        <v>34</v>
      </c>
      <c r="GB15" s="69"/>
      <c r="GC15" s="32" t="s">
        <v>34</v>
      </c>
      <c r="GD15" s="32" t="s">
        <v>34</v>
      </c>
      <c r="GE15" s="32" t="s">
        <v>34</v>
      </c>
      <c r="GF15" s="32" t="s">
        <v>34</v>
      </c>
      <c r="GG15" s="32" t="s">
        <v>34</v>
      </c>
      <c r="GH15" s="69"/>
      <c r="GI15" s="32" t="s">
        <v>34</v>
      </c>
      <c r="GJ15" s="32" t="s">
        <v>34</v>
      </c>
      <c r="GK15" s="32" t="s">
        <v>34</v>
      </c>
      <c r="GL15" s="32" t="s">
        <v>34</v>
      </c>
      <c r="GM15" s="32" t="s">
        <v>34</v>
      </c>
      <c r="GN15" s="32" t="s">
        <v>34</v>
      </c>
      <c r="GO15" s="32" t="s">
        <v>34</v>
      </c>
      <c r="GP15" s="32" t="s">
        <v>34</v>
      </c>
      <c r="GQ15" s="32" t="s">
        <v>34</v>
      </c>
      <c r="GR15" s="32" t="s">
        <v>34</v>
      </c>
      <c r="GS15" s="32" t="s">
        <v>34</v>
      </c>
      <c r="GT15" s="32" t="s">
        <v>34</v>
      </c>
      <c r="GU15" s="32" t="s">
        <v>34</v>
      </c>
      <c r="GV15" s="32" t="s">
        <v>34</v>
      </c>
      <c r="GW15" s="32" t="s">
        <v>34</v>
      </c>
      <c r="GX15" s="32" t="s">
        <v>34</v>
      </c>
      <c r="GY15" s="32" t="s">
        <v>34</v>
      </c>
      <c r="GZ15" s="32" t="s">
        <v>34</v>
      </c>
      <c r="HA15" s="8" t="s">
        <v>34</v>
      </c>
      <c r="HB15" s="32" t="s">
        <v>34</v>
      </c>
      <c r="HC15" s="32" t="s">
        <v>34</v>
      </c>
      <c r="HD15" s="32" t="s">
        <v>34</v>
      </c>
      <c r="HE15" s="32" t="s">
        <v>34</v>
      </c>
      <c r="HF15" s="32" t="s">
        <v>34</v>
      </c>
      <c r="HG15" s="32" t="s">
        <v>34</v>
      </c>
      <c r="HH15" s="32" t="s">
        <v>34</v>
      </c>
      <c r="HI15" s="32" t="s">
        <v>34</v>
      </c>
      <c r="HJ15" s="32" t="s">
        <v>34</v>
      </c>
      <c r="HK15" s="32" t="s">
        <v>34</v>
      </c>
      <c r="HL15" s="32" t="s">
        <v>34</v>
      </c>
      <c r="HM15" s="32" t="s">
        <v>34</v>
      </c>
      <c r="HN15" s="32" t="s">
        <v>34</v>
      </c>
      <c r="HO15" s="32" t="s">
        <v>34</v>
      </c>
      <c r="HP15" s="32" t="s">
        <v>34</v>
      </c>
      <c r="HQ15" s="32" t="s">
        <v>34</v>
      </c>
      <c r="HR15" s="32" t="s">
        <v>34</v>
      </c>
      <c r="HS15" s="32" t="s">
        <v>34</v>
      </c>
      <c r="HT15" s="32" t="s">
        <v>34</v>
      </c>
      <c r="HU15" s="32" t="s">
        <v>34</v>
      </c>
      <c r="HV15" s="32" t="s">
        <v>34</v>
      </c>
      <c r="HW15" s="17" t="s">
        <v>34</v>
      </c>
      <c r="HX15" s="69"/>
      <c r="HY15" s="32" t="s">
        <v>34</v>
      </c>
      <c r="HZ15" s="32" t="s">
        <v>34</v>
      </c>
      <c r="IA15" s="32" t="s">
        <v>34</v>
      </c>
      <c r="IB15" s="32" t="s">
        <v>34</v>
      </c>
      <c r="IC15" s="32" t="s">
        <v>34</v>
      </c>
      <c r="ID15" s="32" t="s">
        <v>34</v>
      </c>
      <c r="IE15" s="32" t="s">
        <v>34</v>
      </c>
      <c r="IF15" s="32" t="s">
        <v>34</v>
      </c>
      <c r="IG15" s="32" t="s">
        <v>34</v>
      </c>
      <c r="IH15" s="32" t="s">
        <v>34</v>
      </c>
      <c r="II15" s="32" t="s">
        <v>34</v>
      </c>
      <c r="IJ15" s="32" t="s">
        <v>34</v>
      </c>
      <c r="IK15" s="32" t="s">
        <v>34</v>
      </c>
      <c r="IL15" s="32" t="s">
        <v>34</v>
      </c>
      <c r="IM15" s="32" t="s">
        <v>34</v>
      </c>
      <c r="IN15" s="32" t="s">
        <v>34</v>
      </c>
      <c r="IO15" s="32" t="s">
        <v>34</v>
      </c>
      <c r="IP15" s="32" t="s">
        <v>34</v>
      </c>
      <c r="IQ15" s="8" t="s">
        <v>34</v>
      </c>
      <c r="IR15" s="32" t="s">
        <v>34</v>
      </c>
      <c r="IS15" s="32" t="s">
        <v>34</v>
      </c>
      <c r="IT15" s="32" t="s">
        <v>34</v>
      </c>
      <c r="IU15" s="32" t="s">
        <v>34</v>
      </c>
      <c r="IV15" s="32" t="s">
        <v>34</v>
      </c>
      <c r="IW15" s="32" t="s">
        <v>34</v>
      </c>
      <c r="IX15" s="32" t="s">
        <v>34</v>
      </c>
      <c r="IY15" s="32" t="s">
        <v>34</v>
      </c>
      <c r="IZ15" s="32" t="s">
        <v>34</v>
      </c>
      <c r="JA15" s="32" t="s">
        <v>34</v>
      </c>
      <c r="JB15" s="32" t="s">
        <v>34</v>
      </c>
      <c r="JC15" s="32" t="s">
        <v>34</v>
      </c>
      <c r="JD15" s="32" t="s">
        <v>34</v>
      </c>
      <c r="JE15" s="32" t="s">
        <v>34</v>
      </c>
      <c r="JF15" s="32" t="s">
        <v>34</v>
      </c>
      <c r="JG15" s="32" t="s">
        <v>34</v>
      </c>
      <c r="JH15" s="32" t="s">
        <v>34</v>
      </c>
      <c r="JI15" s="69"/>
      <c r="JJ15" s="32" t="s">
        <v>34</v>
      </c>
      <c r="JK15" s="32" t="s">
        <v>34</v>
      </c>
      <c r="JL15" s="32" t="s">
        <v>34</v>
      </c>
      <c r="JM15" s="32" t="s">
        <v>34</v>
      </c>
      <c r="JN15" s="32" t="s">
        <v>34</v>
      </c>
      <c r="JO15" s="32" t="s">
        <v>34</v>
      </c>
      <c r="JP15" s="32" t="s">
        <v>34</v>
      </c>
      <c r="JQ15" s="32" t="s">
        <v>34</v>
      </c>
      <c r="JR15" s="32" t="s">
        <v>34</v>
      </c>
      <c r="JS15" s="32" t="s">
        <v>34</v>
      </c>
      <c r="JT15" s="32" t="s">
        <v>34</v>
      </c>
      <c r="JU15" s="69"/>
      <c r="JV15" s="32" t="s">
        <v>34</v>
      </c>
      <c r="JW15" s="32" t="s">
        <v>34</v>
      </c>
      <c r="JX15" s="32" t="s">
        <v>34</v>
      </c>
      <c r="JY15" s="32" t="s">
        <v>34</v>
      </c>
      <c r="JZ15" s="32" t="s">
        <v>34</v>
      </c>
      <c r="KA15" s="32" t="s">
        <v>34</v>
      </c>
      <c r="KB15" s="32" t="s">
        <v>34</v>
      </c>
      <c r="KC15" s="32" t="s">
        <v>34</v>
      </c>
      <c r="KD15" s="32" t="s">
        <v>34</v>
      </c>
      <c r="KE15" s="32" t="s">
        <v>34</v>
      </c>
      <c r="KF15" s="32" t="s">
        <v>34</v>
      </c>
      <c r="KG15" s="32" t="s">
        <v>34</v>
      </c>
      <c r="KH15" s="32" t="s">
        <v>34</v>
      </c>
      <c r="KI15" s="32" t="s">
        <v>34</v>
      </c>
      <c r="KJ15" s="32" t="s">
        <v>34</v>
      </c>
      <c r="KK15" s="32" t="s">
        <v>34</v>
      </c>
      <c r="KL15" s="32" t="s">
        <v>34</v>
      </c>
      <c r="KM15" s="69"/>
      <c r="KN15" s="32" t="s">
        <v>34</v>
      </c>
      <c r="KO15" s="32" t="s">
        <v>34</v>
      </c>
      <c r="KP15" s="32" t="s">
        <v>34</v>
      </c>
      <c r="KQ15" s="32" t="s">
        <v>34</v>
      </c>
      <c r="KR15" s="32" t="s">
        <v>34</v>
      </c>
      <c r="KS15" s="32" t="s">
        <v>34</v>
      </c>
      <c r="KT15" s="32" t="s">
        <v>34</v>
      </c>
      <c r="KU15" s="32" t="s">
        <v>34</v>
      </c>
      <c r="KV15" s="32" t="s">
        <v>34</v>
      </c>
      <c r="KW15" s="32" t="s">
        <v>34</v>
      </c>
      <c r="KX15" s="32" t="s">
        <v>34</v>
      </c>
      <c r="KY15" s="32" t="s">
        <v>34</v>
      </c>
      <c r="KZ15" s="32" t="s">
        <v>34</v>
      </c>
      <c r="LA15" s="32" t="s">
        <v>34</v>
      </c>
      <c r="LB15" s="32" t="s">
        <v>34</v>
      </c>
      <c r="LC15" s="32" t="s">
        <v>34</v>
      </c>
      <c r="LD15" s="32" t="s">
        <v>34</v>
      </c>
      <c r="LE15" s="32" t="s">
        <v>34</v>
      </c>
      <c r="LF15" s="32" t="s">
        <v>34</v>
      </c>
      <c r="LG15" s="32" t="s">
        <v>34</v>
      </c>
      <c r="LH15" s="69"/>
      <c r="LI15" s="32" t="s">
        <v>34</v>
      </c>
      <c r="LJ15" s="32" t="s">
        <v>34</v>
      </c>
      <c r="LK15" s="32" t="s">
        <v>34</v>
      </c>
      <c r="LL15" s="32" t="s">
        <v>34</v>
      </c>
      <c r="LM15" s="32" t="s">
        <v>34</v>
      </c>
      <c r="LN15" s="69"/>
      <c r="LO15" s="32" t="s">
        <v>34</v>
      </c>
      <c r="LP15" s="32" t="s">
        <v>34</v>
      </c>
      <c r="LQ15" s="32" t="s">
        <v>34</v>
      </c>
      <c r="LR15" s="32" t="s">
        <v>34</v>
      </c>
      <c r="LS15" s="32" t="s">
        <v>34</v>
      </c>
      <c r="LT15" s="32" t="s">
        <v>34</v>
      </c>
      <c r="LU15" s="32" t="s">
        <v>34</v>
      </c>
      <c r="LV15" s="32" t="s">
        <v>34</v>
      </c>
      <c r="LW15" s="32" t="s">
        <v>34</v>
      </c>
      <c r="LX15" s="32" t="s">
        <v>34</v>
      </c>
      <c r="LY15" s="32" t="s">
        <v>34</v>
      </c>
      <c r="LZ15" s="32" t="s">
        <v>34</v>
      </c>
      <c r="MA15" s="32" t="s">
        <v>34</v>
      </c>
      <c r="MB15" s="32" t="s">
        <v>34</v>
      </c>
      <c r="MC15" s="32" t="s">
        <v>34</v>
      </c>
      <c r="MD15" s="32" t="s">
        <v>34</v>
      </c>
      <c r="ME15" s="32" t="s">
        <v>34</v>
      </c>
      <c r="MF15" s="32" t="s">
        <v>34</v>
      </c>
      <c r="MG15" s="8" t="s">
        <v>34</v>
      </c>
      <c r="MH15" s="32" t="s">
        <v>34</v>
      </c>
      <c r="MI15" s="32" t="s">
        <v>34</v>
      </c>
      <c r="MJ15" s="32" t="s">
        <v>34</v>
      </c>
      <c r="MK15" s="32" t="s">
        <v>34</v>
      </c>
      <c r="ML15" s="32" t="s">
        <v>34</v>
      </c>
      <c r="MM15" s="32" t="s">
        <v>34</v>
      </c>
      <c r="MN15" s="32" t="s">
        <v>34</v>
      </c>
      <c r="MO15" s="32" t="s">
        <v>34</v>
      </c>
      <c r="MP15" s="32" t="s">
        <v>34</v>
      </c>
      <c r="MQ15" s="32" t="s">
        <v>34</v>
      </c>
      <c r="MR15" s="32" t="s">
        <v>34</v>
      </c>
      <c r="MS15" s="32" t="s">
        <v>34</v>
      </c>
      <c r="MT15" s="32" t="s">
        <v>34</v>
      </c>
      <c r="MU15" s="32" t="s">
        <v>34</v>
      </c>
      <c r="MV15" s="32" t="s">
        <v>34</v>
      </c>
      <c r="MW15" s="32" t="s">
        <v>34</v>
      </c>
      <c r="MX15" s="32" t="s">
        <v>34</v>
      </c>
      <c r="MY15" s="32" t="s">
        <v>34</v>
      </c>
      <c r="MZ15" s="32" t="s">
        <v>34</v>
      </c>
      <c r="NA15" s="32" t="s">
        <v>34</v>
      </c>
      <c r="NB15" s="17" t="s">
        <v>34</v>
      </c>
      <c r="NC15" s="69"/>
      <c r="ND15" s="32" t="s">
        <v>34</v>
      </c>
      <c r="NE15" s="32" t="s">
        <v>34</v>
      </c>
      <c r="NF15" s="32" t="s">
        <v>34</v>
      </c>
      <c r="NG15" s="32" t="s">
        <v>34</v>
      </c>
      <c r="NH15" s="32" t="s">
        <v>34</v>
      </c>
      <c r="NI15" s="32" t="s">
        <v>34</v>
      </c>
      <c r="NJ15" s="32" t="s">
        <v>34</v>
      </c>
      <c r="NK15" s="32" t="s">
        <v>34</v>
      </c>
      <c r="NL15" s="32" t="s">
        <v>34</v>
      </c>
      <c r="NM15" s="32" t="s">
        <v>34</v>
      </c>
      <c r="NN15" s="32" t="s">
        <v>34</v>
      </c>
      <c r="NO15" s="32" t="s">
        <v>34</v>
      </c>
      <c r="NP15" s="32" t="s">
        <v>34</v>
      </c>
      <c r="NQ15" s="32" t="s">
        <v>34</v>
      </c>
      <c r="NR15" s="32" t="s">
        <v>34</v>
      </c>
      <c r="NS15" s="32" t="s">
        <v>34</v>
      </c>
      <c r="NT15" s="32" t="s">
        <v>34</v>
      </c>
      <c r="NU15" s="32" t="s">
        <v>34</v>
      </c>
      <c r="NV15" s="8" t="s">
        <v>34</v>
      </c>
      <c r="NW15" s="32" t="s">
        <v>34</v>
      </c>
      <c r="NX15" s="32" t="s">
        <v>34</v>
      </c>
      <c r="NY15" s="32" t="s">
        <v>34</v>
      </c>
      <c r="NZ15" s="32" t="s">
        <v>34</v>
      </c>
      <c r="OA15" s="32" t="s">
        <v>34</v>
      </c>
      <c r="OB15" s="32" t="s">
        <v>34</v>
      </c>
      <c r="OC15" s="32" t="s">
        <v>34</v>
      </c>
      <c r="OD15" s="32" t="s">
        <v>34</v>
      </c>
      <c r="OE15" s="32" t="s">
        <v>34</v>
      </c>
      <c r="OF15" s="32" t="s">
        <v>34</v>
      </c>
      <c r="OG15" s="32" t="s">
        <v>34</v>
      </c>
      <c r="OH15" s="32" t="s">
        <v>34</v>
      </c>
      <c r="OI15" s="32" t="s">
        <v>34</v>
      </c>
      <c r="OJ15" s="32" t="s">
        <v>34</v>
      </c>
      <c r="OK15" s="32" t="s">
        <v>34</v>
      </c>
      <c r="OL15" s="32" t="s">
        <v>34</v>
      </c>
      <c r="OM15" s="32" t="s">
        <v>34</v>
      </c>
      <c r="ON15" s="69"/>
      <c r="OO15" s="32" t="s">
        <v>34</v>
      </c>
      <c r="OP15" s="32" t="s">
        <v>34</v>
      </c>
      <c r="OQ15" s="32" t="s">
        <v>34</v>
      </c>
      <c r="OR15" s="32" t="s">
        <v>34</v>
      </c>
      <c r="OS15" s="32" t="s">
        <v>34</v>
      </c>
      <c r="OT15" s="32" t="s">
        <v>34</v>
      </c>
      <c r="OU15" s="32" t="s">
        <v>34</v>
      </c>
      <c r="OV15" s="32" t="s">
        <v>34</v>
      </c>
      <c r="OW15" s="32" t="s">
        <v>34</v>
      </c>
      <c r="OX15" s="32" t="s">
        <v>34</v>
      </c>
      <c r="OY15" s="32" t="s">
        <v>34</v>
      </c>
    </row>
    <row r="16" spans="1:415" ht="15.75" x14ac:dyDescent="0.25">
      <c r="A16" s="10">
        <v>15</v>
      </c>
      <c r="B16" s="3" t="s">
        <v>62</v>
      </c>
      <c r="C16" s="3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9"/>
      <c r="K16" s="32">
        <v>1228.6726720000004</v>
      </c>
      <c r="L16" s="32">
        <v>16.166745684210532</v>
      </c>
      <c r="M16" s="32">
        <v>0.38800000000000001</v>
      </c>
      <c r="N16" s="32">
        <v>457.89460212076278</v>
      </c>
      <c r="O16" s="32">
        <v>6.0249289752731947</v>
      </c>
      <c r="P16" s="32">
        <v>259.54920693432206</v>
      </c>
      <c r="Q16" s="32">
        <v>3.4151211438726587</v>
      </c>
      <c r="R16" s="32">
        <v>358.72190452754239</v>
      </c>
      <c r="S16" s="32">
        <v>4.7200250595729258</v>
      </c>
      <c r="T16" s="32">
        <v>0.47099999999999997</v>
      </c>
      <c r="U16" s="32">
        <v>9.0999999999999998E-2</v>
      </c>
      <c r="V16" s="32">
        <v>36.952937051475999</v>
      </c>
      <c r="W16" s="32">
        <v>63.047062948524001</v>
      </c>
      <c r="X16" s="32">
        <v>91.855198692483967</v>
      </c>
      <c r="Y16" s="32">
        <v>69.53239051307736</v>
      </c>
      <c r="Z16" s="32">
        <v>0.42414058624522105</v>
      </c>
      <c r="AA16" s="32">
        <v>2.8968523924509104</v>
      </c>
      <c r="AB16" s="69"/>
      <c r="AC16" s="32">
        <v>1228.6726720000004</v>
      </c>
      <c r="AD16" s="32">
        <v>16.166745684210532</v>
      </c>
      <c r="AE16" s="32">
        <v>8.0000000000000002E-3</v>
      </c>
      <c r="AF16" s="32">
        <v>1228.6726720000004</v>
      </c>
      <c r="AG16" s="32">
        <v>16.166745684210532</v>
      </c>
      <c r="AH16" s="32">
        <v>8.0000000000000002E-3</v>
      </c>
      <c r="AI16" s="32">
        <v>899.44603002777774</v>
      </c>
      <c r="AJ16" s="32">
        <v>11.834816184576022</v>
      </c>
      <c r="AK16" s="32">
        <v>602.76947118055557</v>
      </c>
      <c r="AL16" s="32">
        <v>7.9311772523757309</v>
      </c>
      <c r="AM16" s="32">
        <v>751.10775060416665</v>
      </c>
      <c r="AN16" s="32">
        <v>9.8829967184758765</v>
      </c>
      <c r="AO16" s="32">
        <v>7.0999999999999994E-2</v>
      </c>
      <c r="AP16" s="32">
        <v>7.0000000000000007E-2</v>
      </c>
      <c r="AQ16" s="32">
        <v>40.849135860589833</v>
      </c>
      <c r="AR16" s="32">
        <v>59.150864139410174</v>
      </c>
      <c r="AS16" s="32">
        <v>46.648161401889723</v>
      </c>
      <c r="AT16" s="32">
        <v>62.918918142081935</v>
      </c>
      <c r="AU16" s="32">
        <v>3.6886759447149073E-2</v>
      </c>
      <c r="AV16" s="32">
        <v>8.5</v>
      </c>
      <c r="AW16" s="69"/>
      <c r="AX16" s="32">
        <v>65.061255435650125</v>
      </c>
      <c r="AY16" s="32">
        <v>0</v>
      </c>
      <c r="AZ16" s="32">
        <v>-191.91919191919192</v>
      </c>
      <c r="BA16" s="32">
        <v>-147.60147601476015</v>
      </c>
      <c r="BB16" s="32">
        <v>10.015668383328119</v>
      </c>
      <c r="BC16" s="69"/>
      <c r="BD16" s="32">
        <v>2066.9155749999995</v>
      </c>
      <c r="BE16" s="32">
        <v>27.196257565789466</v>
      </c>
      <c r="BF16" s="32">
        <v>1.0999999999999999E-2</v>
      </c>
      <c r="BG16" s="32">
        <v>2066.9155749999995</v>
      </c>
      <c r="BH16" s="32">
        <v>27.196257565789466</v>
      </c>
      <c r="BI16" s="32">
        <v>1.0999999999999999E-2</v>
      </c>
      <c r="BJ16" s="32">
        <v>1227.3110189256759</v>
      </c>
      <c r="BK16" s="32">
        <v>16.148829196390473</v>
      </c>
      <c r="BL16" s="32">
        <v>164.38457192567566</v>
      </c>
      <c r="BM16" s="32">
        <v>2.1629548937588901</v>
      </c>
      <c r="BN16" s="32">
        <v>695.84779542567571</v>
      </c>
      <c r="BO16" s="32">
        <v>9.1558920450746797</v>
      </c>
      <c r="BP16" s="32">
        <v>309.20549333333338</v>
      </c>
      <c r="BQ16" s="32">
        <v>4.0684933333333335</v>
      </c>
      <c r="BR16" s="32">
        <v>1190.8711042972973</v>
      </c>
      <c r="BS16" s="32">
        <v>15.669356635490754</v>
      </c>
      <c r="BT16" s="32">
        <v>9.5000000000000001E-2</v>
      </c>
      <c r="BU16" s="32">
        <v>-270.07819229729733</v>
      </c>
      <c r="BV16" s="8">
        <v>-3.5536604249644386</v>
      </c>
      <c r="BW16" s="32">
        <v>1336.6307628108104</v>
      </c>
      <c r="BX16" s="32" t="s">
        <v>34</v>
      </c>
      <c r="BY16" s="32">
        <v>5.1999999999999998E-2</v>
      </c>
      <c r="BZ16" s="32">
        <v>48655.57026249999</v>
      </c>
      <c r="CA16" s="32">
        <v>131308.64027850001</v>
      </c>
      <c r="CB16" s="32">
        <v>0.14699999999999999</v>
      </c>
      <c r="CC16" s="32" t="s">
        <v>34</v>
      </c>
      <c r="CD16" s="32">
        <v>64.625850340136054</v>
      </c>
      <c r="CE16" s="32">
        <v>16.85177068796806</v>
      </c>
      <c r="CF16" s="32">
        <v>10.25692258663344</v>
      </c>
      <c r="CG16" s="32">
        <v>19.293153678167275</v>
      </c>
      <c r="CH16" s="32">
        <v>76.57917019447882</v>
      </c>
      <c r="CI16" s="32">
        <v>16.85177068796806</v>
      </c>
      <c r="CJ16" s="32">
        <v>32.947842933562491</v>
      </c>
      <c r="CK16" s="32">
        <v>19.293153678167275</v>
      </c>
      <c r="CL16" s="32">
        <v>25.976454065969026</v>
      </c>
      <c r="CM16" s="32" t="s">
        <v>34</v>
      </c>
      <c r="CN16" s="32" t="s">
        <v>34</v>
      </c>
      <c r="CO16" s="32" t="s">
        <v>34</v>
      </c>
      <c r="CP16" s="32" t="s">
        <v>34</v>
      </c>
      <c r="CQ16" s="17" t="s">
        <v>34</v>
      </c>
      <c r="CR16" s="69"/>
      <c r="CS16" s="32" t="s">
        <v>34</v>
      </c>
      <c r="CT16" s="32" t="s">
        <v>34</v>
      </c>
      <c r="CU16" s="32" t="s">
        <v>34</v>
      </c>
      <c r="CV16" s="32" t="s">
        <v>34</v>
      </c>
      <c r="CW16" s="32" t="s">
        <v>34</v>
      </c>
      <c r="CX16" s="32" t="s">
        <v>34</v>
      </c>
      <c r="CY16" s="32" t="s">
        <v>34</v>
      </c>
      <c r="CZ16" s="32" t="s">
        <v>34</v>
      </c>
      <c r="DA16" s="32" t="s">
        <v>34</v>
      </c>
      <c r="DB16" s="32" t="s">
        <v>34</v>
      </c>
      <c r="DC16" s="32" t="s">
        <v>34</v>
      </c>
      <c r="DD16" s="32" t="s">
        <v>34</v>
      </c>
      <c r="DE16" s="32" t="s">
        <v>34</v>
      </c>
      <c r="DF16" s="32" t="s">
        <v>34</v>
      </c>
      <c r="DG16" s="32" t="s">
        <v>34</v>
      </c>
      <c r="DH16" s="32" t="s">
        <v>34</v>
      </c>
      <c r="DI16" s="32" t="s">
        <v>34</v>
      </c>
      <c r="DJ16" s="32" t="s">
        <v>34</v>
      </c>
      <c r="DK16" s="8" t="s">
        <v>34</v>
      </c>
      <c r="DL16" s="32" t="s">
        <v>34</v>
      </c>
      <c r="DM16" s="32" t="s">
        <v>34</v>
      </c>
      <c r="DN16" s="32" t="s">
        <v>34</v>
      </c>
      <c r="DO16" s="32" t="s">
        <v>34</v>
      </c>
      <c r="DP16" s="32" t="s">
        <v>34</v>
      </c>
      <c r="DQ16" s="32" t="s">
        <v>34</v>
      </c>
      <c r="DR16" s="32" t="s">
        <v>34</v>
      </c>
      <c r="DS16" s="32" t="s">
        <v>34</v>
      </c>
      <c r="DT16" s="32" t="s">
        <v>34</v>
      </c>
      <c r="DU16" s="32" t="s">
        <v>34</v>
      </c>
      <c r="DV16" s="32" t="s">
        <v>34</v>
      </c>
      <c r="DW16" s="32" t="s">
        <v>34</v>
      </c>
      <c r="DX16" s="32" t="s">
        <v>34</v>
      </c>
      <c r="DY16" s="32" t="s">
        <v>34</v>
      </c>
      <c r="DZ16" s="32" t="s">
        <v>34</v>
      </c>
      <c r="EA16" s="32" t="s">
        <v>34</v>
      </c>
      <c r="EB16" s="32" t="s">
        <v>34</v>
      </c>
      <c r="EC16" s="69"/>
      <c r="ED16" s="32" t="s">
        <v>34</v>
      </c>
      <c r="EE16" s="32" t="s">
        <v>34</v>
      </c>
      <c r="EF16" s="32" t="s">
        <v>34</v>
      </c>
      <c r="EG16" s="32" t="s">
        <v>34</v>
      </c>
      <c r="EH16" s="32" t="s">
        <v>34</v>
      </c>
      <c r="EI16" s="32" t="s">
        <v>34</v>
      </c>
      <c r="EJ16" s="32" t="s">
        <v>34</v>
      </c>
      <c r="EK16" s="32" t="s">
        <v>34</v>
      </c>
      <c r="EL16" s="32" t="s">
        <v>34</v>
      </c>
      <c r="EM16" s="32" t="s">
        <v>34</v>
      </c>
      <c r="EN16" s="32" t="s">
        <v>34</v>
      </c>
      <c r="EO16" s="69"/>
      <c r="EP16" s="32">
        <v>1228.6726720000004</v>
      </c>
      <c r="EQ16" s="32">
        <v>16.166745684210532</v>
      </c>
      <c r="ER16" s="32">
        <v>0.38800000000000001</v>
      </c>
      <c r="ES16" s="32">
        <v>457.89460212076278</v>
      </c>
      <c r="ET16" s="32">
        <v>6.0249289752731947</v>
      </c>
      <c r="EU16" s="32">
        <v>259.54920693432206</v>
      </c>
      <c r="EV16" s="32">
        <v>3.4151211438726587</v>
      </c>
      <c r="EW16" s="32">
        <v>358.72190452754239</v>
      </c>
      <c r="EX16" s="32">
        <v>4.7200250595729258</v>
      </c>
      <c r="EY16" s="32">
        <v>0.47099999999999997</v>
      </c>
      <c r="EZ16" s="32">
        <v>0.05</v>
      </c>
      <c r="FA16" s="32">
        <v>36.952937051475999</v>
      </c>
      <c r="FB16" s="32">
        <v>63.047062948524001</v>
      </c>
      <c r="FC16" s="32">
        <v>91.855198692483967</v>
      </c>
      <c r="FD16" s="32">
        <v>69.53239051307736</v>
      </c>
      <c r="FE16" s="32">
        <v>0.42414058624522105</v>
      </c>
      <c r="FF16" s="32">
        <v>2.8968523924509104</v>
      </c>
      <c r="FG16" s="69"/>
      <c r="FH16" s="32">
        <v>1228.6726720000004</v>
      </c>
      <c r="FI16" s="32">
        <v>16.166745684210532</v>
      </c>
      <c r="FJ16" s="32">
        <v>8.0000000000000002E-3</v>
      </c>
      <c r="FK16" s="32">
        <v>1228.6726720000004</v>
      </c>
      <c r="FL16" s="32">
        <v>16.166745684210532</v>
      </c>
      <c r="FM16" s="32">
        <v>8.0000000000000002E-3</v>
      </c>
      <c r="FN16" s="32">
        <v>899.44603002777774</v>
      </c>
      <c r="FO16" s="32">
        <v>11.834816184576022</v>
      </c>
      <c r="FP16" s="32">
        <v>602.76947118055557</v>
      </c>
      <c r="FQ16" s="32">
        <v>7.9311772523757309</v>
      </c>
      <c r="FR16" s="32">
        <v>751.10775060416665</v>
      </c>
      <c r="FS16" s="32">
        <v>9.8829967184758765</v>
      </c>
      <c r="FT16" s="32">
        <v>7.0999999999999994E-2</v>
      </c>
      <c r="FU16" s="32">
        <v>-9.0999999999999998E-2</v>
      </c>
      <c r="FV16" s="32">
        <v>40.849135860589833</v>
      </c>
      <c r="FW16" s="32">
        <v>59.150864139410174</v>
      </c>
      <c r="FX16" s="32">
        <v>46.648161401889723</v>
      </c>
      <c r="FY16" s="32">
        <v>62.918918142081935</v>
      </c>
      <c r="FZ16" s="32">
        <v>3.6886759447149073E-2</v>
      </c>
      <c r="GA16" s="32">
        <v>33.309314518680573</v>
      </c>
      <c r="GB16" s="69"/>
      <c r="GC16" s="32">
        <v>65.061255435650125</v>
      </c>
      <c r="GD16" s="32">
        <v>0</v>
      </c>
      <c r="GE16" s="32">
        <v>-191.91919191919192</v>
      </c>
      <c r="GF16" s="32">
        <v>-147.60147601476015</v>
      </c>
      <c r="GG16" s="32">
        <v>10.015668383328119</v>
      </c>
      <c r="GH16" s="69"/>
      <c r="GI16" s="32">
        <v>2066.9155749999995</v>
      </c>
      <c r="GJ16" s="32">
        <v>27.196257565789466</v>
      </c>
      <c r="GK16" s="32">
        <v>1.0999999999999999E-2</v>
      </c>
      <c r="GL16" s="32">
        <v>2066.9155749999995</v>
      </c>
      <c r="GM16" s="32">
        <v>27.196257565789466</v>
      </c>
      <c r="GN16" s="32">
        <v>1.0999999999999999E-2</v>
      </c>
      <c r="GO16" s="32">
        <v>1227.3110189256759</v>
      </c>
      <c r="GP16" s="32">
        <v>16.148829196390473</v>
      </c>
      <c r="GQ16" s="32">
        <v>164.38457192567566</v>
      </c>
      <c r="GR16" s="32">
        <v>2.1629548937588901</v>
      </c>
      <c r="GS16" s="32">
        <v>695.84779542567571</v>
      </c>
      <c r="GT16" s="32">
        <v>9.1558920450746797</v>
      </c>
      <c r="GU16" s="32">
        <v>309.20549333333338</v>
      </c>
      <c r="GV16" s="32">
        <v>4.0684933333333335</v>
      </c>
      <c r="GW16" s="32">
        <v>1190.8711042972973</v>
      </c>
      <c r="GX16" s="32">
        <v>15.669356635490754</v>
      </c>
      <c r="GY16" s="32">
        <v>9.5000000000000001E-2</v>
      </c>
      <c r="GZ16" s="32">
        <v>-270.07819229729733</v>
      </c>
      <c r="HA16" s="8">
        <v>-3.5536604249644386</v>
      </c>
      <c r="HB16" s="32">
        <v>1336.6307628108104</v>
      </c>
      <c r="HC16" s="32">
        <v>2.0755632293741102</v>
      </c>
      <c r="HD16" s="32">
        <v>5.1999999999999998E-2</v>
      </c>
      <c r="HE16" s="32">
        <v>48655.57026249999</v>
      </c>
      <c r="HF16" s="32">
        <v>131308.64027850001</v>
      </c>
      <c r="HG16" s="32">
        <v>0.14699999999999999</v>
      </c>
      <c r="HH16" s="32" t="s">
        <v>34</v>
      </c>
      <c r="HI16" s="32">
        <v>64.625850340136054</v>
      </c>
      <c r="HJ16" s="32">
        <v>16.85177068796806</v>
      </c>
      <c r="HK16" s="32">
        <v>10.25692258663344</v>
      </c>
      <c r="HL16" s="32">
        <v>19.293153678167275</v>
      </c>
      <c r="HM16" s="32">
        <v>76.57917019447882</v>
      </c>
      <c r="HN16" s="32">
        <v>16.85177068796806</v>
      </c>
      <c r="HO16" s="32">
        <v>32.947842933562491</v>
      </c>
      <c r="HP16" s="32">
        <v>19.293153678167275</v>
      </c>
      <c r="HQ16" s="32">
        <v>24.248693905385952</v>
      </c>
      <c r="HR16" s="32">
        <v>64.625850340136054</v>
      </c>
      <c r="HS16" s="32" t="s">
        <v>34</v>
      </c>
      <c r="HT16" s="32" t="s">
        <v>34</v>
      </c>
      <c r="HU16" s="32" t="s">
        <v>34</v>
      </c>
      <c r="HV16" s="32" t="s">
        <v>34</v>
      </c>
      <c r="HW16" s="17" t="s">
        <v>34</v>
      </c>
      <c r="HX16" s="69"/>
      <c r="HY16" s="32" t="s">
        <v>34</v>
      </c>
      <c r="HZ16" s="32" t="s">
        <v>34</v>
      </c>
      <c r="IA16" s="32" t="s">
        <v>34</v>
      </c>
      <c r="IB16" s="32" t="s">
        <v>34</v>
      </c>
      <c r="IC16" s="32" t="s">
        <v>34</v>
      </c>
      <c r="ID16" s="32" t="s">
        <v>34</v>
      </c>
      <c r="IE16" s="32" t="s">
        <v>34</v>
      </c>
      <c r="IF16" s="32" t="s">
        <v>34</v>
      </c>
      <c r="IG16" s="32" t="s">
        <v>34</v>
      </c>
      <c r="IH16" s="32" t="s">
        <v>34</v>
      </c>
      <c r="II16" s="32" t="s">
        <v>34</v>
      </c>
      <c r="IJ16" s="32" t="s">
        <v>34</v>
      </c>
      <c r="IK16" s="32" t="s">
        <v>34</v>
      </c>
      <c r="IL16" s="32" t="s">
        <v>34</v>
      </c>
      <c r="IM16" s="32" t="s">
        <v>34</v>
      </c>
      <c r="IN16" s="32" t="s">
        <v>34</v>
      </c>
      <c r="IO16" s="32" t="s">
        <v>34</v>
      </c>
      <c r="IP16" s="32" t="s">
        <v>34</v>
      </c>
      <c r="IQ16" s="8" t="s">
        <v>34</v>
      </c>
      <c r="IR16" s="32" t="s">
        <v>34</v>
      </c>
      <c r="IS16" s="32" t="s">
        <v>34</v>
      </c>
      <c r="IT16" s="32" t="s">
        <v>34</v>
      </c>
      <c r="IU16" s="32" t="s">
        <v>34</v>
      </c>
      <c r="IV16" s="32" t="s">
        <v>34</v>
      </c>
      <c r="IW16" s="32" t="s">
        <v>34</v>
      </c>
      <c r="IX16" s="32" t="s">
        <v>34</v>
      </c>
      <c r="IY16" s="32" t="s">
        <v>34</v>
      </c>
      <c r="IZ16" s="32" t="s">
        <v>34</v>
      </c>
      <c r="JA16" s="32" t="s">
        <v>34</v>
      </c>
      <c r="JB16" s="32" t="s">
        <v>34</v>
      </c>
      <c r="JC16" s="32" t="s">
        <v>34</v>
      </c>
      <c r="JD16" s="32" t="s">
        <v>34</v>
      </c>
      <c r="JE16" s="32" t="s">
        <v>34</v>
      </c>
      <c r="JF16" s="32" t="s">
        <v>34</v>
      </c>
      <c r="JG16" s="32" t="s">
        <v>34</v>
      </c>
      <c r="JH16" s="32" t="s">
        <v>34</v>
      </c>
      <c r="JI16" s="69"/>
      <c r="JJ16" s="32" t="s">
        <v>34</v>
      </c>
      <c r="JK16" s="32" t="s">
        <v>34</v>
      </c>
      <c r="JL16" s="32" t="s">
        <v>34</v>
      </c>
      <c r="JM16" s="32" t="s">
        <v>34</v>
      </c>
      <c r="JN16" s="32" t="s">
        <v>34</v>
      </c>
      <c r="JO16" s="32" t="s">
        <v>34</v>
      </c>
      <c r="JP16" s="32" t="s">
        <v>34</v>
      </c>
      <c r="JQ16" s="32" t="s">
        <v>34</v>
      </c>
      <c r="JR16" s="32" t="s">
        <v>34</v>
      </c>
      <c r="JS16" s="32" t="s">
        <v>34</v>
      </c>
      <c r="JT16" s="32" t="s">
        <v>34</v>
      </c>
      <c r="JU16" s="69"/>
      <c r="JV16" s="32">
        <v>1253.9739970000001</v>
      </c>
      <c r="JW16" s="32">
        <v>16.499657855263159</v>
      </c>
      <c r="JX16" s="32">
        <v>0.218</v>
      </c>
      <c r="JY16" s="32">
        <v>726.6890142228915</v>
      </c>
      <c r="JZ16" s="32">
        <v>9.5616975555643613</v>
      </c>
      <c r="KA16" s="32">
        <v>327.59047874096387</v>
      </c>
      <c r="KB16" s="32">
        <v>4.310401036065314</v>
      </c>
      <c r="KC16" s="32">
        <v>527.13974648192766</v>
      </c>
      <c r="KD16" s="32">
        <v>6.9360492958148372</v>
      </c>
      <c r="KE16" s="32">
        <v>0.33100000000000002</v>
      </c>
      <c r="KF16" s="32">
        <v>4.9000000000000002E-2</v>
      </c>
      <c r="KG16" s="32">
        <v>33.523570986661944</v>
      </c>
      <c r="KH16" s="32">
        <v>66.476429013338063</v>
      </c>
      <c r="KI16" s="32">
        <v>69.905207821001909</v>
      </c>
      <c r="KJ16" s="32">
        <v>76.962637273698448</v>
      </c>
      <c r="KK16" s="32">
        <v>0.49164574149743168</v>
      </c>
      <c r="KL16" s="32">
        <v>2.5505641382770947</v>
      </c>
      <c r="KM16" s="69"/>
      <c r="KN16" s="32">
        <v>459.49891299999996</v>
      </c>
      <c r="KO16" s="32">
        <v>6.0460383289473683</v>
      </c>
      <c r="KP16" s="32">
        <v>1.4E-2</v>
      </c>
      <c r="KQ16" s="32">
        <v>1417.3413260000002</v>
      </c>
      <c r="KR16" s="32">
        <v>18.649227973684212</v>
      </c>
      <c r="KS16" s="32">
        <v>0.114</v>
      </c>
      <c r="KT16" s="32">
        <v>912.94039349523814</v>
      </c>
      <c r="KU16" s="32">
        <v>12.012373598621554</v>
      </c>
      <c r="KV16" s="32">
        <v>333.78498279523802</v>
      </c>
      <c r="KW16" s="32">
        <v>4.3919076683583951</v>
      </c>
      <c r="KX16" s="32">
        <v>623.36268814523805</v>
      </c>
      <c r="KY16" s="32">
        <v>8.2021406334899751</v>
      </c>
      <c r="KZ16" s="32">
        <v>0.20899999999999999</v>
      </c>
      <c r="LA16" s="32">
        <v>4.9000000000000002E-2</v>
      </c>
      <c r="LB16" s="32">
        <v>28.652677682954376</v>
      </c>
      <c r="LC16" s="32">
        <v>71.347322317045624</v>
      </c>
      <c r="LD16" s="32">
        <v>49.532941164406786</v>
      </c>
      <c r="LE16" s="32">
        <v>99.43661065419424</v>
      </c>
      <c r="LF16" s="32">
        <v>0.27857258319702644</v>
      </c>
      <c r="LG16" s="32">
        <v>5.0878708512300195</v>
      </c>
      <c r="LH16" s="69"/>
      <c r="LI16" s="32">
        <v>22.718716607010904</v>
      </c>
      <c r="LJ16" s="32">
        <v>12.231227634821614</v>
      </c>
      <c r="LK16" s="32">
        <v>-62.650602409638545</v>
      </c>
      <c r="LL16" s="32">
        <v>-45.18518518518519</v>
      </c>
      <c r="LM16" s="32">
        <v>-15.66801924506529</v>
      </c>
      <c r="LN16" s="69"/>
      <c r="LO16" s="32">
        <v>1622.691227</v>
      </c>
      <c r="LP16" s="32">
        <v>21.35120035526316</v>
      </c>
      <c r="LQ16" s="32">
        <v>1.0999999999999999E-2</v>
      </c>
      <c r="LR16" s="32">
        <v>1724.3291499999998</v>
      </c>
      <c r="LS16" s="32">
        <v>22.688541447368419</v>
      </c>
      <c r="LT16" s="32">
        <v>6.7000000000000004E-2</v>
      </c>
      <c r="LU16" s="32">
        <v>1103.482468505814</v>
      </c>
      <c r="LV16" s="32">
        <v>14.519506164550185</v>
      </c>
      <c r="LW16" s="32">
        <v>112.51514347093021</v>
      </c>
      <c r="LX16" s="32">
        <v>1.4804624140911871</v>
      </c>
      <c r="LY16" s="32">
        <v>607.99880598837217</v>
      </c>
      <c r="LZ16" s="32">
        <v>7.9999842893206861</v>
      </c>
      <c r="MA16" s="32">
        <v>220.424761359375</v>
      </c>
      <c r="MB16" s="32">
        <v>2.9003258073601974</v>
      </c>
      <c r="MC16" s="32">
        <v>1039.0409078124999</v>
      </c>
      <c r="MD16" s="32">
        <v>13.671590892269736</v>
      </c>
      <c r="ME16" s="32">
        <v>0.11600000000000001</v>
      </c>
      <c r="MF16" s="32">
        <v>-201.40374493181818</v>
      </c>
      <c r="MG16" s="8">
        <v>-2.6500492754186604</v>
      </c>
      <c r="MH16" s="32">
        <v>1290.9488268863636</v>
      </c>
      <c r="MI16" s="32">
        <v>-1.3937673857655504</v>
      </c>
      <c r="MJ16" s="32">
        <v>5.5E-2</v>
      </c>
      <c r="MK16" s="32">
        <v>56019.283753000003</v>
      </c>
      <c r="ML16" s="32">
        <v>132493.63584900001</v>
      </c>
      <c r="MM16" s="32">
        <v>0.17100000000000001</v>
      </c>
      <c r="MN16" s="32">
        <v>9.7000000000000003E-2</v>
      </c>
      <c r="MO16" s="32">
        <v>67.836257309941516</v>
      </c>
      <c r="MP16" s="32">
        <v>15.725900754988942</v>
      </c>
      <c r="MQ16" s="32">
        <v>8.7853479599209621</v>
      </c>
      <c r="MR16" s="32">
        <v>17.211089705671242</v>
      </c>
      <c r="MS16" s="32">
        <v>86.161534833760371</v>
      </c>
      <c r="MT16" s="32">
        <v>15.725900754988942</v>
      </c>
      <c r="MU16" s="32">
        <v>32.68055964202842</v>
      </c>
      <c r="MV16" s="32">
        <v>17.211089705671242</v>
      </c>
      <c r="MW16" s="32">
        <v>23.791145613357109</v>
      </c>
      <c r="MX16" s="32" t="s">
        <v>34</v>
      </c>
      <c r="MY16" s="32" t="s">
        <v>34</v>
      </c>
      <c r="MZ16" s="32" t="s">
        <v>34</v>
      </c>
      <c r="NA16" s="32" t="s">
        <v>34</v>
      </c>
      <c r="NB16" s="17" t="s">
        <v>34</v>
      </c>
      <c r="NC16" s="69"/>
      <c r="ND16" s="32">
        <v>2818.8491940000004</v>
      </c>
      <c r="NE16" s="32">
        <v>37.090120973684215</v>
      </c>
      <c r="NF16" s="32">
        <v>1.4E-2</v>
      </c>
      <c r="NG16" s="32">
        <v>2818.8491940000004</v>
      </c>
      <c r="NH16" s="32">
        <v>37.090120973684215</v>
      </c>
      <c r="NI16" s="32">
        <v>1.4E-2</v>
      </c>
      <c r="NJ16" s="32">
        <v>1133.1702012841529</v>
      </c>
      <c r="NK16" s="32">
        <v>14.910134227423065</v>
      </c>
      <c r="NL16" s="32">
        <v>86.597477907103823</v>
      </c>
      <c r="NM16" s="32">
        <v>1.1394404987776818</v>
      </c>
      <c r="NN16" s="32">
        <v>609.88383959562839</v>
      </c>
      <c r="NO16" s="32">
        <v>8.0247873631003728</v>
      </c>
      <c r="NP16" s="32">
        <v>230.82907470833331</v>
      </c>
      <c r="NQ16" s="32">
        <v>3.0372246672149119</v>
      </c>
      <c r="NR16" s="32">
        <v>1096.4399097916669</v>
      </c>
      <c r="NS16" s="32">
        <v>14.426840918311406</v>
      </c>
      <c r="NT16" s="32">
        <v>2E-3</v>
      </c>
      <c r="NU16" s="32">
        <v>-188.12937314285716</v>
      </c>
      <c r="NV16" s="8">
        <v>-2.4753864887218047</v>
      </c>
      <c r="NW16" s="32">
        <v>1203.1326612698413</v>
      </c>
      <c r="NX16" s="32">
        <v>1.051077494360902</v>
      </c>
      <c r="NY16" s="32">
        <v>0.17899999999999999</v>
      </c>
      <c r="NZ16" s="32">
        <v>75778.458332499999</v>
      </c>
      <c r="OA16" s="32">
        <v>131576.37788250003</v>
      </c>
      <c r="OB16" s="32">
        <v>0.182</v>
      </c>
      <c r="OC16" s="32">
        <v>9.7000000000000003E-2</v>
      </c>
      <c r="OD16" s="32">
        <v>1.098901098901099</v>
      </c>
      <c r="OE16" s="32">
        <v>6.4179587771298108</v>
      </c>
      <c r="OF16" s="32">
        <v>13.942745109659626</v>
      </c>
      <c r="OG16" s="32">
        <v>17.107328317694265</v>
      </c>
      <c r="OH16" s="32">
        <v>83.982118360481607</v>
      </c>
      <c r="OI16" s="32">
        <v>6.4179587771298108</v>
      </c>
      <c r="OJ16" s="32">
        <v>13.942745109659626</v>
      </c>
      <c r="OK16" s="32">
        <v>17.107328317694265</v>
      </c>
      <c r="OL16" s="32">
        <v>0.31602140443347726</v>
      </c>
      <c r="OM16" s="32">
        <v>8.9198046539071392</v>
      </c>
      <c r="ON16" s="69"/>
      <c r="OO16" s="32">
        <v>2.6546573975767696</v>
      </c>
      <c r="OP16" s="32">
        <v>-6.8155292441225797</v>
      </c>
      <c r="OQ16" s="32">
        <v>4.6112908156628709</v>
      </c>
      <c r="OR16" s="32">
        <v>48.18301026837262</v>
      </c>
      <c r="OS16" s="32">
        <v>-130.8641975308642</v>
      </c>
      <c r="OT16" s="32">
        <v>53.862302427529798</v>
      </c>
      <c r="OU16" s="32">
        <v>6.2322946175637295</v>
      </c>
      <c r="OV16" s="32">
        <v>142.07562668261627</v>
      </c>
      <c r="OW16" s="32">
        <v>31.143082537718914</v>
      </c>
      <c r="OX16" s="32">
        <v>-12.020472073206554</v>
      </c>
      <c r="OY16" s="32">
        <v>-0.60469796659235175</v>
      </c>
    </row>
    <row r="17" spans="1:415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9"/>
      <c r="K17" s="32" t="s">
        <v>34</v>
      </c>
      <c r="L17" s="32" t="s">
        <v>34</v>
      </c>
      <c r="M17" s="32" t="s">
        <v>34</v>
      </c>
      <c r="N17" s="32" t="s">
        <v>34</v>
      </c>
      <c r="O17" s="32" t="s">
        <v>34</v>
      </c>
      <c r="P17" s="32" t="s">
        <v>34</v>
      </c>
      <c r="Q17" s="32" t="s">
        <v>34</v>
      </c>
      <c r="R17" s="32" t="s">
        <v>34</v>
      </c>
      <c r="S17" s="32" t="s">
        <v>34</v>
      </c>
      <c r="T17" s="32" t="s">
        <v>34</v>
      </c>
      <c r="U17" s="32" t="s">
        <v>34</v>
      </c>
      <c r="V17" s="32" t="s">
        <v>34</v>
      </c>
      <c r="W17" s="32" t="s">
        <v>34</v>
      </c>
      <c r="X17" s="32" t="s">
        <v>34</v>
      </c>
      <c r="Y17" s="32" t="s">
        <v>34</v>
      </c>
      <c r="Z17" s="32" t="s">
        <v>34</v>
      </c>
      <c r="AA17" s="32" t="s">
        <v>34</v>
      </c>
      <c r="AB17" s="69"/>
      <c r="AC17" s="32" t="s">
        <v>34</v>
      </c>
      <c r="AD17" s="32" t="s">
        <v>34</v>
      </c>
      <c r="AE17" s="32" t="s">
        <v>34</v>
      </c>
      <c r="AF17" s="32" t="s">
        <v>34</v>
      </c>
      <c r="AG17" s="32" t="s">
        <v>34</v>
      </c>
      <c r="AH17" s="32" t="s">
        <v>34</v>
      </c>
      <c r="AI17" s="32" t="s">
        <v>34</v>
      </c>
      <c r="AJ17" s="32" t="s">
        <v>34</v>
      </c>
      <c r="AK17" s="32" t="s">
        <v>34</v>
      </c>
      <c r="AL17" s="32" t="s">
        <v>34</v>
      </c>
      <c r="AM17" s="32" t="s">
        <v>34</v>
      </c>
      <c r="AN17" s="32" t="s">
        <v>34</v>
      </c>
      <c r="AO17" s="32" t="s">
        <v>34</v>
      </c>
      <c r="AP17" s="32" t="s">
        <v>34</v>
      </c>
      <c r="AQ17" s="32" t="s">
        <v>34</v>
      </c>
      <c r="AR17" s="32" t="s">
        <v>34</v>
      </c>
      <c r="AS17" s="32" t="s">
        <v>34</v>
      </c>
      <c r="AT17" s="32" t="s">
        <v>34</v>
      </c>
      <c r="AU17" s="32" t="s">
        <v>34</v>
      </c>
      <c r="AV17" s="32" t="s">
        <v>34</v>
      </c>
      <c r="AW17" s="69"/>
      <c r="AX17" s="32" t="s">
        <v>34</v>
      </c>
      <c r="AY17" s="32" t="s">
        <v>34</v>
      </c>
      <c r="AZ17" s="32" t="s">
        <v>34</v>
      </c>
      <c r="BA17" s="32" t="s">
        <v>34</v>
      </c>
      <c r="BB17" s="32" t="s">
        <v>34</v>
      </c>
      <c r="BC17" s="69"/>
      <c r="BD17" s="32" t="s">
        <v>34</v>
      </c>
      <c r="BE17" s="32" t="s">
        <v>34</v>
      </c>
      <c r="BF17" s="32" t="s">
        <v>34</v>
      </c>
      <c r="BG17" s="32" t="s">
        <v>34</v>
      </c>
      <c r="BH17" s="32" t="s">
        <v>34</v>
      </c>
      <c r="BI17" s="32" t="s">
        <v>34</v>
      </c>
      <c r="BJ17" s="32" t="s">
        <v>34</v>
      </c>
      <c r="BK17" s="32" t="s">
        <v>34</v>
      </c>
      <c r="BL17" s="32" t="s">
        <v>34</v>
      </c>
      <c r="BM17" s="32" t="s">
        <v>34</v>
      </c>
      <c r="BN17" s="32" t="s">
        <v>34</v>
      </c>
      <c r="BO17" s="32" t="s">
        <v>34</v>
      </c>
      <c r="BP17" s="32" t="s">
        <v>34</v>
      </c>
      <c r="BQ17" s="32" t="s">
        <v>34</v>
      </c>
      <c r="BR17" s="32" t="s">
        <v>34</v>
      </c>
      <c r="BS17" s="32" t="s">
        <v>34</v>
      </c>
      <c r="BT17" s="32" t="s">
        <v>34</v>
      </c>
      <c r="BU17" s="32" t="s">
        <v>34</v>
      </c>
      <c r="BV17" s="8" t="s">
        <v>34</v>
      </c>
      <c r="BW17" s="32" t="s">
        <v>34</v>
      </c>
      <c r="BX17" s="32" t="s">
        <v>34</v>
      </c>
      <c r="BY17" s="32" t="s">
        <v>34</v>
      </c>
      <c r="BZ17" s="32" t="s">
        <v>34</v>
      </c>
      <c r="CA17" s="32" t="s">
        <v>34</v>
      </c>
      <c r="CB17" s="32" t="s">
        <v>34</v>
      </c>
      <c r="CC17" s="32" t="s">
        <v>34</v>
      </c>
      <c r="CD17" s="32" t="s">
        <v>34</v>
      </c>
      <c r="CE17" s="32" t="s">
        <v>34</v>
      </c>
      <c r="CF17" s="32" t="s">
        <v>34</v>
      </c>
      <c r="CG17" s="32" t="s">
        <v>34</v>
      </c>
      <c r="CH17" s="32" t="s">
        <v>34</v>
      </c>
      <c r="CI17" s="32" t="s">
        <v>34</v>
      </c>
      <c r="CJ17" s="32" t="s">
        <v>34</v>
      </c>
      <c r="CK17" s="32" t="s">
        <v>34</v>
      </c>
      <c r="CL17" s="32" t="s">
        <v>34</v>
      </c>
      <c r="CM17" s="32" t="s">
        <v>34</v>
      </c>
      <c r="CN17" s="32" t="s">
        <v>34</v>
      </c>
      <c r="CO17" s="32" t="s">
        <v>34</v>
      </c>
      <c r="CP17" s="32" t="s">
        <v>34</v>
      </c>
      <c r="CQ17" s="17" t="s">
        <v>34</v>
      </c>
      <c r="CR17" s="69"/>
      <c r="CS17" s="32" t="s">
        <v>34</v>
      </c>
      <c r="CT17" s="32" t="s">
        <v>34</v>
      </c>
      <c r="CU17" s="32" t="s">
        <v>34</v>
      </c>
      <c r="CV17" s="32" t="s">
        <v>34</v>
      </c>
      <c r="CW17" s="32" t="s">
        <v>34</v>
      </c>
      <c r="CX17" s="32" t="s">
        <v>34</v>
      </c>
      <c r="CY17" s="32" t="s">
        <v>34</v>
      </c>
      <c r="CZ17" s="32" t="s">
        <v>34</v>
      </c>
      <c r="DA17" s="32" t="s">
        <v>34</v>
      </c>
      <c r="DB17" s="32" t="s">
        <v>34</v>
      </c>
      <c r="DC17" s="32" t="s">
        <v>34</v>
      </c>
      <c r="DD17" s="32" t="s">
        <v>34</v>
      </c>
      <c r="DE17" s="32" t="s">
        <v>34</v>
      </c>
      <c r="DF17" s="32" t="s">
        <v>34</v>
      </c>
      <c r="DG17" s="32" t="s">
        <v>34</v>
      </c>
      <c r="DH17" s="32" t="s">
        <v>34</v>
      </c>
      <c r="DI17" s="32" t="s">
        <v>34</v>
      </c>
      <c r="DJ17" s="32" t="s">
        <v>34</v>
      </c>
      <c r="DK17" s="8" t="s">
        <v>34</v>
      </c>
      <c r="DL17" s="32" t="s">
        <v>34</v>
      </c>
      <c r="DM17" s="32" t="s">
        <v>34</v>
      </c>
      <c r="DN17" s="32" t="s">
        <v>34</v>
      </c>
      <c r="DO17" s="32" t="s">
        <v>34</v>
      </c>
      <c r="DP17" s="32" t="s">
        <v>34</v>
      </c>
      <c r="DQ17" s="32" t="s">
        <v>34</v>
      </c>
      <c r="DR17" s="32" t="s">
        <v>34</v>
      </c>
      <c r="DS17" s="32" t="s">
        <v>34</v>
      </c>
      <c r="DT17" s="32" t="s">
        <v>34</v>
      </c>
      <c r="DU17" s="32" t="s">
        <v>34</v>
      </c>
      <c r="DV17" s="32" t="s">
        <v>34</v>
      </c>
      <c r="DW17" s="32" t="s">
        <v>34</v>
      </c>
      <c r="DX17" s="32" t="s">
        <v>34</v>
      </c>
      <c r="DY17" s="32" t="s">
        <v>34</v>
      </c>
      <c r="DZ17" s="32" t="s">
        <v>34</v>
      </c>
      <c r="EA17" s="32" t="s">
        <v>34</v>
      </c>
      <c r="EB17" s="32" t="s">
        <v>34</v>
      </c>
      <c r="EC17" s="69"/>
      <c r="ED17" s="32" t="s">
        <v>34</v>
      </c>
      <c r="EE17" s="32" t="s">
        <v>34</v>
      </c>
      <c r="EF17" s="32" t="s">
        <v>34</v>
      </c>
      <c r="EG17" s="32" t="s">
        <v>34</v>
      </c>
      <c r="EH17" s="32" t="s">
        <v>34</v>
      </c>
      <c r="EI17" s="32" t="s">
        <v>34</v>
      </c>
      <c r="EJ17" s="32" t="s">
        <v>34</v>
      </c>
      <c r="EK17" s="32" t="s">
        <v>34</v>
      </c>
      <c r="EL17" s="32" t="s">
        <v>34</v>
      </c>
      <c r="EM17" s="32" t="s">
        <v>34</v>
      </c>
      <c r="EN17" s="32" t="s">
        <v>34</v>
      </c>
      <c r="EO17" s="69"/>
      <c r="EP17" s="32" t="s">
        <v>34</v>
      </c>
      <c r="EQ17" s="32" t="s">
        <v>34</v>
      </c>
      <c r="ER17" s="32" t="s">
        <v>34</v>
      </c>
      <c r="ES17" s="32" t="s">
        <v>34</v>
      </c>
      <c r="ET17" s="32" t="s">
        <v>34</v>
      </c>
      <c r="EU17" s="32" t="s">
        <v>34</v>
      </c>
      <c r="EV17" s="32" t="s">
        <v>34</v>
      </c>
      <c r="EW17" s="32" t="s">
        <v>34</v>
      </c>
      <c r="EX17" s="32" t="s">
        <v>34</v>
      </c>
      <c r="EY17" s="32" t="s">
        <v>34</v>
      </c>
      <c r="EZ17" s="32" t="s">
        <v>34</v>
      </c>
      <c r="FA17" s="32" t="s">
        <v>34</v>
      </c>
      <c r="FB17" s="32" t="s">
        <v>34</v>
      </c>
      <c r="FC17" s="32" t="s">
        <v>34</v>
      </c>
      <c r="FD17" s="32" t="s">
        <v>34</v>
      </c>
      <c r="FE17" s="32" t="s">
        <v>34</v>
      </c>
      <c r="FF17" s="32" t="s">
        <v>34</v>
      </c>
      <c r="FG17" s="69"/>
      <c r="FH17" s="32" t="s">
        <v>34</v>
      </c>
      <c r="FI17" s="32" t="s">
        <v>34</v>
      </c>
      <c r="FJ17" s="32" t="s">
        <v>34</v>
      </c>
      <c r="FK17" s="32" t="s">
        <v>34</v>
      </c>
      <c r="FL17" s="32" t="s">
        <v>34</v>
      </c>
      <c r="FM17" s="32" t="s">
        <v>34</v>
      </c>
      <c r="FN17" s="32" t="s">
        <v>34</v>
      </c>
      <c r="FO17" s="32" t="s">
        <v>34</v>
      </c>
      <c r="FP17" s="32" t="s">
        <v>34</v>
      </c>
      <c r="FQ17" s="32" t="s">
        <v>34</v>
      </c>
      <c r="FR17" s="32" t="s">
        <v>34</v>
      </c>
      <c r="FS17" s="32" t="s">
        <v>34</v>
      </c>
      <c r="FT17" s="32" t="s">
        <v>34</v>
      </c>
      <c r="FU17" s="32" t="s">
        <v>34</v>
      </c>
      <c r="FV17" s="32" t="s">
        <v>34</v>
      </c>
      <c r="FW17" s="32" t="s">
        <v>34</v>
      </c>
      <c r="FX17" s="32" t="s">
        <v>34</v>
      </c>
      <c r="FY17" s="32" t="s">
        <v>34</v>
      </c>
      <c r="FZ17" s="32" t="s">
        <v>34</v>
      </c>
      <c r="GA17" s="32" t="s">
        <v>34</v>
      </c>
      <c r="GB17" s="69"/>
      <c r="GC17" s="32" t="s">
        <v>34</v>
      </c>
      <c r="GD17" s="32" t="s">
        <v>34</v>
      </c>
      <c r="GE17" s="32" t="s">
        <v>34</v>
      </c>
      <c r="GF17" s="32" t="s">
        <v>34</v>
      </c>
      <c r="GG17" s="32" t="s">
        <v>34</v>
      </c>
      <c r="GH17" s="69"/>
      <c r="GI17" s="32" t="s">
        <v>34</v>
      </c>
      <c r="GJ17" s="32" t="s">
        <v>34</v>
      </c>
      <c r="GK17" s="32" t="s">
        <v>34</v>
      </c>
      <c r="GL17" s="32" t="s">
        <v>34</v>
      </c>
      <c r="GM17" s="32" t="s">
        <v>34</v>
      </c>
      <c r="GN17" s="32" t="s">
        <v>34</v>
      </c>
      <c r="GO17" s="32" t="s">
        <v>34</v>
      </c>
      <c r="GP17" s="32" t="s">
        <v>34</v>
      </c>
      <c r="GQ17" s="32" t="s">
        <v>34</v>
      </c>
      <c r="GR17" s="32" t="s">
        <v>34</v>
      </c>
      <c r="GS17" s="32" t="s">
        <v>34</v>
      </c>
      <c r="GT17" s="32" t="s">
        <v>34</v>
      </c>
      <c r="GU17" s="32" t="s">
        <v>34</v>
      </c>
      <c r="GV17" s="32" t="s">
        <v>34</v>
      </c>
      <c r="GW17" s="32" t="s">
        <v>34</v>
      </c>
      <c r="GX17" s="32" t="s">
        <v>34</v>
      </c>
      <c r="GY17" s="32" t="s">
        <v>34</v>
      </c>
      <c r="GZ17" s="32" t="s">
        <v>34</v>
      </c>
      <c r="HA17" s="8" t="s">
        <v>34</v>
      </c>
      <c r="HB17" s="32" t="s">
        <v>34</v>
      </c>
      <c r="HC17" s="32" t="s">
        <v>34</v>
      </c>
      <c r="HD17" s="32" t="s">
        <v>34</v>
      </c>
      <c r="HE17" s="32" t="s">
        <v>34</v>
      </c>
      <c r="HF17" s="32" t="s">
        <v>34</v>
      </c>
      <c r="HG17" s="32" t="s">
        <v>34</v>
      </c>
      <c r="HH17" s="32" t="s">
        <v>34</v>
      </c>
      <c r="HI17" s="32" t="s">
        <v>34</v>
      </c>
      <c r="HJ17" s="32" t="s">
        <v>34</v>
      </c>
      <c r="HK17" s="32" t="s">
        <v>34</v>
      </c>
      <c r="HL17" s="32" t="s">
        <v>34</v>
      </c>
      <c r="HM17" s="32" t="s">
        <v>34</v>
      </c>
      <c r="HN17" s="32" t="s">
        <v>34</v>
      </c>
      <c r="HO17" s="32" t="s">
        <v>34</v>
      </c>
      <c r="HP17" s="32" t="s">
        <v>34</v>
      </c>
      <c r="HQ17" s="32" t="s">
        <v>34</v>
      </c>
      <c r="HR17" s="32" t="s">
        <v>34</v>
      </c>
      <c r="HS17" s="32" t="s">
        <v>34</v>
      </c>
      <c r="HT17" s="32" t="s">
        <v>34</v>
      </c>
      <c r="HU17" s="32" t="s">
        <v>34</v>
      </c>
      <c r="HV17" s="32" t="s">
        <v>34</v>
      </c>
      <c r="HW17" s="17" t="s">
        <v>34</v>
      </c>
      <c r="HX17" s="69"/>
      <c r="HY17" s="32" t="s">
        <v>34</v>
      </c>
      <c r="HZ17" s="32" t="s">
        <v>34</v>
      </c>
      <c r="IA17" s="32" t="s">
        <v>34</v>
      </c>
      <c r="IB17" s="32" t="s">
        <v>34</v>
      </c>
      <c r="IC17" s="32" t="s">
        <v>34</v>
      </c>
      <c r="ID17" s="32" t="s">
        <v>34</v>
      </c>
      <c r="IE17" s="32" t="s">
        <v>34</v>
      </c>
      <c r="IF17" s="32" t="s">
        <v>34</v>
      </c>
      <c r="IG17" s="32" t="s">
        <v>34</v>
      </c>
      <c r="IH17" s="32" t="s">
        <v>34</v>
      </c>
      <c r="II17" s="32" t="s">
        <v>34</v>
      </c>
      <c r="IJ17" s="32" t="s">
        <v>34</v>
      </c>
      <c r="IK17" s="32" t="s">
        <v>34</v>
      </c>
      <c r="IL17" s="32" t="s">
        <v>34</v>
      </c>
      <c r="IM17" s="32" t="s">
        <v>34</v>
      </c>
      <c r="IN17" s="32" t="s">
        <v>34</v>
      </c>
      <c r="IO17" s="32" t="s">
        <v>34</v>
      </c>
      <c r="IP17" s="32" t="s">
        <v>34</v>
      </c>
      <c r="IQ17" s="8" t="s">
        <v>34</v>
      </c>
      <c r="IR17" s="32" t="s">
        <v>34</v>
      </c>
      <c r="IS17" s="32" t="s">
        <v>34</v>
      </c>
      <c r="IT17" s="32" t="s">
        <v>34</v>
      </c>
      <c r="IU17" s="32" t="s">
        <v>34</v>
      </c>
      <c r="IV17" s="32" t="s">
        <v>34</v>
      </c>
      <c r="IW17" s="32" t="s">
        <v>34</v>
      </c>
      <c r="IX17" s="32" t="s">
        <v>34</v>
      </c>
      <c r="IY17" s="32" t="s">
        <v>34</v>
      </c>
      <c r="IZ17" s="32" t="s">
        <v>34</v>
      </c>
      <c r="JA17" s="32" t="s">
        <v>34</v>
      </c>
      <c r="JB17" s="32" t="s">
        <v>34</v>
      </c>
      <c r="JC17" s="32" t="s">
        <v>34</v>
      </c>
      <c r="JD17" s="32" t="s">
        <v>34</v>
      </c>
      <c r="JE17" s="32" t="s">
        <v>34</v>
      </c>
      <c r="JF17" s="32" t="s">
        <v>34</v>
      </c>
      <c r="JG17" s="32" t="s">
        <v>34</v>
      </c>
      <c r="JH17" s="32" t="s">
        <v>34</v>
      </c>
      <c r="JI17" s="69"/>
      <c r="JJ17" s="32" t="s">
        <v>34</v>
      </c>
      <c r="JK17" s="32" t="s">
        <v>34</v>
      </c>
      <c r="JL17" s="32" t="s">
        <v>34</v>
      </c>
      <c r="JM17" s="32" t="s">
        <v>34</v>
      </c>
      <c r="JN17" s="32" t="s">
        <v>34</v>
      </c>
      <c r="JO17" s="32" t="s">
        <v>34</v>
      </c>
      <c r="JP17" s="32" t="s">
        <v>34</v>
      </c>
      <c r="JQ17" s="32" t="s">
        <v>34</v>
      </c>
      <c r="JR17" s="32" t="s">
        <v>34</v>
      </c>
      <c r="JS17" s="32" t="s">
        <v>34</v>
      </c>
      <c r="JT17" s="32" t="s">
        <v>34</v>
      </c>
      <c r="JU17" s="69"/>
      <c r="JV17" s="32" t="s">
        <v>34</v>
      </c>
      <c r="JW17" s="32" t="s">
        <v>34</v>
      </c>
      <c r="JX17" s="32" t="s">
        <v>34</v>
      </c>
      <c r="JY17" s="32" t="s">
        <v>34</v>
      </c>
      <c r="JZ17" s="32" t="s">
        <v>34</v>
      </c>
      <c r="KA17" s="32" t="s">
        <v>34</v>
      </c>
      <c r="KB17" s="32" t="s">
        <v>34</v>
      </c>
      <c r="KC17" s="32" t="s">
        <v>34</v>
      </c>
      <c r="KD17" s="32" t="s">
        <v>34</v>
      </c>
      <c r="KE17" s="32" t="s">
        <v>34</v>
      </c>
      <c r="KF17" s="32" t="s">
        <v>34</v>
      </c>
      <c r="KG17" s="32" t="s">
        <v>34</v>
      </c>
      <c r="KH17" s="32" t="s">
        <v>34</v>
      </c>
      <c r="KI17" s="32" t="s">
        <v>34</v>
      </c>
      <c r="KJ17" s="32" t="s">
        <v>34</v>
      </c>
      <c r="KK17" s="32" t="s">
        <v>34</v>
      </c>
      <c r="KL17" s="32" t="s">
        <v>34</v>
      </c>
      <c r="KM17" s="69"/>
      <c r="KN17" s="32" t="s">
        <v>34</v>
      </c>
      <c r="KO17" s="32" t="s">
        <v>34</v>
      </c>
      <c r="KP17" s="32" t="s">
        <v>34</v>
      </c>
      <c r="KQ17" s="32" t="s">
        <v>34</v>
      </c>
      <c r="KR17" s="32" t="s">
        <v>34</v>
      </c>
      <c r="KS17" s="32" t="s">
        <v>34</v>
      </c>
      <c r="KT17" s="32" t="s">
        <v>34</v>
      </c>
      <c r="KU17" s="32" t="s">
        <v>34</v>
      </c>
      <c r="KV17" s="32" t="s">
        <v>34</v>
      </c>
      <c r="KW17" s="32" t="s">
        <v>34</v>
      </c>
      <c r="KX17" s="32" t="s">
        <v>34</v>
      </c>
      <c r="KY17" s="32" t="s">
        <v>34</v>
      </c>
      <c r="KZ17" s="32" t="s">
        <v>34</v>
      </c>
      <c r="LA17" s="32" t="s">
        <v>34</v>
      </c>
      <c r="LB17" s="32" t="s">
        <v>34</v>
      </c>
      <c r="LC17" s="32" t="s">
        <v>34</v>
      </c>
      <c r="LD17" s="32" t="s">
        <v>34</v>
      </c>
      <c r="LE17" s="32" t="s">
        <v>34</v>
      </c>
      <c r="LF17" s="32" t="s">
        <v>34</v>
      </c>
      <c r="LG17" s="32" t="s">
        <v>34</v>
      </c>
      <c r="LH17" s="69"/>
      <c r="LI17" s="32" t="s">
        <v>34</v>
      </c>
      <c r="LJ17" s="32" t="s">
        <v>34</v>
      </c>
      <c r="LK17" s="32" t="s">
        <v>34</v>
      </c>
      <c r="LL17" s="32" t="s">
        <v>34</v>
      </c>
      <c r="LM17" s="32" t="s">
        <v>34</v>
      </c>
      <c r="LN17" s="69"/>
      <c r="LO17" s="32" t="s">
        <v>34</v>
      </c>
      <c r="LP17" s="32" t="s">
        <v>34</v>
      </c>
      <c r="LQ17" s="32" t="s">
        <v>34</v>
      </c>
      <c r="LR17" s="32" t="s">
        <v>34</v>
      </c>
      <c r="LS17" s="32" t="s">
        <v>34</v>
      </c>
      <c r="LT17" s="32" t="s">
        <v>34</v>
      </c>
      <c r="LU17" s="32" t="s">
        <v>34</v>
      </c>
      <c r="LV17" s="32" t="s">
        <v>34</v>
      </c>
      <c r="LW17" s="32" t="s">
        <v>34</v>
      </c>
      <c r="LX17" s="32" t="s">
        <v>34</v>
      </c>
      <c r="LY17" s="32" t="s">
        <v>34</v>
      </c>
      <c r="LZ17" s="32" t="s">
        <v>34</v>
      </c>
      <c r="MA17" s="32" t="s">
        <v>34</v>
      </c>
      <c r="MB17" s="32" t="s">
        <v>34</v>
      </c>
      <c r="MC17" s="32" t="s">
        <v>34</v>
      </c>
      <c r="MD17" s="32" t="s">
        <v>34</v>
      </c>
      <c r="ME17" s="32" t="s">
        <v>34</v>
      </c>
      <c r="MF17" s="32" t="s">
        <v>34</v>
      </c>
      <c r="MG17" s="8" t="s">
        <v>34</v>
      </c>
      <c r="MH17" s="32" t="s">
        <v>34</v>
      </c>
      <c r="MI17" s="32" t="s">
        <v>34</v>
      </c>
      <c r="MJ17" s="32" t="s">
        <v>34</v>
      </c>
      <c r="MK17" s="32" t="s">
        <v>34</v>
      </c>
      <c r="ML17" s="32" t="s">
        <v>34</v>
      </c>
      <c r="MM17" s="32" t="s">
        <v>34</v>
      </c>
      <c r="MN17" s="32" t="s">
        <v>34</v>
      </c>
      <c r="MO17" s="32" t="s">
        <v>34</v>
      </c>
      <c r="MP17" s="32" t="s">
        <v>34</v>
      </c>
      <c r="MQ17" s="32" t="s">
        <v>34</v>
      </c>
      <c r="MR17" s="32" t="s">
        <v>34</v>
      </c>
      <c r="MS17" s="32" t="s">
        <v>34</v>
      </c>
      <c r="MT17" s="32" t="s">
        <v>34</v>
      </c>
      <c r="MU17" s="32" t="s">
        <v>34</v>
      </c>
      <c r="MV17" s="32" t="s">
        <v>34</v>
      </c>
      <c r="MW17" s="32" t="s">
        <v>34</v>
      </c>
      <c r="MX17" s="32" t="s">
        <v>34</v>
      </c>
      <c r="MY17" s="32" t="s">
        <v>34</v>
      </c>
      <c r="MZ17" s="32" t="s">
        <v>34</v>
      </c>
      <c r="NA17" s="32" t="s">
        <v>34</v>
      </c>
      <c r="NB17" s="17" t="s">
        <v>34</v>
      </c>
      <c r="NC17" s="69"/>
      <c r="ND17" s="32" t="s">
        <v>34</v>
      </c>
      <c r="NE17" s="32" t="s">
        <v>34</v>
      </c>
      <c r="NF17" s="32" t="s">
        <v>34</v>
      </c>
      <c r="NG17" s="32" t="s">
        <v>34</v>
      </c>
      <c r="NH17" s="32" t="s">
        <v>34</v>
      </c>
      <c r="NI17" s="32" t="s">
        <v>34</v>
      </c>
      <c r="NJ17" s="32" t="s">
        <v>34</v>
      </c>
      <c r="NK17" s="32" t="s">
        <v>34</v>
      </c>
      <c r="NL17" s="32" t="s">
        <v>34</v>
      </c>
      <c r="NM17" s="32" t="s">
        <v>34</v>
      </c>
      <c r="NN17" s="32" t="s">
        <v>34</v>
      </c>
      <c r="NO17" s="32" t="s">
        <v>34</v>
      </c>
      <c r="NP17" s="32" t="s">
        <v>34</v>
      </c>
      <c r="NQ17" s="32" t="s">
        <v>34</v>
      </c>
      <c r="NR17" s="32" t="s">
        <v>34</v>
      </c>
      <c r="NS17" s="32" t="s">
        <v>34</v>
      </c>
      <c r="NT17" s="32" t="s">
        <v>34</v>
      </c>
      <c r="NU17" s="32" t="s">
        <v>34</v>
      </c>
      <c r="NV17" s="8" t="s">
        <v>34</v>
      </c>
      <c r="NW17" s="32" t="s">
        <v>34</v>
      </c>
      <c r="NX17" s="32" t="s">
        <v>34</v>
      </c>
      <c r="NY17" s="32" t="s">
        <v>34</v>
      </c>
      <c r="NZ17" s="32" t="s">
        <v>34</v>
      </c>
      <c r="OA17" s="32" t="s">
        <v>34</v>
      </c>
      <c r="OB17" s="32" t="s">
        <v>34</v>
      </c>
      <c r="OC17" s="32" t="s">
        <v>34</v>
      </c>
      <c r="OD17" s="32" t="s">
        <v>34</v>
      </c>
      <c r="OE17" s="32" t="s">
        <v>34</v>
      </c>
      <c r="OF17" s="32" t="s">
        <v>34</v>
      </c>
      <c r="OG17" s="32" t="s">
        <v>34</v>
      </c>
      <c r="OH17" s="32" t="s">
        <v>34</v>
      </c>
      <c r="OI17" s="32" t="s">
        <v>34</v>
      </c>
      <c r="OJ17" s="32" t="s">
        <v>34</v>
      </c>
      <c r="OK17" s="32" t="s">
        <v>34</v>
      </c>
      <c r="OL17" s="32" t="s">
        <v>34</v>
      </c>
      <c r="OM17" s="32" t="s">
        <v>34</v>
      </c>
      <c r="ON17" s="69"/>
      <c r="OO17" s="32" t="s">
        <v>34</v>
      </c>
      <c r="OP17" s="32" t="s">
        <v>34</v>
      </c>
      <c r="OQ17" s="32" t="s">
        <v>34</v>
      </c>
      <c r="OR17" s="32" t="s">
        <v>34</v>
      </c>
      <c r="OS17" s="32" t="s">
        <v>34</v>
      </c>
      <c r="OT17" s="32" t="s">
        <v>34</v>
      </c>
      <c r="OU17" s="32" t="s">
        <v>34</v>
      </c>
      <c r="OV17" s="32" t="s">
        <v>34</v>
      </c>
      <c r="OW17" s="32" t="s">
        <v>34</v>
      </c>
      <c r="OX17" s="32" t="s">
        <v>34</v>
      </c>
      <c r="OY17" s="32" t="s">
        <v>34</v>
      </c>
    </row>
    <row r="18" spans="1:415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9"/>
      <c r="K18" s="32" t="s">
        <v>34</v>
      </c>
      <c r="L18" s="32" t="s">
        <v>34</v>
      </c>
      <c r="M18" s="32" t="s">
        <v>34</v>
      </c>
      <c r="N18" s="32" t="s">
        <v>34</v>
      </c>
      <c r="O18" s="32" t="s">
        <v>34</v>
      </c>
      <c r="P18" s="32" t="s">
        <v>34</v>
      </c>
      <c r="Q18" s="32" t="s">
        <v>34</v>
      </c>
      <c r="R18" s="32" t="s">
        <v>34</v>
      </c>
      <c r="S18" s="32" t="s">
        <v>34</v>
      </c>
      <c r="T18" s="32" t="s">
        <v>34</v>
      </c>
      <c r="U18" s="32" t="s">
        <v>34</v>
      </c>
      <c r="V18" s="32" t="s">
        <v>34</v>
      </c>
      <c r="W18" s="32" t="s">
        <v>34</v>
      </c>
      <c r="X18" s="32" t="s">
        <v>34</v>
      </c>
      <c r="Y18" s="32" t="s">
        <v>34</v>
      </c>
      <c r="Z18" s="32" t="s">
        <v>34</v>
      </c>
      <c r="AA18" s="32" t="s">
        <v>34</v>
      </c>
      <c r="AB18" s="69"/>
      <c r="AC18" s="32" t="s">
        <v>34</v>
      </c>
      <c r="AD18" s="32" t="s">
        <v>34</v>
      </c>
      <c r="AE18" s="32" t="s">
        <v>34</v>
      </c>
      <c r="AF18" s="32" t="s">
        <v>34</v>
      </c>
      <c r="AG18" s="32" t="s">
        <v>34</v>
      </c>
      <c r="AH18" s="32" t="s">
        <v>34</v>
      </c>
      <c r="AI18" s="32" t="s">
        <v>34</v>
      </c>
      <c r="AJ18" s="32" t="s">
        <v>34</v>
      </c>
      <c r="AK18" s="32" t="s">
        <v>34</v>
      </c>
      <c r="AL18" s="32" t="s">
        <v>34</v>
      </c>
      <c r="AM18" s="32" t="s">
        <v>34</v>
      </c>
      <c r="AN18" s="32" t="s">
        <v>34</v>
      </c>
      <c r="AO18" s="32" t="s">
        <v>34</v>
      </c>
      <c r="AP18" s="32" t="s">
        <v>34</v>
      </c>
      <c r="AQ18" s="32" t="s">
        <v>34</v>
      </c>
      <c r="AR18" s="32" t="s">
        <v>34</v>
      </c>
      <c r="AS18" s="32" t="s">
        <v>34</v>
      </c>
      <c r="AT18" s="32" t="s">
        <v>34</v>
      </c>
      <c r="AU18" s="32" t="s">
        <v>34</v>
      </c>
      <c r="AV18" s="32" t="s">
        <v>34</v>
      </c>
      <c r="AW18" s="69"/>
      <c r="AX18" s="32" t="s">
        <v>34</v>
      </c>
      <c r="AY18" s="32" t="s">
        <v>34</v>
      </c>
      <c r="AZ18" s="32" t="s">
        <v>34</v>
      </c>
      <c r="BA18" s="32" t="s">
        <v>34</v>
      </c>
      <c r="BB18" s="32" t="s">
        <v>34</v>
      </c>
      <c r="BC18" s="69"/>
      <c r="BD18" s="32" t="s">
        <v>34</v>
      </c>
      <c r="BE18" s="32" t="s">
        <v>34</v>
      </c>
      <c r="BF18" s="32" t="s">
        <v>34</v>
      </c>
      <c r="BG18" s="32" t="s">
        <v>34</v>
      </c>
      <c r="BH18" s="32" t="s">
        <v>34</v>
      </c>
      <c r="BI18" s="32" t="s">
        <v>34</v>
      </c>
      <c r="BJ18" s="32" t="s">
        <v>34</v>
      </c>
      <c r="BK18" s="32" t="s">
        <v>34</v>
      </c>
      <c r="BL18" s="32" t="s">
        <v>34</v>
      </c>
      <c r="BM18" s="32" t="s">
        <v>34</v>
      </c>
      <c r="BN18" s="32" t="s">
        <v>34</v>
      </c>
      <c r="BO18" s="32" t="s">
        <v>34</v>
      </c>
      <c r="BP18" s="32" t="s">
        <v>34</v>
      </c>
      <c r="BQ18" s="32" t="s">
        <v>34</v>
      </c>
      <c r="BR18" s="32" t="s">
        <v>34</v>
      </c>
      <c r="BS18" s="32" t="s">
        <v>34</v>
      </c>
      <c r="BT18" s="32" t="s">
        <v>34</v>
      </c>
      <c r="BU18" s="32" t="s">
        <v>34</v>
      </c>
      <c r="BV18" s="8" t="s">
        <v>34</v>
      </c>
      <c r="BW18" s="32" t="s">
        <v>34</v>
      </c>
      <c r="BX18" s="32" t="s">
        <v>34</v>
      </c>
      <c r="BY18" s="32" t="s">
        <v>34</v>
      </c>
      <c r="BZ18" s="32" t="s">
        <v>34</v>
      </c>
      <c r="CA18" s="32" t="s">
        <v>34</v>
      </c>
      <c r="CB18" s="32" t="s">
        <v>34</v>
      </c>
      <c r="CC18" s="32" t="s">
        <v>34</v>
      </c>
      <c r="CD18" s="32" t="s">
        <v>34</v>
      </c>
      <c r="CE18" s="32" t="s">
        <v>34</v>
      </c>
      <c r="CF18" s="32" t="s">
        <v>34</v>
      </c>
      <c r="CG18" s="32" t="s">
        <v>34</v>
      </c>
      <c r="CH18" s="32" t="s">
        <v>34</v>
      </c>
      <c r="CI18" s="32" t="s">
        <v>34</v>
      </c>
      <c r="CJ18" s="32" t="s">
        <v>34</v>
      </c>
      <c r="CK18" s="32" t="s">
        <v>34</v>
      </c>
      <c r="CL18" s="32" t="s">
        <v>34</v>
      </c>
      <c r="CM18" s="32" t="s">
        <v>34</v>
      </c>
      <c r="CN18" s="32" t="s">
        <v>34</v>
      </c>
      <c r="CO18" s="32" t="s">
        <v>34</v>
      </c>
      <c r="CP18" s="32" t="s">
        <v>34</v>
      </c>
      <c r="CQ18" s="17" t="s">
        <v>34</v>
      </c>
      <c r="CR18" s="69"/>
      <c r="CS18" s="32" t="s">
        <v>34</v>
      </c>
      <c r="CT18" s="32" t="s">
        <v>34</v>
      </c>
      <c r="CU18" s="32" t="s">
        <v>34</v>
      </c>
      <c r="CV18" s="32" t="s">
        <v>34</v>
      </c>
      <c r="CW18" s="32" t="s">
        <v>34</v>
      </c>
      <c r="CX18" s="32" t="s">
        <v>34</v>
      </c>
      <c r="CY18" s="32" t="s">
        <v>34</v>
      </c>
      <c r="CZ18" s="32" t="s">
        <v>34</v>
      </c>
      <c r="DA18" s="32" t="s">
        <v>34</v>
      </c>
      <c r="DB18" s="32" t="s">
        <v>34</v>
      </c>
      <c r="DC18" s="32" t="s">
        <v>34</v>
      </c>
      <c r="DD18" s="32" t="s">
        <v>34</v>
      </c>
      <c r="DE18" s="32" t="s">
        <v>34</v>
      </c>
      <c r="DF18" s="32" t="s">
        <v>34</v>
      </c>
      <c r="DG18" s="32" t="s">
        <v>34</v>
      </c>
      <c r="DH18" s="32" t="s">
        <v>34</v>
      </c>
      <c r="DI18" s="32" t="s">
        <v>34</v>
      </c>
      <c r="DJ18" s="32" t="s">
        <v>34</v>
      </c>
      <c r="DK18" s="8" t="s">
        <v>34</v>
      </c>
      <c r="DL18" s="32" t="s">
        <v>34</v>
      </c>
      <c r="DM18" s="32" t="s">
        <v>34</v>
      </c>
      <c r="DN18" s="32" t="s">
        <v>34</v>
      </c>
      <c r="DO18" s="32" t="s">
        <v>34</v>
      </c>
      <c r="DP18" s="32" t="s">
        <v>34</v>
      </c>
      <c r="DQ18" s="32" t="s">
        <v>34</v>
      </c>
      <c r="DR18" s="32" t="s">
        <v>34</v>
      </c>
      <c r="DS18" s="32" t="s">
        <v>34</v>
      </c>
      <c r="DT18" s="32" t="s">
        <v>34</v>
      </c>
      <c r="DU18" s="32" t="s">
        <v>34</v>
      </c>
      <c r="DV18" s="32" t="s">
        <v>34</v>
      </c>
      <c r="DW18" s="32" t="s">
        <v>34</v>
      </c>
      <c r="DX18" s="32" t="s">
        <v>34</v>
      </c>
      <c r="DY18" s="32" t="s">
        <v>34</v>
      </c>
      <c r="DZ18" s="32" t="s">
        <v>34</v>
      </c>
      <c r="EA18" s="32" t="s">
        <v>34</v>
      </c>
      <c r="EB18" s="32" t="s">
        <v>34</v>
      </c>
      <c r="EC18" s="69"/>
      <c r="ED18" s="32" t="s">
        <v>34</v>
      </c>
      <c r="EE18" s="32" t="s">
        <v>34</v>
      </c>
      <c r="EF18" s="32" t="s">
        <v>34</v>
      </c>
      <c r="EG18" s="32" t="s">
        <v>34</v>
      </c>
      <c r="EH18" s="32" t="s">
        <v>34</v>
      </c>
      <c r="EI18" s="32" t="s">
        <v>34</v>
      </c>
      <c r="EJ18" s="32" t="s">
        <v>34</v>
      </c>
      <c r="EK18" s="32" t="s">
        <v>34</v>
      </c>
      <c r="EL18" s="32" t="s">
        <v>34</v>
      </c>
      <c r="EM18" s="32" t="s">
        <v>34</v>
      </c>
      <c r="EN18" s="32" t="s">
        <v>34</v>
      </c>
      <c r="EO18" s="69"/>
      <c r="EP18" s="32" t="s">
        <v>34</v>
      </c>
      <c r="EQ18" s="32" t="s">
        <v>34</v>
      </c>
      <c r="ER18" s="32" t="s">
        <v>34</v>
      </c>
      <c r="ES18" s="32" t="s">
        <v>34</v>
      </c>
      <c r="ET18" s="32" t="s">
        <v>34</v>
      </c>
      <c r="EU18" s="32" t="s">
        <v>34</v>
      </c>
      <c r="EV18" s="32" t="s">
        <v>34</v>
      </c>
      <c r="EW18" s="32" t="s">
        <v>34</v>
      </c>
      <c r="EX18" s="32" t="s">
        <v>34</v>
      </c>
      <c r="EY18" s="32" t="s">
        <v>34</v>
      </c>
      <c r="EZ18" s="32" t="s">
        <v>34</v>
      </c>
      <c r="FA18" s="32" t="s">
        <v>34</v>
      </c>
      <c r="FB18" s="32" t="s">
        <v>34</v>
      </c>
      <c r="FC18" s="32" t="s">
        <v>34</v>
      </c>
      <c r="FD18" s="32" t="s">
        <v>34</v>
      </c>
      <c r="FE18" s="32" t="s">
        <v>34</v>
      </c>
      <c r="FF18" s="32" t="s">
        <v>34</v>
      </c>
      <c r="FG18" s="69"/>
      <c r="FH18" s="32" t="s">
        <v>34</v>
      </c>
      <c r="FI18" s="32" t="s">
        <v>34</v>
      </c>
      <c r="FJ18" s="32" t="s">
        <v>34</v>
      </c>
      <c r="FK18" s="32" t="s">
        <v>34</v>
      </c>
      <c r="FL18" s="32" t="s">
        <v>34</v>
      </c>
      <c r="FM18" s="32" t="s">
        <v>34</v>
      </c>
      <c r="FN18" s="32" t="s">
        <v>34</v>
      </c>
      <c r="FO18" s="32" t="s">
        <v>34</v>
      </c>
      <c r="FP18" s="32" t="s">
        <v>34</v>
      </c>
      <c r="FQ18" s="32" t="s">
        <v>34</v>
      </c>
      <c r="FR18" s="32" t="s">
        <v>34</v>
      </c>
      <c r="FS18" s="32" t="s">
        <v>34</v>
      </c>
      <c r="FT18" s="32" t="s">
        <v>34</v>
      </c>
      <c r="FU18" s="32" t="s">
        <v>34</v>
      </c>
      <c r="FV18" s="32" t="s">
        <v>34</v>
      </c>
      <c r="FW18" s="32" t="s">
        <v>34</v>
      </c>
      <c r="FX18" s="32" t="s">
        <v>34</v>
      </c>
      <c r="FY18" s="32" t="s">
        <v>34</v>
      </c>
      <c r="FZ18" s="32" t="s">
        <v>34</v>
      </c>
      <c r="GA18" s="32" t="s">
        <v>34</v>
      </c>
      <c r="GB18" s="69"/>
      <c r="GC18" s="32" t="s">
        <v>34</v>
      </c>
      <c r="GD18" s="32" t="s">
        <v>34</v>
      </c>
      <c r="GE18" s="32" t="s">
        <v>34</v>
      </c>
      <c r="GF18" s="32" t="s">
        <v>34</v>
      </c>
      <c r="GG18" s="32" t="s">
        <v>34</v>
      </c>
      <c r="GH18" s="69"/>
      <c r="GI18" s="32" t="s">
        <v>34</v>
      </c>
      <c r="GJ18" s="32" t="s">
        <v>34</v>
      </c>
      <c r="GK18" s="32" t="s">
        <v>34</v>
      </c>
      <c r="GL18" s="32" t="s">
        <v>34</v>
      </c>
      <c r="GM18" s="32" t="s">
        <v>34</v>
      </c>
      <c r="GN18" s="32" t="s">
        <v>34</v>
      </c>
      <c r="GO18" s="32" t="s">
        <v>34</v>
      </c>
      <c r="GP18" s="32" t="s">
        <v>34</v>
      </c>
      <c r="GQ18" s="32" t="s">
        <v>34</v>
      </c>
      <c r="GR18" s="32" t="s">
        <v>34</v>
      </c>
      <c r="GS18" s="32" t="s">
        <v>34</v>
      </c>
      <c r="GT18" s="32" t="s">
        <v>34</v>
      </c>
      <c r="GU18" s="32" t="s">
        <v>34</v>
      </c>
      <c r="GV18" s="32" t="s">
        <v>34</v>
      </c>
      <c r="GW18" s="32" t="s">
        <v>34</v>
      </c>
      <c r="GX18" s="32" t="s">
        <v>34</v>
      </c>
      <c r="GY18" s="32" t="s">
        <v>34</v>
      </c>
      <c r="GZ18" s="32" t="s">
        <v>34</v>
      </c>
      <c r="HA18" s="8" t="s">
        <v>34</v>
      </c>
      <c r="HB18" s="32" t="s">
        <v>34</v>
      </c>
      <c r="HC18" s="32" t="s">
        <v>34</v>
      </c>
      <c r="HD18" s="32" t="s">
        <v>34</v>
      </c>
      <c r="HE18" s="32" t="s">
        <v>34</v>
      </c>
      <c r="HF18" s="32" t="s">
        <v>34</v>
      </c>
      <c r="HG18" s="32" t="s">
        <v>34</v>
      </c>
      <c r="HH18" s="32" t="s">
        <v>34</v>
      </c>
      <c r="HI18" s="32" t="s">
        <v>34</v>
      </c>
      <c r="HJ18" s="32" t="s">
        <v>34</v>
      </c>
      <c r="HK18" s="32" t="s">
        <v>34</v>
      </c>
      <c r="HL18" s="32" t="s">
        <v>34</v>
      </c>
      <c r="HM18" s="32" t="s">
        <v>34</v>
      </c>
      <c r="HN18" s="32" t="s">
        <v>34</v>
      </c>
      <c r="HO18" s="32" t="s">
        <v>34</v>
      </c>
      <c r="HP18" s="32" t="s">
        <v>34</v>
      </c>
      <c r="HQ18" s="32" t="s">
        <v>34</v>
      </c>
      <c r="HR18" s="32" t="s">
        <v>34</v>
      </c>
      <c r="HS18" s="32" t="s">
        <v>34</v>
      </c>
      <c r="HT18" s="32" t="s">
        <v>34</v>
      </c>
      <c r="HU18" s="32" t="s">
        <v>34</v>
      </c>
      <c r="HV18" s="32" t="s">
        <v>34</v>
      </c>
      <c r="HW18" s="17" t="s">
        <v>34</v>
      </c>
      <c r="HX18" s="69"/>
      <c r="HY18" s="32" t="s">
        <v>34</v>
      </c>
      <c r="HZ18" s="32" t="s">
        <v>34</v>
      </c>
      <c r="IA18" s="32" t="s">
        <v>34</v>
      </c>
      <c r="IB18" s="32" t="s">
        <v>34</v>
      </c>
      <c r="IC18" s="32" t="s">
        <v>34</v>
      </c>
      <c r="ID18" s="32" t="s">
        <v>34</v>
      </c>
      <c r="IE18" s="32" t="s">
        <v>34</v>
      </c>
      <c r="IF18" s="32" t="s">
        <v>34</v>
      </c>
      <c r="IG18" s="32" t="s">
        <v>34</v>
      </c>
      <c r="IH18" s="32" t="s">
        <v>34</v>
      </c>
      <c r="II18" s="32" t="s">
        <v>34</v>
      </c>
      <c r="IJ18" s="32" t="s">
        <v>34</v>
      </c>
      <c r="IK18" s="32" t="s">
        <v>34</v>
      </c>
      <c r="IL18" s="32" t="s">
        <v>34</v>
      </c>
      <c r="IM18" s="32" t="s">
        <v>34</v>
      </c>
      <c r="IN18" s="32" t="s">
        <v>34</v>
      </c>
      <c r="IO18" s="32" t="s">
        <v>34</v>
      </c>
      <c r="IP18" s="32" t="s">
        <v>34</v>
      </c>
      <c r="IQ18" s="8" t="s">
        <v>34</v>
      </c>
      <c r="IR18" s="32" t="s">
        <v>34</v>
      </c>
      <c r="IS18" s="32" t="s">
        <v>34</v>
      </c>
      <c r="IT18" s="32" t="s">
        <v>34</v>
      </c>
      <c r="IU18" s="32" t="s">
        <v>34</v>
      </c>
      <c r="IV18" s="32" t="s">
        <v>34</v>
      </c>
      <c r="IW18" s="32" t="s">
        <v>34</v>
      </c>
      <c r="IX18" s="32" t="s">
        <v>34</v>
      </c>
      <c r="IY18" s="32" t="s">
        <v>34</v>
      </c>
      <c r="IZ18" s="32" t="s">
        <v>34</v>
      </c>
      <c r="JA18" s="32" t="s">
        <v>34</v>
      </c>
      <c r="JB18" s="32" t="s">
        <v>34</v>
      </c>
      <c r="JC18" s="32" t="s">
        <v>34</v>
      </c>
      <c r="JD18" s="32" t="s">
        <v>34</v>
      </c>
      <c r="JE18" s="32" t="s">
        <v>34</v>
      </c>
      <c r="JF18" s="32" t="s">
        <v>34</v>
      </c>
      <c r="JG18" s="32" t="s">
        <v>34</v>
      </c>
      <c r="JH18" s="32" t="s">
        <v>34</v>
      </c>
      <c r="JI18" s="69"/>
      <c r="JJ18" s="32" t="s">
        <v>34</v>
      </c>
      <c r="JK18" s="32" t="s">
        <v>34</v>
      </c>
      <c r="JL18" s="32" t="s">
        <v>34</v>
      </c>
      <c r="JM18" s="32" t="s">
        <v>34</v>
      </c>
      <c r="JN18" s="32" t="s">
        <v>34</v>
      </c>
      <c r="JO18" s="32" t="s">
        <v>34</v>
      </c>
      <c r="JP18" s="32" t="s">
        <v>34</v>
      </c>
      <c r="JQ18" s="32" t="s">
        <v>34</v>
      </c>
      <c r="JR18" s="32" t="s">
        <v>34</v>
      </c>
      <c r="JS18" s="32" t="s">
        <v>34</v>
      </c>
      <c r="JT18" s="32" t="s">
        <v>34</v>
      </c>
      <c r="JU18" s="69"/>
      <c r="JV18" s="32" t="s">
        <v>34</v>
      </c>
      <c r="JW18" s="32" t="s">
        <v>34</v>
      </c>
      <c r="JX18" s="32" t="s">
        <v>34</v>
      </c>
      <c r="JY18" s="32" t="s">
        <v>34</v>
      </c>
      <c r="JZ18" s="32" t="s">
        <v>34</v>
      </c>
      <c r="KA18" s="32" t="s">
        <v>34</v>
      </c>
      <c r="KB18" s="32" t="s">
        <v>34</v>
      </c>
      <c r="KC18" s="32" t="s">
        <v>34</v>
      </c>
      <c r="KD18" s="32" t="s">
        <v>34</v>
      </c>
      <c r="KE18" s="32" t="s">
        <v>34</v>
      </c>
      <c r="KF18" s="32" t="s">
        <v>34</v>
      </c>
      <c r="KG18" s="32" t="s">
        <v>34</v>
      </c>
      <c r="KH18" s="32" t="s">
        <v>34</v>
      </c>
      <c r="KI18" s="32" t="s">
        <v>34</v>
      </c>
      <c r="KJ18" s="32" t="s">
        <v>34</v>
      </c>
      <c r="KK18" s="32" t="s">
        <v>34</v>
      </c>
      <c r="KL18" s="32" t="s">
        <v>34</v>
      </c>
      <c r="KM18" s="69"/>
      <c r="KN18" s="32" t="s">
        <v>34</v>
      </c>
      <c r="KO18" s="32" t="s">
        <v>34</v>
      </c>
      <c r="KP18" s="32" t="s">
        <v>34</v>
      </c>
      <c r="KQ18" s="32" t="s">
        <v>34</v>
      </c>
      <c r="KR18" s="32" t="s">
        <v>34</v>
      </c>
      <c r="KS18" s="32" t="s">
        <v>34</v>
      </c>
      <c r="KT18" s="32" t="s">
        <v>34</v>
      </c>
      <c r="KU18" s="32" t="s">
        <v>34</v>
      </c>
      <c r="KV18" s="32" t="s">
        <v>34</v>
      </c>
      <c r="KW18" s="32" t="s">
        <v>34</v>
      </c>
      <c r="KX18" s="32" t="s">
        <v>34</v>
      </c>
      <c r="KY18" s="32" t="s">
        <v>34</v>
      </c>
      <c r="KZ18" s="32" t="s">
        <v>34</v>
      </c>
      <c r="LA18" s="32" t="s">
        <v>34</v>
      </c>
      <c r="LB18" s="32" t="s">
        <v>34</v>
      </c>
      <c r="LC18" s="32" t="s">
        <v>34</v>
      </c>
      <c r="LD18" s="32" t="s">
        <v>34</v>
      </c>
      <c r="LE18" s="32" t="s">
        <v>34</v>
      </c>
      <c r="LF18" s="32" t="s">
        <v>34</v>
      </c>
      <c r="LG18" s="32" t="s">
        <v>34</v>
      </c>
      <c r="LH18" s="69"/>
      <c r="LI18" s="32" t="s">
        <v>34</v>
      </c>
      <c r="LJ18" s="32" t="s">
        <v>34</v>
      </c>
      <c r="LK18" s="32" t="s">
        <v>34</v>
      </c>
      <c r="LL18" s="32" t="s">
        <v>34</v>
      </c>
      <c r="LM18" s="32" t="s">
        <v>34</v>
      </c>
      <c r="LN18" s="69"/>
      <c r="LO18" s="32" t="s">
        <v>34</v>
      </c>
      <c r="LP18" s="32" t="s">
        <v>34</v>
      </c>
      <c r="LQ18" s="32" t="s">
        <v>34</v>
      </c>
      <c r="LR18" s="32" t="s">
        <v>34</v>
      </c>
      <c r="LS18" s="32" t="s">
        <v>34</v>
      </c>
      <c r="LT18" s="32" t="s">
        <v>34</v>
      </c>
      <c r="LU18" s="32" t="s">
        <v>34</v>
      </c>
      <c r="LV18" s="32" t="s">
        <v>34</v>
      </c>
      <c r="LW18" s="32" t="s">
        <v>34</v>
      </c>
      <c r="LX18" s="32" t="s">
        <v>34</v>
      </c>
      <c r="LY18" s="32" t="s">
        <v>34</v>
      </c>
      <c r="LZ18" s="32" t="s">
        <v>34</v>
      </c>
      <c r="MA18" s="32" t="s">
        <v>34</v>
      </c>
      <c r="MB18" s="32" t="s">
        <v>34</v>
      </c>
      <c r="MC18" s="32" t="s">
        <v>34</v>
      </c>
      <c r="MD18" s="32" t="s">
        <v>34</v>
      </c>
      <c r="ME18" s="32" t="s">
        <v>34</v>
      </c>
      <c r="MF18" s="32" t="s">
        <v>34</v>
      </c>
      <c r="MG18" s="8" t="s">
        <v>34</v>
      </c>
      <c r="MH18" s="32" t="s">
        <v>34</v>
      </c>
      <c r="MI18" s="32" t="s">
        <v>34</v>
      </c>
      <c r="MJ18" s="32" t="s">
        <v>34</v>
      </c>
      <c r="MK18" s="32" t="s">
        <v>34</v>
      </c>
      <c r="ML18" s="32" t="s">
        <v>34</v>
      </c>
      <c r="MM18" s="32" t="s">
        <v>34</v>
      </c>
      <c r="MN18" s="32" t="s">
        <v>34</v>
      </c>
      <c r="MO18" s="32" t="s">
        <v>34</v>
      </c>
      <c r="MP18" s="32" t="s">
        <v>34</v>
      </c>
      <c r="MQ18" s="32" t="s">
        <v>34</v>
      </c>
      <c r="MR18" s="32" t="s">
        <v>34</v>
      </c>
      <c r="MS18" s="32" t="s">
        <v>34</v>
      </c>
      <c r="MT18" s="32" t="s">
        <v>34</v>
      </c>
      <c r="MU18" s="32" t="s">
        <v>34</v>
      </c>
      <c r="MV18" s="32" t="s">
        <v>34</v>
      </c>
      <c r="MW18" s="32" t="s">
        <v>34</v>
      </c>
      <c r="MX18" s="32" t="s">
        <v>34</v>
      </c>
      <c r="MY18" s="32" t="s">
        <v>34</v>
      </c>
      <c r="MZ18" s="32" t="s">
        <v>34</v>
      </c>
      <c r="NA18" s="32" t="s">
        <v>34</v>
      </c>
      <c r="NB18" s="17" t="s">
        <v>34</v>
      </c>
      <c r="NC18" s="69"/>
      <c r="ND18" s="32" t="s">
        <v>34</v>
      </c>
      <c r="NE18" s="32" t="s">
        <v>34</v>
      </c>
      <c r="NF18" s="32" t="s">
        <v>34</v>
      </c>
      <c r="NG18" s="32" t="s">
        <v>34</v>
      </c>
      <c r="NH18" s="32" t="s">
        <v>34</v>
      </c>
      <c r="NI18" s="32" t="s">
        <v>34</v>
      </c>
      <c r="NJ18" s="32" t="s">
        <v>34</v>
      </c>
      <c r="NK18" s="32" t="s">
        <v>34</v>
      </c>
      <c r="NL18" s="32" t="s">
        <v>34</v>
      </c>
      <c r="NM18" s="32" t="s">
        <v>34</v>
      </c>
      <c r="NN18" s="32" t="s">
        <v>34</v>
      </c>
      <c r="NO18" s="32" t="s">
        <v>34</v>
      </c>
      <c r="NP18" s="32" t="s">
        <v>34</v>
      </c>
      <c r="NQ18" s="32" t="s">
        <v>34</v>
      </c>
      <c r="NR18" s="32" t="s">
        <v>34</v>
      </c>
      <c r="NS18" s="32" t="s">
        <v>34</v>
      </c>
      <c r="NT18" s="32" t="s">
        <v>34</v>
      </c>
      <c r="NU18" s="32" t="s">
        <v>34</v>
      </c>
      <c r="NV18" s="8" t="s">
        <v>34</v>
      </c>
      <c r="NW18" s="32" t="s">
        <v>34</v>
      </c>
      <c r="NX18" s="32" t="s">
        <v>34</v>
      </c>
      <c r="NY18" s="32" t="s">
        <v>34</v>
      </c>
      <c r="NZ18" s="32" t="s">
        <v>34</v>
      </c>
      <c r="OA18" s="32" t="s">
        <v>34</v>
      </c>
      <c r="OB18" s="32" t="s">
        <v>34</v>
      </c>
      <c r="OC18" s="32" t="s">
        <v>34</v>
      </c>
      <c r="OD18" s="32" t="s">
        <v>34</v>
      </c>
      <c r="OE18" s="32" t="s">
        <v>34</v>
      </c>
      <c r="OF18" s="32" t="s">
        <v>34</v>
      </c>
      <c r="OG18" s="32" t="s">
        <v>34</v>
      </c>
      <c r="OH18" s="32" t="s">
        <v>34</v>
      </c>
      <c r="OI18" s="32" t="s">
        <v>34</v>
      </c>
      <c r="OJ18" s="32" t="s">
        <v>34</v>
      </c>
      <c r="OK18" s="32" t="s">
        <v>34</v>
      </c>
      <c r="OL18" s="32" t="s">
        <v>34</v>
      </c>
      <c r="OM18" s="32" t="s">
        <v>34</v>
      </c>
      <c r="ON18" s="69"/>
      <c r="OO18" s="32" t="s">
        <v>34</v>
      </c>
      <c r="OP18" s="32" t="s">
        <v>34</v>
      </c>
      <c r="OQ18" s="32" t="s">
        <v>34</v>
      </c>
      <c r="OR18" s="32" t="s">
        <v>34</v>
      </c>
      <c r="OS18" s="32" t="s">
        <v>34</v>
      </c>
      <c r="OT18" s="32" t="s">
        <v>34</v>
      </c>
      <c r="OU18" s="32" t="s">
        <v>34</v>
      </c>
      <c r="OV18" s="32" t="s">
        <v>34</v>
      </c>
      <c r="OW18" s="32" t="s">
        <v>34</v>
      </c>
      <c r="OX18" s="32" t="s">
        <v>34</v>
      </c>
      <c r="OY18" s="32" t="s">
        <v>34</v>
      </c>
    </row>
    <row r="19" spans="1:415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9"/>
      <c r="K19" s="32">
        <v>1564.2620200000001</v>
      </c>
      <c r="L19" s="32">
        <v>15.800626464646466</v>
      </c>
      <c r="M19" s="32">
        <v>0.41199999999999998</v>
      </c>
      <c r="N19" s="32">
        <v>649.76190989062502</v>
      </c>
      <c r="O19" s="32">
        <v>6.5632516150568181</v>
      </c>
      <c r="P19" s="32">
        <v>355.34328936718748</v>
      </c>
      <c r="Q19" s="32">
        <v>3.589326155224116</v>
      </c>
      <c r="R19" s="32">
        <v>502.55259962890625</v>
      </c>
      <c r="S19" s="32">
        <v>5.0762888851404675</v>
      </c>
      <c r="T19" s="32">
        <v>0.51100000000000001</v>
      </c>
      <c r="U19" s="32">
        <v>0.05</v>
      </c>
      <c r="V19" s="32">
        <v>35.51505824686555</v>
      </c>
      <c r="W19" s="32">
        <v>64.484941753134478</v>
      </c>
      <c r="X19" s="32">
        <v>61.538471524619723</v>
      </c>
      <c r="Y19" s="32">
        <v>77.657664588559513</v>
      </c>
      <c r="Z19" s="32">
        <v>0.63911059707013629</v>
      </c>
      <c r="AA19" s="32">
        <v>2.4475607620512312</v>
      </c>
      <c r="AB19" s="69"/>
      <c r="AC19" s="32">
        <v>28.060450999999997</v>
      </c>
      <c r="AD19" s="32">
        <v>0.28343889898989894</v>
      </c>
      <c r="AE19" s="32">
        <v>3.0000000000000001E-3</v>
      </c>
      <c r="AF19" s="32">
        <v>2024.1576249999996</v>
      </c>
      <c r="AG19" s="32">
        <v>20.446036616161614</v>
      </c>
      <c r="AH19" s="32">
        <v>0.107</v>
      </c>
      <c r="AI19" s="32">
        <v>1197.925482278607</v>
      </c>
      <c r="AJ19" s="32">
        <v>12.100257396753605</v>
      </c>
      <c r="AK19" s="32">
        <v>493.55149232338323</v>
      </c>
      <c r="AL19" s="32">
        <v>4.9853686093271037</v>
      </c>
      <c r="AM19" s="32">
        <v>845.73848730099508</v>
      </c>
      <c r="AN19" s="32">
        <v>8.5428130030403544</v>
      </c>
      <c r="AO19" s="32">
        <v>0.2</v>
      </c>
      <c r="AP19" s="32">
        <v>0.05</v>
      </c>
      <c r="AQ19" s="32">
        <v>29.474327908656839</v>
      </c>
      <c r="AR19" s="32">
        <v>70.525672091343154</v>
      </c>
      <c r="AS19" s="32">
        <v>76.923131609180146</v>
      </c>
      <c r="AT19" s="32">
        <v>98.937302055064009</v>
      </c>
      <c r="AU19" s="32">
        <v>0.25251339973845943</v>
      </c>
      <c r="AV19" s="32">
        <v>8.0160404441765056</v>
      </c>
      <c r="AW19" s="69"/>
      <c r="AX19" s="32">
        <v>59.33509907695197</v>
      </c>
      <c r="AY19" s="32">
        <v>25.632208632053651</v>
      </c>
      <c r="AZ19" s="32">
        <v>-117.53371868978806</v>
      </c>
      <c r="BA19" s="32">
        <v>-87.482419127988749</v>
      </c>
      <c r="BB19" s="32">
        <v>-18.589898121988668</v>
      </c>
      <c r="BC19" s="69"/>
      <c r="BD19" s="32">
        <v>1542.7297099999998</v>
      </c>
      <c r="BE19" s="32">
        <v>15.583128383838382</v>
      </c>
      <c r="BF19" s="32">
        <v>1.2999999999999999E-2</v>
      </c>
      <c r="BG19" s="32">
        <v>2554.5110100000002</v>
      </c>
      <c r="BH19" s="32">
        <v>25.803141515151516</v>
      </c>
      <c r="BI19" s="32">
        <v>6.7000000000000004E-2</v>
      </c>
      <c r="BJ19" s="32">
        <v>1633.2027837837836</v>
      </c>
      <c r="BK19" s="32">
        <v>16.496997815997815</v>
      </c>
      <c r="BL19" s="32">
        <v>214.73858733108108</v>
      </c>
      <c r="BM19" s="32">
        <v>2.1690766397078898</v>
      </c>
      <c r="BN19" s="32">
        <v>923.97068555743238</v>
      </c>
      <c r="BO19" s="32">
        <v>9.3330372278528522</v>
      </c>
      <c r="BP19" s="32">
        <v>369.09640825663723</v>
      </c>
      <c r="BQ19" s="32">
        <v>3.7282465480468407</v>
      </c>
      <c r="BR19" s="32">
        <v>1625.2518297079644</v>
      </c>
      <c r="BS19" s="32">
        <v>16.416685148565296</v>
      </c>
      <c r="BT19" s="32">
        <v>9.8000000000000004E-2</v>
      </c>
      <c r="BU19" s="32">
        <v>-283.61666308571421</v>
      </c>
      <c r="BV19" s="8">
        <v>-2.864814778643578</v>
      </c>
      <c r="BW19" s="32">
        <v>1658.8730069428573</v>
      </c>
      <c r="BX19" s="32" t="s">
        <v>34</v>
      </c>
      <c r="BY19" s="32">
        <v>4.9000000000000002E-2</v>
      </c>
      <c r="BZ19" s="32">
        <v>56822.288619999999</v>
      </c>
      <c r="CA19" s="32">
        <v>182906.07673999999</v>
      </c>
      <c r="CB19" s="32">
        <v>0.14699999999999999</v>
      </c>
      <c r="CC19" s="32" t="s">
        <v>34</v>
      </c>
      <c r="CD19" s="32">
        <v>66.666666666666671</v>
      </c>
      <c r="CE19" s="32">
        <v>14.424016552173176</v>
      </c>
      <c r="CF19" s="32">
        <v>10.921054159352087</v>
      </c>
      <c r="CG19" s="32">
        <v>18.771297300090005</v>
      </c>
      <c r="CH19" s="32">
        <v>83.060507552876558</v>
      </c>
      <c r="CI19" s="32">
        <v>14.424016552173176</v>
      </c>
      <c r="CJ19" s="32">
        <v>36.303478094536473</v>
      </c>
      <c r="CK19" s="32">
        <v>18.771297300090005</v>
      </c>
      <c r="CL19" s="32">
        <v>26.430815089273203</v>
      </c>
      <c r="CM19" s="32" t="s">
        <v>34</v>
      </c>
      <c r="CN19" s="32" t="s">
        <v>34</v>
      </c>
      <c r="CO19" s="32" t="s">
        <v>34</v>
      </c>
      <c r="CP19" s="32" t="s">
        <v>34</v>
      </c>
      <c r="CQ19" s="17" t="s">
        <v>34</v>
      </c>
      <c r="CR19" s="69"/>
      <c r="CS19" s="32" t="s">
        <v>34</v>
      </c>
      <c r="CT19" s="32" t="s">
        <v>34</v>
      </c>
      <c r="CU19" s="32" t="s">
        <v>34</v>
      </c>
      <c r="CV19" s="32" t="s">
        <v>34</v>
      </c>
      <c r="CW19" s="32" t="s">
        <v>34</v>
      </c>
      <c r="CX19" s="32" t="s">
        <v>34</v>
      </c>
      <c r="CY19" s="32" t="s">
        <v>34</v>
      </c>
      <c r="CZ19" s="32" t="s">
        <v>34</v>
      </c>
      <c r="DA19" s="32" t="s">
        <v>34</v>
      </c>
      <c r="DB19" s="32" t="s">
        <v>34</v>
      </c>
      <c r="DC19" s="32" t="s">
        <v>34</v>
      </c>
      <c r="DD19" s="32" t="s">
        <v>34</v>
      </c>
      <c r="DE19" s="32" t="s">
        <v>34</v>
      </c>
      <c r="DF19" s="32" t="s">
        <v>34</v>
      </c>
      <c r="DG19" s="32" t="s">
        <v>34</v>
      </c>
      <c r="DH19" s="32" t="s">
        <v>34</v>
      </c>
      <c r="DI19" s="32" t="s">
        <v>34</v>
      </c>
      <c r="DJ19" s="32" t="s">
        <v>34</v>
      </c>
      <c r="DK19" s="8" t="s">
        <v>34</v>
      </c>
      <c r="DL19" s="32" t="s">
        <v>34</v>
      </c>
      <c r="DM19" s="32" t="s">
        <v>34</v>
      </c>
      <c r="DN19" s="32" t="s">
        <v>34</v>
      </c>
      <c r="DO19" s="32" t="s">
        <v>34</v>
      </c>
      <c r="DP19" s="32" t="s">
        <v>34</v>
      </c>
      <c r="DQ19" s="32" t="s">
        <v>34</v>
      </c>
      <c r="DR19" s="32" t="s">
        <v>34</v>
      </c>
      <c r="DS19" s="32" t="s">
        <v>34</v>
      </c>
      <c r="DT19" s="32" t="s">
        <v>34</v>
      </c>
      <c r="DU19" s="32" t="s">
        <v>34</v>
      </c>
      <c r="DV19" s="32" t="s">
        <v>34</v>
      </c>
      <c r="DW19" s="32" t="s">
        <v>34</v>
      </c>
      <c r="DX19" s="32" t="s">
        <v>34</v>
      </c>
      <c r="DY19" s="32" t="s">
        <v>34</v>
      </c>
      <c r="DZ19" s="32" t="s">
        <v>34</v>
      </c>
      <c r="EA19" s="32" t="s">
        <v>34</v>
      </c>
      <c r="EB19" s="32" t="s">
        <v>34</v>
      </c>
      <c r="EC19" s="69"/>
      <c r="ED19" s="32" t="s">
        <v>34</v>
      </c>
      <c r="EE19" s="32" t="s">
        <v>34</v>
      </c>
      <c r="EF19" s="32" t="s">
        <v>34</v>
      </c>
      <c r="EG19" s="32" t="s">
        <v>34</v>
      </c>
      <c r="EH19" s="32" t="s">
        <v>34</v>
      </c>
      <c r="EI19" s="32" t="s">
        <v>34</v>
      </c>
      <c r="EJ19" s="32" t="s">
        <v>34</v>
      </c>
      <c r="EK19" s="32" t="s">
        <v>34</v>
      </c>
      <c r="EL19" s="32" t="s">
        <v>34</v>
      </c>
      <c r="EM19" s="32" t="s">
        <v>34</v>
      </c>
      <c r="EN19" s="32" t="s">
        <v>34</v>
      </c>
      <c r="EO19" s="69"/>
      <c r="EP19" s="32">
        <v>1498.763537</v>
      </c>
      <c r="EQ19" s="32">
        <v>15.139025626262626</v>
      </c>
      <c r="ER19" s="32">
        <v>0.41</v>
      </c>
      <c r="ES19" s="32">
        <v>535.36533058252428</v>
      </c>
      <c r="ET19" s="32">
        <v>5.4077306119446895</v>
      </c>
      <c r="EU19" s="32">
        <v>312.49771062718452</v>
      </c>
      <c r="EV19" s="32">
        <v>3.1565425315877222</v>
      </c>
      <c r="EW19" s="32">
        <v>423.93152060485443</v>
      </c>
      <c r="EX19" s="32">
        <v>4.2821365717662063</v>
      </c>
      <c r="EY19" s="32">
        <v>0.51400000000000001</v>
      </c>
      <c r="EZ19" s="32">
        <v>0.03</v>
      </c>
      <c r="FA19" s="32">
        <v>39.097654099410221</v>
      </c>
      <c r="FB19" s="32">
        <v>60.902345900589793</v>
      </c>
      <c r="FC19" s="32">
        <v>72.222235387401469</v>
      </c>
      <c r="FD19" s="32">
        <v>89.877291847749362</v>
      </c>
      <c r="FE19" s="32">
        <v>0.47548397028138406</v>
      </c>
      <c r="FF19" s="32">
        <v>3.1520800503812043</v>
      </c>
      <c r="FG19" s="69"/>
      <c r="FH19" s="32">
        <v>2028.7743390000001</v>
      </c>
      <c r="FI19" s="32">
        <v>20.49267009090909</v>
      </c>
      <c r="FJ19" s="32">
        <v>0.13100000000000001</v>
      </c>
      <c r="FK19" s="32">
        <v>2028.7743390000001</v>
      </c>
      <c r="FL19" s="32">
        <v>20.49267009090909</v>
      </c>
      <c r="FM19" s="32">
        <v>0.13100000000000001</v>
      </c>
      <c r="FN19" s="32">
        <v>1251.7900336058094</v>
      </c>
      <c r="FO19" s="32">
        <v>12.644343773796054</v>
      </c>
      <c r="FP19" s="32">
        <v>388.10570376348551</v>
      </c>
      <c r="FQ19" s="32">
        <v>3.920259633974601</v>
      </c>
      <c r="FR19" s="32">
        <v>819.94786868464746</v>
      </c>
      <c r="FS19" s="32">
        <v>8.2823017038853273</v>
      </c>
      <c r="FT19" s="32">
        <v>0.24</v>
      </c>
      <c r="FU19" s="32">
        <v>0.03</v>
      </c>
      <c r="FV19" s="32">
        <v>26.576732045361307</v>
      </c>
      <c r="FW19" s="32">
        <v>73.423267954638689</v>
      </c>
      <c r="FX19" s="32">
        <v>67.105220916352707</v>
      </c>
      <c r="FY19" s="32">
        <v>97.446410910018443</v>
      </c>
      <c r="FZ19" s="32">
        <v>0.38345661085113331</v>
      </c>
      <c r="GA19" s="32">
        <v>5.2907533253811003</v>
      </c>
      <c r="GB19" s="69"/>
      <c r="GC19" s="32">
        <v>80.174865305978727</v>
      </c>
      <c r="GD19" s="32">
        <v>30.049899994326807</v>
      </c>
      <c r="GE19" s="32">
        <v>-103.14232902033271</v>
      </c>
      <c r="GF19" s="32">
        <v>-72.679045092838209</v>
      </c>
      <c r="GG19" s="32">
        <v>-38.13030555458257</v>
      </c>
      <c r="GH19" s="69"/>
      <c r="GI19" s="32">
        <v>2642.1547310000001</v>
      </c>
      <c r="GJ19" s="32">
        <v>26.688431626262627</v>
      </c>
      <c r="GK19" s="32">
        <v>6.8000000000000005E-2</v>
      </c>
      <c r="GL19" s="32">
        <v>2642.1547310000001</v>
      </c>
      <c r="GM19" s="32">
        <v>26.688431626262627</v>
      </c>
      <c r="GN19" s="32">
        <v>6.8000000000000005E-2</v>
      </c>
      <c r="GO19" s="32">
        <v>1633.0094286470587</v>
      </c>
      <c r="GP19" s="32">
        <v>16.495044733808673</v>
      </c>
      <c r="GQ19" s="32">
        <v>182.61983071241829</v>
      </c>
      <c r="GR19" s="32">
        <v>1.8446447546708917</v>
      </c>
      <c r="GS19" s="32">
        <v>907.81462967973846</v>
      </c>
      <c r="GT19" s="32">
        <v>9.1698447442397821</v>
      </c>
      <c r="GU19" s="32">
        <v>344.3091740917431</v>
      </c>
      <c r="GV19" s="32">
        <v>3.4778704453711424</v>
      </c>
      <c r="GW19" s="32">
        <v>1601.7145193577983</v>
      </c>
      <c r="GX19" s="32">
        <v>16.17893453896766</v>
      </c>
      <c r="GY19" s="32">
        <v>0.1</v>
      </c>
      <c r="GZ19" s="32">
        <v>-217.92876993181818</v>
      </c>
      <c r="HA19" s="8">
        <v>-2.201300706382002</v>
      </c>
      <c r="HB19" s="32">
        <v>1710.535453931818</v>
      </c>
      <c r="HC19" s="32">
        <v>1.7591767488521577</v>
      </c>
      <c r="HD19" s="32">
        <v>5.1999999999999998E-2</v>
      </c>
      <c r="HE19" s="32">
        <v>73986.061048000018</v>
      </c>
      <c r="HF19" s="32">
        <v>173810.81996249995</v>
      </c>
      <c r="HG19" s="32">
        <v>0.152</v>
      </c>
      <c r="HH19" s="32" t="s">
        <v>34</v>
      </c>
      <c r="HI19" s="32">
        <v>65.789473684210535</v>
      </c>
      <c r="HJ19" s="32">
        <v>11.082804509288108</v>
      </c>
      <c r="HK19" s="32">
        <v>9.2871624243932374</v>
      </c>
      <c r="HL19" s="32">
        <v>17.509901370099463</v>
      </c>
      <c r="HM19" s="32">
        <v>83.046971105200626</v>
      </c>
      <c r="HN19" s="32">
        <v>11.082804509288108</v>
      </c>
      <c r="HO19" s="32">
        <v>33.932971413529543</v>
      </c>
      <c r="HP19" s="32">
        <v>17.509901370099463</v>
      </c>
      <c r="HQ19" s="32">
        <v>24.11003122400248</v>
      </c>
      <c r="HR19" s="32">
        <v>65.789473684210535</v>
      </c>
      <c r="HS19" s="32" t="s">
        <v>34</v>
      </c>
      <c r="HT19" s="32" t="s">
        <v>34</v>
      </c>
      <c r="HU19" s="32" t="s">
        <v>34</v>
      </c>
      <c r="HV19" s="32" t="s">
        <v>34</v>
      </c>
      <c r="HW19" s="17" t="s">
        <v>34</v>
      </c>
      <c r="HX19" s="69"/>
      <c r="HY19" s="32" t="s">
        <v>34</v>
      </c>
      <c r="HZ19" s="32" t="s">
        <v>34</v>
      </c>
      <c r="IA19" s="32" t="s">
        <v>34</v>
      </c>
      <c r="IB19" s="32" t="s">
        <v>34</v>
      </c>
      <c r="IC19" s="32" t="s">
        <v>34</v>
      </c>
      <c r="ID19" s="32" t="s">
        <v>34</v>
      </c>
      <c r="IE19" s="32" t="s">
        <v>34</v>
      </c>
      <c r="IF19" s="32" t="s">
        <v>34</v>
      </c>
      <c r="IG19" s="32" t="s">
        <v>34</v>
      </c>
      <c r="IH19" s="32" t="s">
        <v>34</v>
      </c>
      <c r="II19" s="32" t="s">
        <v>34</v>
      </c>
      <c r="IJ19" s="32" t="s">
        <v>34</v>
      </c>
      <c r="IK19" s="32" t="s">
        <v>34</v>
      </c>
      <c r="IL19" s="32" t="s">
        <v>34</v>
      </c>
      <c r="IM19" s="32" t="s">
        <v>34</v>
      </c>
      <c r="IN19" s="32" t="s">
        <v>34</v>
      </c>
      <c r="IO19" s="32" t="s">
        <v>34</v>
      </c>
      <c r="IP19" s="32" t="s">
        <v>34</v>
      </c>
      <c r="IQ19" s="8" t="s">
        <v>34</v>
      </c>
      <c r="IR19" s="32" t="s">
        <v>34</v>
      </c>
      <c r="IS19" s="32" t="s">
        <v>34</v>
      </c>
      <c r="IT19" s="32" t="s">
        <v>34</v>
      </c>
      <c r="IU19" s="32" t="s">
        <v>34</v>
      </c>
      <c r="IV19" s="32" t="s">
        <v>34</v>
      </c>
      <c r="IW19" s="32" t="s">
        <v>34</v>
      </c>
      <c r="IX19" s="32" t="s">
        <v>34</v>
      </c>
      <c r="IY19" s="32" t="s">
        <v>34</v>
      </c>
      <c r="IZ19" s="32" t="s">
        <v>34</v>
      </c>
      <c r="JA19" s="32" t="s">
        <v>34</v>
      </c>
      <c r="JB19" s="32" t="s">
        <v>34</v>
      </c>
      <c r="JC19" s="32" t="s">
        <v>34</v>
      </c>
      <c r="JD19" s="32" t="s">
        <v>34</v>
      </c>
      <c r="JE19" s="32" t="s">
        <v>34</v>
      </c>
      <c r="JF19" s="32" t="s">
        <v>34</v>
      </c>
      <c r="JG19" s="32" t="s">
        <v>34</v>
      </c>
      <c r="JH19" s="32" t="s">
        <v>34</v>
      </c>
      <c r="JI19" s="69"/>
      <c r="JJ19" s="32" t="s">
        <v>34</v>
      </c>
      <c r="JK19" s="32" t="s">
        <v>34</v>
      </c>
      <c r="JL19" s="32" t="s">
        <v>34</v>
      </c>
      <c r="JM19" s="32" t="s">
        <v>34</v>
      </c>
      <c r="JN19" s="32" t="s">
        <v>34</v>
      </c>
      <c r="JO19" s="32" t="s">
        <v>34</v>
      </c>
      <c r="JP19" s="32" t="s">
        <v>34</v>
      </c>
      <c r="JQ19" s="32" t="s">
        <v>34</v>
      </c>
      <c r="JR19" s="32" t="s">
        <v>34</v>
      </c>
      <c r="JS19" s="32" t="s">
        <v>34</v>
      </c>
      <c r="JT19" s="32" t="s">
        <v>34</v>
      </c>
      <c r="JU19" s="69"/>
      <c r="JV19" s="32">
        <v>1537.9688609999998</v>
      </c>
      <c r="JW19" s="32">
        <v>15.535038999999998</v>
      </c>
      <c r="JX19" s="32">
        <v>0.40300000000000002</v>
      </c>
      <c r="JY19" s="32">
        <v>586.2921359980545</v>
      </c>
      <c r="JZ19" s="32">
        <v>5.9221427878591362</v>
      </c>
      <c r="KA19" s="32">
        <v>299.82357517704281</v>
      </c>
      <c r="KB19" s="32">
        <v>3.0285209613842707</v>
      </c>
      <c r="KC19" s="32">
        <v>443.05785558754866</v>
      </c>
      <c r="KD19" s="32">
        <v>4.4753318746217037</v>
      </c>
      <c r="KE19" s="32">
        <v>0.51300000000000001</v>
      </c>
      <c r="KF19" s="32">
        <v>3.5000000000000003E-2</v>
      </c>
      <c r="KG19" s="32">
        <v>35.02901287158415</v>
      </c>
      <c r="KH19" s="32">
        <v>64.970987128415842</v>
      </c>
      <c r="KI19" s="32">
        <v>54.971853838880847</v>
      </c>
      <c r="KJ19" s="32">
        <v>93.607279921952369</v>
      </c>
      <c r="KK19" s="32">
        <v>0.52796669931676965</v>
      </c>
      <c r="KL19" s="32">
        <v>2.9130035341059433</v>
      </c>
      <c r="KM19" s="69"/>
      <c r="KN19" s="32">
        <v>1929.8233149999999</v>
      </c>
      <c r="KO19" s="32">
        <v>19.493164797979798</v>
      </c>
      <c r="KP19" s="32">
        <v>0.13600000000000001</v>
      </c>
      <c r="KQ19" s="32">
        <v>1929.8233149999999</v>
      </c>
      <c r="KR19" s="32">
        <v>19.493164797979798</v>
      </c>
      <c r="KS19" s="32">
        <v>0.13600000000000001</v>
      </c>
      <c r="KT19" s="32">
        <v>1201.1721355753966</v>
      </c>
      <c r="KU19" s="32">
        <v>12.133051874498955</v>
      </c>
      <c r="KV19" s="32">
        <v>366.64091184920636</v>
      </c>
      <c r="KW19" s="32">
        <v>3.7034435540323876</v>
      </c>
      <c r="KX19" s="32">
        <v>783.90652371230146</v>
      </c>
      <c r="KY19" s="32">
        <v>7.9182477142656715</v>
      </c>
      <c r="KZ19" s="32">
        <v>0.251</v>
      </c>
      <c r="LA19" s="32">
        <v>3.5000000000000003E-2</v>
      </c>
      <c r="LB19" s="32">
        <v>24.704301726900443</v>
      </c>
      <c r="LC19" s="32">
        <v>75.295698273099546</v>
      </c>
      <c r="LD19" s="32">
        <v>56.140403785894058</v>
      </c>
      <c r="LE19" s="32">
        <v>98.473836726063269</v>
      </c>
      <c r="LF19" s="32">
        <v>0.40207268751922898</v>
      </c>
      <c r="LG19" s="32">
        <v>4.7996876557493273</v>
      </c>
      <c r="LH19" s="69"/>
      <c r="LI19" s="32">
        <v>68.799137342877543</v>
      </c>
      <c r="LJ19" s="32">
        <v>22.599650389199105</v>
      </c>
      <c r="LK19" s="32">
        <v>-99.072356215213347</v>
      </c>
      <c r="LL19" s="32">
        <v>-68.586387434554979</v>
      </c>
      <c r="LM19" s="32">
        <v>-34.569356192886168</v>
      </c>
      <c r="LN19" s="69"/>
      <c r="LO19" s="32">
        <v>2534.2952999999998</v>
      </c>
      <c r="LP19" s="32">
        <v>25.598942424242423</v>
      </c>
      <c r="LQ19" s="32">
        <v>3.2000000000000001E-2</v>
      </c>
      <c r="LR19" s="32">
        <v>2662.8574909999998</v>
      </c>
      <c r="LS19" s="32">
        <v>26.89755041414141</v>
      </c>
      <c r="LT19" s="32">
        <v>6.7000000000000004E-2</v>
      </c>
      <c r="LU19" s="32">
        <v>1765.2289525192307</v>
      </c>
      <c r="LV19" s="32">
        <v>17.83059547999223</v>
      </c>
      <c r="LW19" s="32">
        <v>136.91851139743591</v>
      </c>
      <c r="LX19" s="32">
        <v>1.3830152666407667</v>
      </c>
      <c r="LY19" s="32">
        <v>951.07373195833327</v>
      </c>
      <c r="LZ19" s="32">
        <v>9.6068053733164973</v>
      </c>
      <c r="MA19" s="32">
        <v>334.24296324242425</v>
      </c>
      <c r="MB19" s="32">
        <v>3.3761915479032751</v>
      </c>
      <c r="MC19" s="32">
        <v>1519.6584306767677</v>
      </c>
      <c r="MD19" s="32">
        <v>15.350085158351188</v>
      </c>
      <c r="ME19" s="32">
        <v>9.0999999999999998E-2</v>
      </c>
      <c r="MF19" s="32">
        <v>-205.80290496491227</v>
      </c>
      <c r="MG19" s="8">
        <v>-2.0788172218678009</v>
      </c>
      <c r="MH19" s="32">
        <v>2191.7461746666663</v>
      </c>
      <c r="MI19" s="32">
        <v>0.95703934626971476</v>
      </c>
      <c r="MJ19" s="32">
        <v>6.4000000000000001E-2</v>
      </c>
      <c r="MK19" s="32">
        <v>123530.57592999999</v>
      </c>
      <c r="ML19" s="32">
        <v>149347.13829449998</v>
      </c>
      <c r="MM19" s="32">
        <v>0.155</v>
      </c>
      <c r="MN19" s="32" t="s">
        <v>34</v>
      </c>
      <c r="MO19" s="32">
        <v>58.709677419354833</v>
      </c>
      <c r="MP19" s="32">
        <v>9.9431803569148247</v>
      </c>
      <c r="MQ19" s="32">
        <v>6.615093471382786</v>
      </c>
      <c r="MR19" s="32">
        <v>16.148645069493533</v>
      </c>
      <c r="MS19" s="32">
        <v>85.285432920099055</v>
      </c>
      <c r="MT19" s="32">
        <v>9.9431803569148247</v>
      </c>
      <c r="MU19" s="32">
        <v>28.091883132571887</v>
      </c>
      <c r="MV19" s="32">
        <v>16.148645069493533</v>
      </c>
      <c r="MW19" s="32">
        <v>23.641624425063025</v>
      </c>
      <c r="MX19" s="32" t="s">
        <v>34</v>
      </c>
      <c r="MY19" s="32" t="s">
        <v>34</v>
      </c>
      <c r="MZ19" s="32" t="s">
        <v>34</v>
      </c>
      <c r="NA19" s="32" t="s">
        <v>34</v>
      </c>
      <c r="NB19" s="17" t="s">
        <v>34</v>
      </c>
      <c r="NC19" s="69"/>
      <c r="ND19" s="32" t="s">
        <v>34</v>
      </c>
      <c r="NE19" s="32" t="s">
        <v>34</v>
      </c>
      <c r="NF19" s="32" t="s">
        <v>34</v>
      </c>
      <c r="NG19" s="32" t="s">
        <v>34</v>
      </c>
      <c r="NH19" s="32" t="s">
        <v>34</v>
      </c>
      <c r="NI19" s="32" t="s">
        <v>34</v>
      </c>
      <c r="NJ19" s="32" t="s">
        <v>34</v>
      </c>
      <c r="NK19" s="32" t="s">
        <v>34</v>
      </c>
      <c r="NL19" s="32" t="s">
        <v>34</v>
      </c>
      <c r="NM19" s="32" t="s">
        <v>34</v>
      </c>
      <c r="NN19" s="32" t="s">
        <v>34</v>
      </c>
      <c r="NO19" s="32" t="s">
        <v>34</v>
      </c>
      <c r="NP19" s="32" t="s">
        <v>34</v>
      </c>
      <c r="NQ19" s="32" t="s">
        <v>34</v>
      </c>
      <c r="NR19" s="32" t="s">
        <v>34</v>
      </c>
      <c r="NS19" s="32" t="s">
        <v>34</v>
      </c>
      <c r="NT19" s="32" t="s">
        <v>34</v>
      </c>
      <c r="NU19" s="32" t="s">
        <v>34</v>
      </c>
      <c r="NV19" s="8" t="s">
        <v>34</v>
      </c>
      <c r="NW19" s="32" t="s">
        <v>34</v>
      </c>
      <c r="NX19" s="32" t="s">
        <v>34</v>
      </c>
      <c r="NY19" s="32" t="s">
        <v>34</v>
      </c>
      <c r="NZ19" s="32" t="s">
        <v>34</v>
      </c>
      <c r="OA19" s="32" t="s">
        <v>34</v>
      </c>
      <c r="OB19" s="32" t="s">
        <v>34</v>
      </c>
      <c r="OC19" s="32" t="s">
        <v>34</v>
      </c>
      <c r="OD19" s="32" t="s">
        <v>34</v>
      </c>
      <c r="OE19" s="32" t="s">
        <v>34</v>
      </c>
      <c r="OF19" s="32" t="s">
        <v>34</v>
      </c>
      <c r="OG19" s="32" t="s">
        <v>34</v>
      </c>
      <c r="OH19" s="32" t="s">
        <v>34</v>
      </c>
      <c r="OI19" s="32" t="s">
        <v>34</v>
      </c>
      <c r="OJ19" s="32" t="s">
        <v>34</v>
      </c>
      <c r="OK19" s="32" t="s">
        <v>34</v>
      </c>
      <c r="OL19" s="32" t="s">
        <v>34</v>
      </c>
      <c r="OM19" s="32" t="s">
        <v>34</v>
      </c>
      <c r="ON19" s="69"/>
      <c r="OO19" s="32" t="s">
        <v>34</v>
      </c>
      <c r="OP19" s="32" t="s">
        <v>34</v>
      </c>
      <c r="OQ19" s="32" t="s">
        <v>34</v>
      </c>
      <c r="OR19" s="32" t="s">
        <v>34</v>
      </c>
      <c r="OS19" s="32" t="s">
        <v>34</v>
      </c>
      <c r="OT19" s="32" t="s">
        <v>34</v>
      </c>
      <c r="OU19" s="32" t="s">
        <v>34</v>
      </c>
      <c r="OV19" s="32" t="s">
        <v>34</v>
      </c>
      <c r="OW19" s="32" t="s">
        <v>34</v>
      </c>
      <c r="OX19" s="32" t="s">
        <v>34</v>
      </c>
      <c r="OY19" s="32" t="s">
        <v>34</v>
      </c>
    </row>
    <row r="20" spans="1:415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9"/>
      <c r="K20" s="32">
        <v>1474.7967769999998</v>
      </c>
      <c r="L20" s="32">
        <v>15.524176599999997</v>
      </c>
      <c r="M20" s="32">
        <v>0.19800000000000001</v>
      </c>
      <c r="N20" s="32">
        <v>767.6666054214287</v>
      </c>
      <c r="O20" s="32">
        <v>8.08070110969925</v>
      </c>
      <c r="P20" s="32">
        <v>492.91563678928566</v>
      </c>
      <c r="Q20" s="32">
        <v>5.1885856504135335</v>
      </c>
      <c r="R20" s="32">
        <v>630.29112110535721</v>
      </c>
      <c r="S20" s="32">
        <v>6.6346433800563913</v>
      </c>
      <c r="T20" s="32">
        <v>0.27900000000000003</v>
      </c>
      <c r="U20" s="32">
        <v>6.7000000000000004E-2</v>
      </c>
      <c r="V20" s="32">
        <v>39.010856111922742</v>
      </c>
      <c r="W20" s="32">
        <v>60.989143888077251</v>
      </c>
      <c r="X20" s="32">
        <v>50.917293587859966</v>
      </c>
      <c r="Y20" s="32">
        <v>80.668643108105812</v>
      </c>
      <c r="Z20" s="32">
        <v>0.29432348760809951</v>
      </c>
      <c r="AA20" s="32">
        <v>5.0108021924629256</v>
      </c>
      <c r="AB20" s="69"/>
      <c r="AC20" s="32">
        <v>576.79018000000008</v>
      </c>
      <c r="AD20" s="32">
        <v>6.0714755789473696</v>
      </c>
      <c r="AE20" s="32">
        <v>1.7000000000000001E-2</v>
      </c>
      <c r="AF20" s="32">
        <v>2211.4557899999995</v>
      </c>
      <c r="AG20" s="32">
        <v>23.278481999999993</v>
      </c>
      <c r="AH20" s="32">
        <v>0.10299999999999999</v>
      </c>
      <c r="AI20" s="32">
        <v>1250.5216969740934</v>
      </c>
      <c r="AJ20" s="32">
        <v>13.163386283937825</v>
      </c>
      <c r="AK20" s="32">
        <v>565.27652275129549</v>
      </c>
      <c r="AL20" s="32">
        <v>5.9502791868557416</v>
      </c>
      <c r="AM20" s="32">
        <v>907.89910986269444</v>
      </c>
      <c r="AN20" s="32">
        <v>9.5568327353967835</v>
      </c>
      <c r="AO20" s="32">
        <v>0.192</v>
      </c>
      <c r="AP20" s="32">
        <v>6.7000000000000004E-2</v>
      </c>
      <c r="AQ20" s="32">
        <v>33.490412478485936</v>
      </c>
      <c r="AR20" s="32">
        <v>66.509587521514064</v>
      </c>
      <c r="AS20" s="32">
        <v>51.761605767890551</v>
      </c>
      <c r="AT20" s="32">
        <v>96.527407566513034</v>
      </c>
      <c r="AU20" s="32">
        <v>0.25606596168098039</v>
      </c>
      <c r="AV20" s="32">
        <v>8.6362739330233218</v>
      </c>
      <c r="AW20" s="69"/>
      <c r="AX20" s="32">
        <v>-47.850350829952973</v>
      </c>
      <c r="AY20" s="32">
        <v>-39.967907765990027</v>
      </c>
      <c r="AZ20" s="32">
        <v>63.122923588039882</v>
      </c>
      <c r="BA20" s="32">
        <v>36.942675159235677</v>
      </c>
      <c r="BB20" s="32">
        <v>15.228543557283672</v>
      </c>
      <c r="BC20" s="69"/>
      <c r="BD20" s="32">
        <v>1509.5116390000003</v>
      </c>
      <c r="BE20" s="32">
        <v>15.889596200000003</v>
      </c>
      <c r="BF20" s="32">
        <v>1.2999999999999999E-2</v>
      </c>
      <c r="BG20" s="32">
        <v>2264.8715509999997</v>
      </c>
      <c r="BH20" s="32">
        <v>23.840753168421049</v>
      </c>
      <c r="BI20" s="32">
        <v>6.7000000000000004E-2</v>
      </c>
      <c r="BJ20" s="32">
        <v>1347.3384359271522</v>
      </c>
      <c r="BK20" s="32">
        <v>14.18250985186476</v>
      </c>
      <c r="BL20" s="32">
        <v>263.18765664900667</v>
      </c>
      <c r="BM20" s="32">
        <v>2.7703963857790175</v>
      </c>
      <c r="BN20" s="32">
        <v>805.26304628807941</v>
      </c>
      <c r="BO20" s="32">
        <v>8.4764531188218886</v>
      </c>
      <c r="BP20" s="32">
        <v>430.20799782644627</v>
      </c>
      <c r="BQ20" s="32">
        <v>4.5285052402783821</v>
      </c>
      <c r="BR20" s="32">
        <v>1367.4554930826446</v>
      </c>
      <c r="BS20" s="32">
        <v>14.394268348238365</v>
      </c>
      <c r="BT20" s="32">
        <v>0.10299999999999999</v>
      </c>
      <c r="BU20" s="32">
        <v>-410.46105276666657</v>
      </c>
      <c r="BV20" s="8">
        <v>-4.3206426607017532</v>
      </c>
      <c r="BW20" s="32">
        <v>1266.1996387333334</v>
      </c>
      <c r="BX20" s="32" t="s">
        <v>34</v>
      </c>
      <c r="BY20" s="32">
        <v>4.7E-2</v>
      </c>
      <c r="BZ20" s="32">
        <v>36898.285959500005</v>
      </c>
      <c r="CA20" s="32">
        <v>164883.75555400003</v>
      </c>
      <c r="CB20" s="32">
        <v>0.15</v>
      </c>
      <c r="CC20" s="32">
        <v>9.0999999999999998E-2</v>
      </c>
      <c r="CD20" s="32">
        <v>68.666666666666671</v>
      </c>
      <c r="CE20" s="32">
        <v>23.728091916857252</v>
      </c>
      <c r="CF20" s="32">
        <v>15.214454249085446</v>
      </c>
      <c r="CG20" s="32">
        <v>24.869630984443141</v>
      </c>
      <c r="CH20" s="32">
        <v>77.887463464086338</v>
      </c>
      <c r="CI20" s="32">
        <v>23.728091916857252</v>
      </c>
      <c r="CJ20" s="32">
        <v>45.399818496207807</v>
      </c>
      <c r="CK20" s="32">
        <v>24.869630984443141</v>
      </c>
      <c r="CL20" s="32">
        <v>25.930297575445966</v>
      </c>
      <c r="CM20" s="32" t="s">
        <v>34</v>
      </c>
      <c r="CN20" s="32" t="s">
        <v>34</v>
      </c>
      <c r="CO20" s="32" t="s">
        <v>34</v>
      </c>
      <c r="CP20" s="32" t="s">
        <v>34</v>
      </c>
      <c r="CQ20" s="17" t="s">
        <v>34</v>
      </c>
      <c r="CR20" s="69"/>
      <c r="CS20" s="32">
        <v>2113.8392709999998</v>
      </c>
      <c r="CT20" s="32">
        <v>22.250939694736839</v>
      </c>
      <c r="CU20" s="32">
        <v>1.4E-2</v>
      </c>
      <c r="CV20" s="32">
        <v>2403.226255</v>
      </c>
      <c r="CW20" s="32">
        <v>25.297118473684211</v>
      </c>
      <c r="CX20" s="32">
        <v>6.6000000000000003E-2</v>
      </c>
      <c r="CY20" s="32">
        <v>1538.1435155294121</v>
      </c>
      <c r="CZ20" s="32">
        <v>16.19098437399381</v>
      </c>
      <c r="DA20" s="32">
        <v>218.19091159477125</v>
      </c>
      <c r="DB20" s="32">
        <v>2.2967464378396976</v>
      </c>
      <c r="DC20" s="32">
        <v>878.16721356209166</v>
      </c>
      <c r="DD20" s="32">
        <v>9.243865405916754</v>
      </c>
      <c r="DE20" s="32">
        <v>404.26136366666657</v>
      </c>
      <c r="DF20" s="32">
        <v>4.2553827754385951</v>
      </c>
      <c r="DG20" s="32">
        <v>1495.7274273333337</v>
      </c>
      <c r="DH20" s="32">
        <v>15.744499235087723</v>
      </c>
      <c r="DI20" s="32">
        <v>0.10299999999999999</v>
      </c>
      <c r="DJ20" s="32">
        <v>-458.42891412121207</v>
      </c>
      <c r="DK20" s="8">
        <v>-4.82556751706539</v>
      </c>
      <c r="DL20" s="32">
        <v>1692.383836242424</v>
      </c>
      <c r="DM20" s="32">
        <v>-2.3250369763955341</v>
      </c>
      <c r="DN20" s="32">
        <v>4.8000000000000001E-2</v>
      </c>
      <c r="DO20" s="32">
        <v>54732.370980999993</v>
      </c>
      <c r="DP20" s="32">
        <v>179489.455326</v>
      </c>
      <c r="DQ20" s="32">
        <v>0.152</v>
      </c>
      <c r="DR20" s="32">
        <v>9.0999999999999998E-2</v>
      </c>
      <c r="DS20" s="32">
        <v>67.763157894736835</v>
      </c>
      <c r="DT20" s="32">
        <v>11.165868838522213</v>
      </c>
      <c r="DU20" s="32">
        <v>23.459992395880729</v>
      </c>
      <c r="DV20" s="32">
        <v>20.687980677983017</v>
      </c>
      <c r="DW20" s="32">
        <v>78.71413444168607</v>
      </c>
      <c r="DX20" s="32">
        <v>11.165868838522213</v>
      </c>
      <c r="DY20" s="32">
        <v>23.459992395880729</v>
      </c>
      <c r="DZ20" s="32">
        <v>20.687980677983017</v>
      </c>
      <c r="EA20" s="32">
        <v>0.21979592745653653</v>
      </c>
      <c r="EB20" s="32">
        <v>10.93389801535438</v>
      </c>
      <c r="EC20" s="69"/>
      <c r="ED20" s="32">
        <v>-13.225179211808499</v>
      </c>
      <c r="EE20" s="32">
        <v>-11.041182009812587</v>
      </c>
      <c r="EF20" s="32">
        <v>6.218714636413611</v>
      </c>
      <c r="EG20" s="32">
        <v>-5.9276694598031021</v>
      </c>
      <c r="EH20" s="32">
        <v>1.5037593984962419</v>
      </c>
      <c r="EI20" s="32">
        <v>-33.357389168801184</v>
      </c>
      <c r="EJ20" s="32">
        <v>-1.3245033112582794</v>
      </c>
      <c r="EK20" s="32">
        <v>-136.80260826978747</v>
      </c>
      <c r="EL20" s="32">
        <v>30.693978971509139</v>
      </c>
      <c r="EM20" s="32">
        <v>1.136301779914183</v>
      </c>
      <c r="EN20" s="32">
        <v>18.357636205538665</v>
      </c>
      <c r="EO20" s="69"/>
      <c r="EP20" s="32">
        <v>1655.9994790000001</v>
      </c>
      <c r="EQ20" s="32">
        <v>17.431573463157896</v>
      </c>
      <c r="ER20" s="32">
        <v>0.38200000000000001</v>
      </c>
      <c r="ES20" s="32">
        <v>579.77264442430715</v>
      </c>
      <c r="ET20" s="32">
        <v>6.1028699413084961</v>
      </c>
      <c r="EU20" s="32">
        <v>337.57488946908319</v>
      </c>
      <c r="EV20" s="32">
        <v>3.5534198891482442</v>
      </c>
      <c r="EW20" s="32">
        <v>458.6737669466952</v>
      </c>
      <c r="EX20" s="32">
        <v>4.8281449152283704</v>
      </c>
      <c r="EY20" s="32">
        <v>0.46800000000000003</v>
      </c>
      <c r="EZ20" s="32">
        <v>7.8E-2</v>
      </c>
      <c r="FA20" s="32">
        <v>37.954462696475026</v>
      </c>
      <c r="FB20" s="32">
        <v>62.045537303524974</v>
      </c>
      <c r="FC20" s="32">
        <v>54.01459607812027</v>
      </c>
      <c r="FD20" s="32">
        <v>78.612694529705436</v>
      </c>
      <c r="FE20" s="32">
        <v>0.46882624396712969</v>
      </c>
      <c r="FF20" s="32">
        <v>3.5322243588311268</v>
      </c>
      <c r="FG20" s="69"/>
      <c r="FH20" s="32">
        <v>2185.7036320000002</v>
      </c>
      <c r="FI20" s="32">
        <v>23.00740665263158</v>
      </c>
      <c r="FJ20" s="32">
        <v>0.107</v>
      </c>
      <c r="FK20" s="32">
        <v>2185.7036320000002</v>
      </c>
      <c r="FL20" s="32">
        <v>23.00740665263158</v>
      </c>
      <c r="FM20" s="32">
        <v>0.107</v>
      </c>
      <c r="FN20" s="32">
        <v>1334.9188750869566</v>
      </c>
      <c r="FO20" s="32">
        <v>14.05177763249428</v>
      </c>
      <c r="FP20" s="32">
        <v>560.53335765217389</v>
      </c>
      <c r="FQ20" s="32">
        <v>5.9003511331807781</v>
      </c>
      <c r="FR20" s="32">
        <v>947.72611636956526</v>
      </c>
      <c r="FS20" s="32">
        <v>9.9760643828375297</v>
      </c>
      <c r="FT20" s="32">
        <v>0.183</v>
      </c>
      <c r="FU20" s="32">
        <v>7.8E-2</v>
      </c>
      <c r="FV20" s="32">
        <v>29.943154523821814</v>
      </c>
      <c r="FW20" s="32">
        <v>70.056845476178182</v>
      </c>
      <c r="FX20" s="32">
        <v>98.54545412645696</v>
      </c>
      <c r="FY20" s="32">
        <v>99.151376440534634</v>
      </c>
      <c r="FZ20" s="32">
        <v>0.2239958135436485</v>
      </c>
      <c r="GA20" s="32">
        <v>9.7577878685401735</v>
      </c>
      <c r="GB20" s="69"/>
      <c r="GC20" s="32">
        <v>-78.879153426804223</v>
      </c>
      <c r="GD20" s="32">
        <v>-27.576527269027689</v>
      </c>
      <c r="GE20" s="32">
        <v>112.47443762781187</v>
      </c>
      <c r="GF20" s="32">
        <v>87.557603686635957</v>
      </c>
      <c r="GG20" s="32">
        <v>23.598201234839117</v>
      </c>
      <c r="GH20" s="69"/>
      <c r="GI20" s="32">
        <v>1590.7895100000003</v>
      </c>
      <c r="GJ20" s="32">
        <v>16.745152736842108</v>
      </c>
      <c r="GK20" s="32">
        <v>1.2999999999999999E-2</v>
      </c>
      <c r="GL20" s="32">
        <v>2392.0813989999997</v>
      </c>
      <c r="GM20" s="32">
        <v>25.179804199999996</v>
      </c>
      <c r="GN20" s="32">
        <v>4.3999999999999997E-2</v>
      </c>
      <c r="GO20" s="32">
        <v>1466.9967070259738</v>
      </c>
      <c r="GP20" s="32">
        <v>15.442070600273409</v>
      </c>
      <c r="GQ20" s="32">
        <v>219.67060456493508</v>
      </c>
      <c r="GR20" s="32">
        <v>2.3123221533151059</v>
      </c>
      <c r="GS20" s="32">
        <v>843.33365579545443</v>
      </c>
      <c r="GT20" s="32">
        <v>8.8771963767942577</v>
      </c>
      <c r="GU20" s="32">
        <v>368.86149140163934</v>
      </c>
      <c r="GV20" s="32">
        <v>3.882752541069888</v>
      </c>
      <c r="GW20" s="32">
        <v>1463.5924996147537</v>
      </c>
      <c r="GX20" s="32">
        <v>15.40623683805004</v>
      </c>
      <c r="GY20" s="32">
        <v>0.105</v>
      </c>
      <c r="GZ20" s="32">
        <v>-349.11965149999997</v>
      </c>
      <c r="HA20" s="8">
        <v>-3.6749436999999996</v>
      </c>
      <c r="HB20" s="32">
        <v>1479.9752477812499</v>
      </c>
      <c r="HC20" s="32">
        <v>2.0036874927631576</v>
      </c>
      <c r="HD20" s="32">
        <v>4.8000000000000001E-2</v>
      </c>
      <c r="HE20" s="32">
        <v>46208.206410499995</v>
      </c>
      <c r="HF20" s="32">
        <v>177884.05866400001</v>
      </c>
      <c r="HG20" s="32">
        <v>0.153</v>
      </c>
      <c r="HH20" s="32">
        <v>0.106</v>
      </c>
      <c r="HI20" s="32">
        <v>68.627450980392155</v>
      </c>
      <c r="HJ20" s="32">
        <v>18.717869653072206</v>
      </c>
      <c r="HK20" s="32">
        <v>11.777525914659156</v>
      </c>
      <c r="HL20" s="32">
        <v>19.776318194719842</v>
      </c>
      <c r="HM20" s="32">
        <v>78.652270147555228</v>
      </c>
      <c r="HN20" s="32">
        <v>18.717869653072206</v>
      </c>
      <c r="HO20" s="32">
        <v>38.354687149985125</v>
      </c>
      <c r="HP20" s="32">
        <v>19.776318194719842</v>
      </c>
      <c r="HQ20" s="32">
        <v>26.091314444439348</v>
      </c>
      <c r="HR20" s="32">
        <v>68.627450980392155</v>
      </c>
      <c r="HS20" s="32" t="s">
        <v>34</v>
      </c>
      <c r="HT20" s="32" t="s">
        <v>34</v>
      </c>
      <c r="HU20" s="32" t="s">
        <v>34</v>
      </c>
      <c r="HV20" s="32" t="s">
        <v>34</v>
      </c>
      <c r="HW20" s="17" t="s">
        <v>34</v>
      </c>
      <c r="HX20" s="69"/>
      <c r="HY20" s="32">
        <v>2019.8115090000001</v>
      </c>
      <c r="HZ20" s="32">
        <v>21.26117377894737</v>
      </c>
      <c r="IA20" s="32">
        <v>3.3000000000000002E-2</v>
      </c>
      <c r="IB20" s="32">
        <v>2019.8115090000001</v>
      </c>
      <c r="IC20" s="32">
        <v>21.26117377894737</v>
      </c>
      <c r="ID20" s="32">
        <v>3.3000000000000002E-2</v>
      </c>
      <c r="IE20" s="32">
        <v>1108.1548223228347</v>
      </c>
      <c r="IF20" s="32">
        <v>11.66478760339826</v>
      </c>
      <c r="IG20" s="32">
        <v>241.60726032283466</v>
      </c>
      <c r="IH20" s="32">
        <v>2.5432343191877331</v>
      </c>
      <c r="II20" s="32">
        <v>674.88104132283468</v>
      </c>
      <c r="IJ20" s="32">
        <v>7.1040109612929969</v>
      </c>
      <c r="IK20" s="32">
        <v>341.75748196363639</v>
      </c>
      <c r="IL20" s="32">
        <v>3.5974471785645936</v>
      </c>
      <c r="IM20" s="32">
        <v>1110.4845063636365</v>
      </c>
      <c r="IN20" s="32">
        <v>11.689310593301437</v>
      </c>
      <c r="IO20" s="32">
        <v>0.109</v>
      </c>
      <c r="IP20" s="32">
        <v>-406.42358558823526</v>
      </c>
      <c r="IQ20" s="8">
        <v>-4.2781430061919501</v>
      </c>
      <c r="IR20" s="32">
        <v>1093.0803961764705</v>
      </c>
      <c r="IS20" s="32">
        <v>-2.7730373510835911</v>
      </c>
      <c r="IT20" s="32">
        <v>1.6E-2</v>
      </c>
      <c r="IU20" s="32">
        <v>17699.283014500001</v>
      </c>
      <c r="IV20" s="32">
        <v>122158.1197175</v>
      </c>
      <c r="IW20" s="32">
        <v>0.126</v>
      </c>
      <c r="IX20" s="32">
        <v>0.106</v>
      </c>
      <c r="IY20" s="32">
        <v>86.507936507936506</v>
      </c>
      <c r="IZ20" s="32">
        <v>16.56468499089458</v>
      </c>
      <c r="JA20" s="32">
        <v>27.864554480454579</v>
      </c>
      <c r="JB20" s="32">
        <v>23.431022000103084</v>
      </c>
      <c r="JC20" s="32">
        <v>75.97551302221207</v>
      </c>
      <c r="JD20" s="32">
        <v>16.56468499089458</v>
      </c>
      <c r="JE20" s="32">
        <v>27.864554480454579</v>
      </c>
      <c r="JF20" s="32">
        <v>23.431022000103084</v>
      </c>
      <c r="JG20" s="32">
        <v>0.11479836708965892</v>
      </c>
      <c r="JH20" s="32">
        <v>17.594427170052889</v>
      </c>
      <c r="JI20" s="69"/>
      <c r="JJ20" s="32">
        <v>27.869574323176337</v>
      </c>
      <c r="JK20" s="32">
        <v>-15.168935747231924</v>
      </c>
      <c r="JL20" s="32">
        <v>7.6282819496492156</v>
      </c>
      <c r="JM20" s="32">
        <v>16.875744618595334</v>
      </c>
      <c r="JN20" s="32">
        <v>28.571428571428559</v>
      </c>
      <c r="JO20" s="32">
        <v>-23.764575301583594</v>
      </c>
      <c r="JP20" s="32">
        <v>19.354838709677416</v>
      </c>
      <c r="JQ20" s="32">
        <v>-156.95847366394565</v>
      </c>
      <c r="JR20" s="32">
        <v>-33.781126618441519</v>
      </c>
      <c r="JS20" s="32">
        <v>-39.270969673728189</v>
      </c>
      <c r="JT20" s="32">
        <v>-16.917050616418859</v>
      </c>
      <c r="JU20" s="69"/>
      <c r="JV20" s="32">
        <v>1393.7352309999999</v>
      </c>
      <c r="JW20" s="32">
        <v>14.670897168421051</v>
      </c>
      <c r="JX20" s="32">
        <v>0.22800000000000001</v>
      </c>
      <c r="JY20" s="32">
        <v>665.38680754746827</v>
      </c>
      <c r="JZ20" s="32">
        <v>7.0040716583944027</v>
      </c>
      <c r="KA20" s="32">
        <v>385.65926359493665</v>
      </c>
      <c r="KB20" s="32">
        <v>4.0595711957361749</v>
      </c>
      <c r="KC20" s="32">
        <v>525.5230355712024</v>
      </c>
      <c r="KD20" s="32">
        <v>5.5318214270652888</v>
      </c>
      <c r="KE20" s="32">
        <v>0.315</v>
      </c>
      <c r="KF20" s="32">
        <v>0.05</v>
      </c>
      <c r="KG20" s="32">
        <v>39.056123871791264</v>
      </c>
      <c r="KH20" s="32">
        <v>60.943876128208736</v>
      </c>
      <c r="KI20" s="32">
        <v>68.749978339181609</v>
      </c>
      <c r="KJ20" s="32">
        <v>97.755110724633994</v>
      </c>
      <c r="KK20" s="32">
        <v>0.2948577711642722</v>
      </c>
      <c r="KL20" s="32">
        <v>4.7268051491290599</v>
      </c>
      <c r="KM20" s="69"/>
      <c r="KN20" s="32" t="s">
        <v>34</v>
      </c>
      <c r="KO20" s="32" t="s">
        <v>34</v>
      </c>
      <c r="KP20" s="32" t="s">
        <v>34</v>
      </c>
      <c r="KQ20" s="32" t="s">
        <v>34</v>
      </c>
      <c r="KR20" s="32" t="s">
        <v>34</v>
      </c>
      <c r="KS20" s="32" t="s">
        <v>34</v>
      </c>
      <c r="KT20" s="32" t="s">
        <v>34</v>
      </c>
      <c r="KU20" s="32" t="s">
        <v>34</v>
      </c>
      <c r="KV20" s="32" t="s">
        <v>34</v>
      </c>
      <c r="KW20" s="32" t="s">
        <v>34</v>
      </c>
      <c r="KX20" s="32" t="s">
        <v>34</v>
      </c>
      <c r="KY20" s="32" t="s">
        <v>34</v>
      </c>
      <c r="KZ20" s="32" t="s">
        <v>34</v>
      </c>
      <c r="LA20" s="32" t="s">
        <v>34</v>
      </c>
      <c r="LB20" s="32" t="s">
        <v>34</v>
      </c>
      <c r="LC20" s="32" t="s">
        <v>34</v>
      </c>
      <c r="LD20" s="32" t="s">
        <v>34</v>
      </c>
      <c r="LE20" s="32" t="s">
        <v>34</v>
      </c>
      <c r="LF20" s="32" t="s">
        <v>34</v>
      </c>
      <c r="LG20" s="32" t="s">
        <v>34</v>
      </c>
      <c r="LH20" s="69"/>
      <c r="LI20" s="32" t="s">
        <v>34</v>
      </c>
      <c r="LJ20" s="32" t="s">
        <v>34</v>
      </c>
      <c r="LK20" s="32" t="s">
        <v>34</v>
      </c>
      <c r="LL20" s="32" t="s">
        <v>34</v>
      </c>
      <c r="LM20" s="32" t="s">
        <v>34</v>
      </c>
      <c r="LN20" s="69"/>
      <c r="LO20" s="32">
        <v>1226.8693330000001</v>
      </c>
      <c r="LP20" s="32">
        <v>12.914414031578948</v>
      </c>
      <c r="LQ20" s="32">
        <v>1.4999999999999999E-2</v>
      </c>
      <c r="LR20" s="32">
        <v>2350.4055080000003</v>
      </c>
      <c r="LS20" s="32">
        <v>24.74111061052632</v>
      </c>
      <c r="LT20" s="32">
        <v>6.8000000000000005E-2</v>
      </c>
      <c r="LU20" s="32">
        <v>1394.6817153018872</v>
      </c>
      <c r="LV20" s="32">
        <v>14.680860161072497</v>
      </c>
      <c r="LW20" s="32">
        <v>218.34285211949683</v>
      </c>
      <c r="LX20" s="32">
        <v>2.2983458117841771</v>
      </c>
      <c r="LY20" s="32">
        <v>806.51228371069203</v>
      </c>
      <c r="LZ20" s="32">
        <v>8.4896029864283378</v>
      </c>
      <c r="MA20" s="32">
        <v>343.89224569841264</v>
      </c>
      <c r="MB20" s="32">
        <v>3.6199183757727647</v>
      </c>
      <c r="MC20" s="32">
        <v>1422.4677928333338</v>
      </c>
      <c r="MD20" s="32">
        <v>14.973345187719303</v>
      </c>
      <c r="ME20" s="32">
        <v>0.108</v>
      </c>
      <c r="MF20" s="32">
        <v>-261.02755972727272</v>
      </c>
      <c r="MG20" s="8">
        <v>-2.7476585234449762</v>
      </c>
      <c r="MH20" s="32">
        <v>1288.5894192727274</v>
      </c>
      <c r="MI20" s="32">
        <v>1.7068805100478466</v>
      </c>
      <c r="MJ20" s="32">
        <v>0.05</v>
      </c>
      <c r="MK20" s="32">
        <v>41394.152899500004</v>
      </c>
      <c r="ML20" s="32">
        <v>178646.09067050001</v>
      </c>
      <c r="MM20" s="32">
        <v>0.158</v>
      </c>
      <c r="MN20" s="32">
        <v>0.106</v>
      </c>
      <c r="MO20" s="32">
        <v>68.35443037974683</v>
      </c>
      <c r="MP20" s="32">
        <v>14.873732495003592</v>
      </c>
      <c r="MQ20" s="32">
        <v>12.441495365526382</v>
      </c>
      <c r="MR20" s="32">
        <v>19.595483614712801</v>
      </c>
      <c r="MS20" s="32">
        <v>79.471005938020227</v>
      </c>
      <c r="MT20" s="32">
        <v>14.873732495003592</v>
      </c>
      <c r="MU20" s="32">
        <v>38.394768287480353</v>
      </c>
      <c r="MV20" s="32">
        <v>19.595483614712801</v>
      </c>
      <c r="MW20" s="32">
        <v>23.660758442972245</v>
      </c>
      <c r="MX20" s="32" t="s">
        <v>34</v>
      </c>
      <c r="MY20" s="32" t="s">
        <v>34</v>
      </c>
      <c r="MZ20" s="32" t="s">
        <v>34</v>
      </c>
      <c r="NA20" s="32" t="s">
        <v>34</v>
      </c>
      <c r="NB20" s="17" t="s">
        <v>34</v>
      </c>
      <c r="NC20" s="69"/>
      <c r="ND20" s="32">
        <v>2653.7325890000002</v>
      </c>
      <c r="NE20" s="32">
        <v>27.93402725263158</v>
      </c>
      <c r="NF20" s="32">
        <v>1.6E-2</v>
      </c>
      <c r="NG20" s="32">
        <v>2653.7325890000002</v>
      </c>
      <c r="NH20" s="32">
        <v>27.93402725263158</v>
      </c>
      <c r="NI20" s="32">
        <v>1.6E-2</v>
      </c>
      <c r="NJ20" s="32">
        <v>1678.4068570559007</v>
      </c>
      <c r="NK20" s="32">
        <v>17.667440600588428</v>
      </c>
      <c r="NL20" s="32">
        <v>124.08692972670804</v>
      </c>
      <c r="NM20" s="32">
        <v>1.3061782076495583</v>
      </c>
      <c r="NN20" s="32">
        <v>901.24689339130441</v>
      </c>
      <c r="NO20" s="32">
        <v>9.4868094041189934</v>
      </c>
      <c r="NP20" s="32">
        <v>355.05549604716981</v>
      </c>
      <c r="NQ20" s="32">
        <v>3.7374262741807347</v>
      </c>
      <c r="NR20" s="32">
        <v>1465.0172051792456</v>
      </c>
      <c r="NS20" s="32">
        <v>15.421233738728901</v>
      </c>
      <c r="NT20" s="32">
        <v>9.4E-2</v>
      </c>
      <c r="NU20" s="32">
        <v>-321.05248900000004</v>
      </c>
      <c r="NV20" s="8">
        <v>-3.3794998842105266</v>
      </c>
      <c r="NW20" s="32">
        <v>2089.6669133999999</v>
      </c>
      <c r="NX20" s="32">
        <v>-1.9295999954066989</v>
      </c>
      <c r="NY20" s="32">
        <v>6.5000000000000002E-2</v>
      </c>
      <c r="NZ20" s="32">
        <v>113693.9004785</v>
      </c>
      <c r="OA20" s="32">
        <v>155295.58377849997</v>
      </c>
      <c r="OB20" s="32">
        <v>0.16</v>
      </c>
      <c r="OC20" s="32">
        <v>0.106</v>
      </c>
      <c r="OD20" s="32">
        <v>58.75</v>
      </c>
      <c r="OE20" s="32">
        <v>6.137307391870916</v>
      </c>
      <c r="OF20" s="32">
        <v>15.879172917388695</v>
      </c>
      <c r="OG20" s="32">
        <v>17.56095283535468</v>
      </c>
      <c r="OH20" s="32">
        <v>83.013568254633697</v>
      </c>
      <c r="OI20" s="32">
        <v>6.137307391870916</v>
      </c>
      <c r="OJ20" s="32">
        <v>15.879172917388695</v>
      </c>
      <c r="OK20" s="32">
        <v>17.56095283535468</v>
      </c>
      <c r="OL20" s="32">
        <v>0.27189129985795696</v>
      </c>
      <c r="OM20" s="32">
        <v>9.760270337397257</v>
      </c>
      <c r="ON20" s="69"/>
      <c r="OO20" s="32">
        <v>-18.465145736839538</v>
      </c>
      <c r="OP20" s="32">
        <v>-20.624286781164475</v>
      </c>
      <c r="OQ20" s="32">
        <v>-3.1943018574972677</v>
      </c>
      <c r="OR20" s="32">
        <v>-12.123049968658762</v>
      </c>
      <c r="OS20" s="32">
        <v>123.80952380952381</v>
      </c>
      <c r="OT20" s="32">
        <v>-73.538244049759044</v>
      </c>
      <c r="OU20" s="32">
        <v>-1.2578616352201268</v>
      </c>
      <c r="OV20" s="32">
        <v>-125.93800641709345</v>
      </c>
      <c r="OW20" s="32">
        <v>67.864308114745484</v>
      </c>
      <c r="OX20" s="32">
        <v>-6.5388320804313187</v>
      </c>
      <c r="OY20" s="32">
        <v>10.951162025950561</v>
      </c>
    </row>
    <row r="21" spans="1:415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9"/>
      <c r="K21" s="32">
        <v>1703.3199239999997</v>
      </c>
      <c r="L21" s="32">
        <v>16.537086640776696</v>
      </c>
      <c r="M21" s="32">
        <v>0.29099999999999998</v>
      </c>
      <c r="N21" s="32">
        <v>755.5764457719298</v>
      </c>
      <c r="O21" s="32">
        <v>7.335693648271163</v>
      </c>
      <c r="P21" s="32">
        <v>424.0190609373434</v>
      </c>
      <c r="Q21" s="32">
        <v>4.1166899120130429</v>
      </c>
      <c r="R21" s="32">
        <v>589.7977533546366</v>
      </c>
      <c r="S21" s="32">
        <v>5.7261917801421029</v>
      </c>
      <c r="T21" s="32">
        <v>0.39800000000000002</v>
      </c>
      <c r="U21" s="32">
        <v>3.3000000000000002E-2</v>
      </c>
      <c r="V21" s="32">
        <v>36.625748882079741</v>
      </c>
      <c r="W21" s="32">
        <v>63.374251117920281</v>
      </c>
      <c r="X21" s="32">
        <v>51.661048850616389</v>
      </c>
      <c r="Y21" s="32">
        <v>95.454515857397581</v>
      </c>
      <c r="Z21" s="32">
        <v>0.47064725137181473</v>
      </c>
      <c r="AA21" s="32">
        <v>3.6191009700689074</v>
      </c>
      <c r="AB21" s="69"/>
      <c r="AC21" s="32">
        <v>476.68504100000001</v>
      </c>
      <c r="AD21" s="32">
        <v>4.6280101067961166</v>
      </c>
      <c r="AE21" s="32">
        <v>1.0999999999999999E-2</v>
      </c>
      <c r="AF21" s="32">
        <v>2019.5049549999999</v>
      </c>
      <c r="AG21" s="32">
        <v>19.606844223300971</v>
      </c>
      <c r="AH21" s="32">
        <v>0.13100000000000001</v>
      </c>
      <c r="AI21" s="32">
        <v>1310.3726892955465</v>
      </c>
      <c r="AJ21" s="32">
        <v>12.722064944616957</v>
      </c>
      <c r="AK21" s="32">
        <v>442.8022549271256</v>
      </c>
      <c r="AL21" s="32">
        <v>4.2990510187099575</v>
      </c>
      <c r="AM21" s="32">
        <v>876.58747211133607</v>
      </c>
      <c r="AN21" s="32">
        <v>8.5105579816634567</v>
      </c>
      <c r="AO21" s="32">
        <v>0.246</v>
      </c>
      <c r="AP21" s="32">
        <v>3.3000000000000002E-2</v>
      </c>
      <c r="AQ21" s="32">
        <v>27.599200841363601</v>
      </c>
      <c r="AR21" s="32">
        <v>72.400799158636403</v>
      </c>
      <c r="AS21" s="32">
        <v>54.054126963668573</v>
      </c>
      <c r="AT21" s="32">
        <v>98.952352458588351</v>
      </c>
      <c r="AU21" s="32">
        <v>0.42209022632500659</v>
      </c>
      <c r="AV21" s="32">
        <v>4.7845338011806859</v>
      </c>
      <c r="AW21" s="69"/>
      <c r="AX21" s="32">
        <v>53.708606287201398</v>
      </c>
      <c r="AY21" s="32">
        <v>16.986296228090737</v>
      </c>
      <c r="AZ21" s="32">
        <v>-75.829383886255926</v>
      </c>
      <c r="BA21" s="32">
        <v>-47.204968944099384</v>
      </c>
      <c r="BB21" s="32">
        <v>-28.10916343129896</v>
      </c>
      <c r="BC21" s="69"/>
      <c r="BD21" s="32">
        <v>1415.7543509999998</v>
      </c>
      <c r="BE21" s="32">
        <v>13.745187873786406</v>
      </c>
      <c r="BF21" s="32">
        <v>2.1000000000000001E-2</v>
      </c>
      <c r="BG21" s="32">
        <v>2556.801258</v>
      </c>
      <c r="BH21" s="32">
        <v>24.82331318446602</v>
      </c>
      <c r="BI21" s="32">
        <v>8.2000000000000003E-2</v>
      </c>
      <c r="BJ21" s="32">
        <v>1567.8259224942528</v>
      </c>
      <c r="BK21" s="32">
        <v>15.221610898002455</v>
      </c>
      <c r="BL21" s="32">
        <v>225.41649560919538</v>
      </c>
      <c r="BM21" s="32">
        <v>2.1885096661086929</v>
      </c>
      <c r="BN21" s="32">
        <v>896.62120905172412</v>
      </c>
      <c r="BO21" s="32">
        <v>8.7050602820555731</v>
      </c>
      <c r="BP21" s="32">
        <v>351.91410434615381</v>
      </c>
      <c r="BQ21" s="32">
        <v>3.4166417897684838</v>
      </c>
      <c r="BR21" s="32">
        <v>1614.4911383307697</v>
      </c>
      <c r="BS21" s="32">
        <v>15.674671245929803</v>
      </c>
      <c r="BT21" s="32">
        <v>0.115</v>
      </c>
      <c r="BU21" s="32">
        <v>-148.32643929545455</v>
      </c>
      <c r="BV21" s="8">
        <v>-1.4400625174315975</v>
      </c>
      <c r="BW21" s="32">
        <v>1429.9514211590908</v>
      </c>
      <c r="BX21" s="32" t="s">
        <v>34</v>
      </c>
      <c r="BY21" s="32">
        <v>5.8000000000000003E-2</v>
      </c>
      <c r="BZ21" s="32">
        <v>61751.036451499996</v>
      </c>
      <c r="CA21" s="32">
        <v>209211.68653700003</v>
      </c>
      <c r="CB21" s="32">
        <v>0.17299999999999999</v>
      </c>
      <c r="CC21" s="32" t="s">
        <v>34</v>
      </c>
      <c r="CD21" s="32">
        <v>66.473988439306368</v>
      </c>
      <c r="CE21" s="32">
        <v>7.6975618155717784</v>
      </c>
      <c r="CF21" s="32">
        <v>11.698234093957112</v>
      </c>
      <c r="CG21" s="32">
        <v>18.262965017182268</v>
      </c>
      <c r="CH21" s="32">
        <v>81.364030659537278</v>
      </c>
      <c r="CI21" s="32">
        <v>7.6975618155717784</v>
      </c>
      <c r="CJ21" s="32">
        <v>34.462806452255556</v>
      </c>
      <c r="CK21" s="32">
        <v>18.262965017182268</v>
      </c>
      <c r="CL21" s="32">
        <v>25.70516046612633</v>
      </c>
      <c r="CM21" s="32" t="s">
        <v>34</v>
      </c>
      <c r="CN21" s="32" t="s">
        <v>34</v>
      </c>
      <c r="CO21" s="32" t="s">
        <v>34</v>
      </c>
      <c r="CP21" s="32" t="s">
        <v>34</v>
      </c>
      <c r="CQ21" s="17" t="s">
        <v>34</v>
      </c>
      <c r="CR21" s="69"/>
      <c r="CS21" s="32" t="s">
        <v>34</v>
      </c>
      <c r="CT21" s="32" t="s">
        <v>34</v>
      </c>
      <c r="CU21" s="32" t="s">
        <v>34</v>
      </c>
      <c r="CV21" s="32" t="s">
        <v>34</v>
      </c>
      <c r="CW21" s="32" t="s">
        <v>34</v>
      </c>
      <c r="CX21" s="32" t="s">
        <v>34</v>
      </c>
      <c r="CY21" s="32" t="s">
        <v>34</v>
      </c>
      <c r="CZ21" s="32" t="s">
        <v>34</v>
      </c>
      <c r="DA21" s="32" t="s">
        <v>34</v>
      </c>
      <c r="DB21" s="32" t="s">
        <v>34</v>
      </c>
      <c r="DC21" s="32" t="s">
        <v>34</v>
      </c>
      <c r="DD21" s="32" t="s">
        <v>34</v>
      </c>
      <c r="DE21" s="32" t="s">
        <v>34</v>
      </c>
      <c r="DF21" s="32" t="s">
        <v>34</v>
      </c>
      <c r="DG21" s="32" t="s">
        <v>34</v>
      </c>
      <c r="DH21" s="32" t="s">
        <v>34</v>
      </c>
      <c r="DI21" s="32" t="s">
        <v>34</v>
      </c>
      <c r="DJ21" s="32" t="s">
        <v>34</v>
      </c>
      <c r="DK21" s="8" t="s">
        <v>34</v>
      </c>
      <c r="DL21" s="32" t="s">
        <v>34</v>
      </c>
      <c r="DM21" s="32" t="s">
        <v>34</v>
      </c>
      <c r="DN21" s="32" t="s">
        <v>34</v>
      </c>
      <c r="DO21" s="32" t="s">
        <v>34</v>
      </c>
      <c r="DP21" s="32" t="s">
        <v>34</v>
      </c>
      <c r="DQ21" s="32" t="s">
        <v>34</v>
      </c>
      <c r="DR21" s="32" t="s">
        <v>34</v>
      </c>
      <c r="DS21" s="32" t="s">
        <v>34</v>
      </c>
      <c r="DT21" s="32" t="s">
        <v>34</v>
      </c>
      <c r="DU21" s="32" t="s">
        <v>34</v>
      </c>
      <c r="DV21" s="32" t="s">
        <v>34</v>
      </c>
      <c r="DW21" s="32" t="s">
        <v>34</v>
      </c>
      <c r="DX21" s="32" t="s">
        <v>34</v>
      </c>
      <c r="DY21" s="32" t="s">
        <v>34</v>
      </c>
      <c r="DZ21" s="32" t="s">
        <v>34</v>
      </c>
      <c r="EA21" s="32" t="s">
        <v>34</v>
      </c>
      <c r="EB21" s="32" t="s">
        <v>34</v>
      </c>
      <c r="EC21" s="69"/>
      <c r="ED21" s="32" t="s">
        <v>34</v>
      </c>
      <c r="EE21" s="32" t="s">
        <v>34</v>
      </c>
      <c r="EF21" s="32" t="s">
        <v>34</v>
      </c>
      <c r="EG21" s="32" t="s">
        <v>34</v>
      </c>
      <c r="EH21" s="32" t="s">
        <v>34</v>
      </c>
      <c r="EI21" s="32" t="s">
        <v>34</v>
      </c>
      <c r="EJ21" s="32" t="s">
        <v>34</v>
      </c>
      <c r="EK21" s="32" t="s">
        <v>34</v>
      </c>
      <c r="EL21" s="32" t="s">
        <v>34</v>
      </c>
      <c r="EM21" s="32" t="s">
        <v>34</v>
      </c>
      <c r="EN21" s="32" t="s">
        <v>34</v>
      </c>
      <c r="EO21" s="69"/>
      <c r="EP21" s="32">
        <v>1690.4257539999999</v>
      </c>
      <c r="EQ21" s="32">
        <v>16.411900524271843</v>
      </c>
      <c r="ER21" s="32">
        <v>0.35699999999999998</v>
      </c>
      <c r="ES21" s="32">
        <v>739.18109862939946</v>
      </c>
      <c r="ET21" s="32">
        <v>7.1765155206737807</v>
      </c>
      <c r="EU21" s="32">
        <v>356.42233914492749</v>
      </c>
      <c r="EV21" s="32">
        <v>3.4604110596594904</v>
      </c>
      <c r="EW21" s="32">
        <v>547.80171888716347</v>
      </c>
      <c r="EX21" s="32">
        <v>5.318463290166636</v>
      </c>
      <c r="EY21" s="32">
        <v>0.48199999999999998</v>
      </c>
      <c r="EZ21" s="32">
        <v>0.05</v>
      </c>
      <c r="FA21" s="32">
        <v>33.699548189098131</v>
      </c>
      <c r="FB21" s="32">
        <v>46.300451810901897</v>
      </c>
      <c r="FC21" s="32">
        <v>46.571518324987466</v>
      </c>
      <c r="FD21" s="32">
        <v>93.103431791998702</v>
      </c>
      <c r="FE21" s="32">
        <v>0.64178470478518002</v>
      </c>
      <c r="FF21" s="32">
        <v>2.633945217759317</v>
      </c>
      <c r="FG21" s="69"/>
      <c r="FH21" s="32" t="s">
        <v>34</v>
      </c>
      <c r="FI21" s="32" t="s">
        <v>34</v>
      </c>
      <c r="FJ21" s="32" t="s">
        <v>34</v>
      </c>
      <c r="FK21" s="32" t="s">
        <v>34</v>
      </c>
      <c r="FL21" s="32" t="s">
        <v>34</v>
      </c>
      <c r="FM21" s="32" t="s">
        <v>34</v>
      </c>
      <c r="FN21" s="32" t="s">
        <v>34</v>
      </c>
      <c r="FO21" s="32" t="s">
        <v>34</v>
      </c>
      <c r="FP21" s="32" t="s">
        <v>34</v>
      </c>
      <c r="FQ21" s="32" t="s">
        <v>34</v>
      </c>
      <c r="FR21" s="32" t="s">
        <v>34</v>
      </c>
      <c r="FS21" s="32" t="s">
        <v>34</v>
      </c>
      <c r="FT21" s="32" t="s">
        <v>34</v>
      </c>
      <c r="FU21" s="32" t="s">
        <v>34</v>
      </c>
      <c r="FV21" s="32" t="s">
        <v>34</v>
      </c>
      <c r="FW21" s="32" t="s">
        <v>34</v>
      </c>
      <c r="FX21" s="32" t="s">
        <v>34</v>
      </c>
      <c r="FY21" s="32" t="s">
        <v>34</v>
      </c>
      <c r="FZ21" s="32" t="s">
        <v>34</v>
      </c>
      <c r="GA21" s="32" t="s">
        <v>34</v>
      </c>
      <c r="GB21" s="69"/>
      <c r="GC21" s="32" t="s">
        <v>34</v>
      </c>
      <c r="GD21" s="32" t="s">
        <v>34</v>
      </c>
      <c r="GE21" s="32" t="s">
        <v>34</v>
      </c>
      <c r="GF21" s="32" t="s">
        <v>34</v>
      </c>
      <c r="GG21" s="32" t="s">
        <v>34</v>
      </c>
      <c r="GH21" s="69"/>
      <c r="GI21" s="32">
        <v>1327.7498390000001</v>
      </c>
      <c r="GJ21" s="32">
        <v>12.890775135922331</v>
      </c>
      <c r="GK21" s="32">
        <v>2.3E-2</v>
      </c>
      <c r="GL21" s="32">
        <v>2379.764302</v>
      </c>
      <c r="GM21" s="32">
        <v>23.104507786407769</v>
      </c>
      <c r="GN21" s="32">
        <v>9.5000000000000001E-2</v>
      </c>
      <c r="GO21" s="32">
        <v>1452.3971764157893</v>
      </c>
      <c r="GP21" s="32">
        <v>14.100943460347469</v>
      </c>
      <c r="GQ21" s="32">
        <v>190.53980726315788</v>
      </c>
      <c r="GR21" s="32">
        <v>1.8499010413898824</v>
      </c>
      <c r="GS21" s="32">
        <v>821.46849183947359</v>
      </c>
      <c r="GT21" s="32">
        <v>7.9754222508686752</v>
      </c>
      <c r="GU21" s="32">
        <v>367.8755128333334</v>
      </c>
      <c r="GV21" s="32">
        <v>3.5716069207119747</v>
      </c>
      <c r="GW21" s="32">
        <v>1504.2421111136364</v>
      </c>
      <c r="GX21" s="32">
        <v>14.60429234090909</v>
      </c>
      <c r="GY21" s="32">
        <v>0.11700000000000001</v>
      </c>
      <c r="GZ21" s="32">
        <v>-213.05179851724137</v>
      </c>
      <c r="HA21" s="8">
        <v>-2.0684640632741882</v>
      </c>
      <c r="HB21" s="32">
        <v>1334.4052560689654</v>
      </c>
      <c r="HC21" s="32">
        <v>-1.4003957089052561</v>
      </c>
      <c r="HD21" s="32">
        <v>7.1999999999999995E-2</v>
      </c>
      <c r="HE21" s="32">
        <v>76320.84008200001</v>
      </c>
      <c r="HF21" s="32">
        <v>197960.77061750001</v>
      </c>
      <c r="HG21" s="32">
        <v>0.189</v>
      </c>
      <c r="HH21" s="32" t="s">
        <v>34</v>
      </c>
      <c r="HI21" s="32">
        <v>61.904761904761905</v>
      </c>
      <c r="HJ21" s="32">
        <v>12.348840462922228</v>
      </c>
      <c r="HK21" s="32">
        <v>11.044007598641665</v>
      </c>
      <c r="HL21" s="32">
        <v>21.32268326205611</v>
      </c>
      <c r="HM21" s="32">
        <v>84.183382375464234</v>
      </c>
      <c r="HN21" s="32">
        <v>12.348840462922228</v>
      </c>
      <c r="HO21" s="32">
        <v>40.338833714384045</v>
      </c>
      <c r="HP21" s="32">
        <v>21.32268326205611</v>
      </c>
      <c r="HQ21" s="32">
        <v>24.631055829577381</v>
      </c>
      <c r="HR21" s="32">
        <v>61.904761904761905</v>
      </c>
      <c r="HS21" s="32" t="s">
        <v>34</v>
      </c>
      <c r="HT21" s="32" t="s">
        <v>34</v>
      </c>
      <c r="HU21" s="32" t="s">
        <v>34</v>
      </c>
      <c r="HV21" s="32" t="s">
        <v>34</v>
      </c>
      <c r="HW21" s="17" t="s">
        <v>34</v>
      </c>
      <c r="HX21" s="69"/>
      <c r="HY21" s="32" t="s">
        <v>34</v>
      </c>
      <c r="HZ21" s="32" t="s">
        <v>34</v>
      </c>
      <c r="IA21" s="32" t="s">
        <v>34</v>
      </c>
      <c r="IB21" s="32" t="s">
        <v>34</v>
      </c>
      <c r="IC21" s="32" t="s">
        <v>34</v>
      </c>
      <c r="ID21" s="32" t="s">
        <v>34</v>
      </c>
      <c r="IE21" s="32" t="s">
        <v>34</v>
      </c>
      <c r="IF21" s="32" t="s">
        <v>34</v>
      </c>
      <c r="IG21" s="32" t="s">
        <v>34</v>
      </c>
      <c r="IH21" s="32" t="s">
        <v>34</v>
      </c>
      <c r="II21" s="32" t="s">
        <v>34</v>
      </c>
      <c r="IJ21" s="32" t="s">
        <v>34</v>
      </c>
      <c r="IK21" s="32" t="s">
        <v>34</v>
      </c>
      <c r="IL21" s="32" t="s">
        <v>34</v>
      </c>
      <c r="IM21" s="32" t="s">
        <v>34</v>
      </c>
      <c r="IN21" s="32" t="s">
        <v>34</v>
      </c>
      <c r="IO21" s="32" t="s">
        <v>34</v>
      </c>
      <c r="IP21" s="32" t="s">
        <v>34</v>
      </c>
      <c r="IQ21" s="8" t="s">
        <v>34</v>
      </c>
      <c r="IR21" s="32" t="s">
        <v>34</v>
      </c>
      <c r="IS21" s="32" t="s">
        <v>34</v>
      </c>
      <c r="IT21" s="32" t="s">
        <v>34</v>
      </c>
      <c r="IU21" s="32" t="s">
        <v>34</v>
      </c>
      <c r="IV21" s="32" t="s">
        <v>34</v>
      </c>
      <c r="IW21" s="32" t="s">
        <v>34</v>
      </c>
      <c r="IX21" s="32" t="s">
        <v>34</v>
      </c>
      <c r="IY21" s="32" t="s">
        <v>34</v>
      </c>
      <c r="IZ21" s="32" t="s">
        <v>34</v>
      </c>
      <c r="JA21" s="32" t="s">
        <v>34</v>
      </c>
      <c r="JB21" s="32" t="s">
        <v>34</v>
      </c>
      <c r="JC21" s="32" t="s">
        <v>34</v>
      </c>
      <c r="JD21" s="32" t="s">
        <v>34</v>
      </c>
      <c r="JE21" s="32" t="s">
        <v>34</v>
      </c>
      <c r="JF21" s="32" t="s">
        <v>34</v>
      </c>
      <c r="JG21" s="32" t="s">
        <v>34</v>
      </c>
      <c r="JH21" s="32" t="s">
        <v>34</v>
      </c>
      <c r="JI21" s="69"/>
      <c r="JJ21" s="32" t="s">
        <v>34</v>
      </c>
      <c r="JK21" s="32" t="s">
        <v>34</v>
      </c>
      <c r="JL21" s="32" t="s">
        <v>34</v>
      </c>
      <c r="JM21" s="32" t="s">
        <v>34</v>
      </c>
      <c r="JN21" s="32" t="s">
        <v>34</v>
      </c>
      <c r="JO21" s="32" t="s">
        <v>34</v>
      </c>
      <c r="JP21" s="32" t="s">
        <v>34</v>
      </c>
      <c r="JQ21" s="32" t="s">
        <v>34</v>
      </c>
      <c r="JR21" s="32" t="s">
        <v>34</v>
      </c>
      <c r="JS21" s="32" t="s">
        <v>34</v>
      </c>
      <c r="JT21" s="32" t="s">
        <v>34</v>
      </c>
      <c r="JU21" s="69"/>
      <c r="JV21" s="32">
        <v>1601.645849</v>
      </c>
      <c r="JW21" s="32">
        <v>15.549959699029126</v>
      </c>
      <c r="JX21" s="32">
        <v>0.33800000000000002</v>
      </c>
      <c r="JY21" s="32">
        <v>716.5613188814657</v>
      </c>
      <c r="JZ21" s="32">
        <v>6.9569060085579197</v>
      </c>
      <c r="KA21" s="32">
        <v>369.56845901293104</v>
      </c>
      <c r="KB21" s="32">
        <v>3.5880432913876801</v>
      </c>
      <c r="KC21" s="32">
        <v>543.06488894719837</v>
      </c>
      <c r="KD21" s="32">
        <v>5.2724746499727999</v>
      </c>
      <c r="KE21" s="32">
        <v>0.46300000000000002</v>
      </c>
      <c r="KF21" s="32">
        <v>4.2999999999999997E-2</v>
      </c>
      <c r="KG21" s="32">
        <v>35.108260727899449</v>
      </c>
      <c r="KH21" s="32">
        <v>64.891739272100537</v>
      </c>
      <c r="KI21" s="32">
        <v>84.158410677471508</v>
      </c>
      <c r="KJ21" s="32">
        <v>74.413132782697957</v>
      </c>
      <c r="KK21" s="32">
        <v>0.58709333878015879</v>
      </c>
      <c r="KL21" s="32">
        <v>2.7280940579701372</v>
      </c>
      <c r="KM21" s="69"/>
      <c r="KN21" s="32">
        <v>557.43999799999995</v>
      </c>
      <c r="KO21" s="32">
        <v>5.4120388155339798</v>
      </c>
      <c r="KP21" s="32">
        <v>1.6E-2</v>
      </c>
      <c r="KQ21" s="32">
        <v>2121.2330979999997</v>
      </c>
      <c r="KR21" s="32">
        <v>20.594496097087376</v>
      </c>
      <c r="KS21" s="32">
        <v>0.129</v>
      </c>
      <c r="KT21" s="32">
        <v>1276.8055888750002</v>
      </c>
      <c r="KU21" s="32">
        <v>12.396170765776702</v>
      </c>
      <c r="KV21" s="32">
        <v>383.80991196691178</v>
      </c>
      <c r="KW21" s="32">
        <v>3.7263098249214734</v>
      </c>
      <c r="KX21" s="32">
        <v>830.30775042095604</v>
      </c>
      <c r="KY21" s="32">
        <v>8.0612402953490871</v>
      </c>
      <c r="KZ21" s="32">
        <v>0.27100000000000002</v>
      </c>
      <c r="LA21" s="32">
        <v>4.2999999999999997E-2</v>
      </c>
      <c r="LB21" s="32">
        <v>27.318342614279025</v>
      </c>
      <c r="LC21" s="32">
        <v>72.681657385720968</v>
      </c>
      <c r="LD21" s="32">
        <v>70.198664309537051</v>
      </c>
      <c r="LE21" s="32">
        <v>96.477619090290702</v>
      </c>
      <c r="LF21" s="32">
        <v>0.49340805182415209</v>
      </c>
      <c r="LG21" s="32">
        <v>4.2991456871400944</v>
      </c>
      <c r="LH21" s="69"/>
      <c r="LI21" s="32">
        <v>56.210852885492045</v>
      </c>
      <c r="LJ21" s="32">
        <v>27.913196018296414</v>
      </c>
      <c r="LK21" s="32">
        <v>-89.507494646680939</v>
      </c>
      <c r="LL21" s="32">
        <v>-52.316076294277934</v>
      </c>
      <c r="LM21" s="32">
        <v>-24.95704618404946</v>
      </c>
      <c r="LN21" s="69"/>
      <c r="LO21" s="32">
        <v>969.97911999999997</v>
      </c>
      <c r="LP21" s="32">
        <v>9.4172730097087367</v>
      </c>
      <c r="LQ21" s="32">
        <v>2.4E-2</v>
      </c>
      <c r="LR21" s="32">
        <v>2581.3090820000002</v>
      </c>
      <c r="LS21" s="32">
        <v>25.061253223300973</v>
      </c>
      <c r="LT21" s="32">
        <v>9.4E-2</v>
      </c>
      <c r="LU21" s="32">
        <v>1501.3680714248703</v>
      </c>
      <c r="LV21" s="32">
        <v>14.576389042959907</v>
      </c>
      <c r="LW21" s="32">
        <v>157.38102221761665</v>
      </c>
      <c r="LX21" s="32">
        <v>1.5279710894914238</v>
      </c>
      <c r="LY21" s="32">
        <v>829.37454682124348</v>
      </c>
      <c r="LZ21" s="32">
        <v>8.0521800662256648</v>
      </c>
      <c r="MA21" s="32">
        <v>342.79281202439023</v>
      </c>
      <c r="MB21" s="32">
        <v>3.3280855536348568</v>
      </c>
      <c r="MC21" s="32">
        <v>1523.7469861056911</v>
      </c>
      <c r="MD21" s="32">
        <v>14.793660059278555</v>
      </c>
      <c r="ME21" s="32">
        <v>0.11600000000000001</v>
      </c>
      <c r="MF21" s="32">
        <v>-168.41397987142855</v>
      </c>
      <c r="MG21" s="8">
        <v>-1.6350871832177529</v>
      </c>
      <c r="MH21" s="32">
        <v>1462.0451213428569</v>
      </c>
      <c r="MI21" s="32">
        <v>-0.78999653869625497</v>
      </c>
      <c r="MJ21" s="32">
        <v>7.5999999999999998E-2</v>
      </c>
      <c r="MK21" s="32">
        <v>101109.67979149999</v>
      </c>
      <c r="ML21" s="32">
        <v>186943.93274899997</v>
      </c>
      <c r="MM21" s="32">
        <v>0.192</v>
      </c>
      <c r="MN21" s="32">
        <v>8.5000000000000006E-2</v>
      </c>
      <c r="MO21" s="32">
        <v>60.416666666666664</v>
      </c>
      <c r="MP21" s="32">
        <v>9.6556296398969916</v>
      </c>
      <c r="MQ21" s="32">
        <v>9.0230802932263465</v>
      </c>
      <c r="MR21" s="32">
        <v>19.653240417768085</v>
      </c>
      <c r="MS21" s="32">
        <v>86.077498209543336</v>
      </c>
      <c r="MT21" s="32">
        <v>9.6556296398969916</v>
      </c>
      <c r="MU21" s="32">
        <v>34.804896287890116</v>
      </c>
      <c r="MV21" s="32">
        <v>19.653240417768085</v>
      </c>
      <c r="MW21" s="32">
        <v>22.391778299793728</v>
      </c>
      <c r="MX21" s="32" t="s">
        <v>34</v>
      </c>
      <c r="MY21" s="32" t="s">
        <v>34</v>
      </c>
      <c r="MZ21" s="32" t="s">
        <v>34</v>
      </c>
      <c r="NA21" s="32" t="s">
        <v>34</v>
      </c>
      <c r="NB21" s="17" t="s">
        <v>34</v>
      </c>
      <c r="NC21" s="69"/>
      <c r="ND21" s="32">
        <v>1660.183231</v>
      </c>
      <c r="NE21" s="32">
        <v>16.118283796116504</v>
      </c>
      <c r="NF21" s="32">
        <v>2.5000000000000001E-2</v>
      </c>
      <c r="NG21" s="32">
        <v>1660.183231</v>
      </c>
      <c r="NH21" s="32">
        <v>16.118283796116504</v>
      </c>
      <c r="NI21" s="32">
        <v>2.5000000000000001E-2</v>
      </c>
      <c r="NJ21" s="32">
        <v>691.50314509316775</v>
      </c>
      <c r="NK21" s="32">
        <v>6.7136227678948321</v>
      </c>
      <c r="NL21" s="32">
        <v>100.90476475776399</v>
      </c>
      <c r="NM21" s="32">
        <v>0.97965791026955329</v>
      </c>
      <c r="NN21" s="32">
        <v>396.20395492546584</v>
      </c>
      <c r="NO21" s="32">
        <v>3.8466403390821924</v>
      </c>
      <c r="NP21" s="32">
        <v>185.91146403333332</v>
      </c>
      <c r="NQ21" s="32">
        <v>1.8049656702265371</v>
      </c>
      <c r="NR21" s="32">
        <v>591.87806367500002</v>
      </c>
      <c r="NS21" s="32">
        <v>5.7463889677184472</v>
      </c>
      <c r="NT21" s="32">
        <v>0.105</v>
      </c>
      <c r="NU21" s="32">
        <v>-147.89533068292687</v>
      </c>
      <c r="NV21" s="8">
        <v>-1.4358769969216201</v>
      </c>
      <c r="NW21" s="32">
        <v>983.08874924390227</v>
      </c>
      <c r="NX21" s="32">
        <v>0.98951813663272514</v>
      </c>
      <c r="NY21" s="32">
        <v>5.3999999999999999E-2</v>
      </c>
      <c r="NZ21" s="32">
        <v>39791.623027500005</v>
      </c>
      <c r="OA21" s="32">
        <v>71027.892360499973</v>
      </c>
      <c r="OB21" s="32">
        <v>0.16</v>
      </c>
      <c r="OC21" s="32">
        <v>8.5000000000000006E-2</v>
      </c>
      <c r="OD21" s="32">
        <v>65.625</v>
      </c>
      <c r="OE21" s="32">
        <v>11.628543423862487</v>
      </c>
      <c r="OF21" s="32">
        <v>17.043865858679272</v>
      </c>
      <c r="OG21" s="32">
        <v>21.424949928730914</v>
      </c>
      <c r="OH21" s="32">
        <v>79.69072986550583</v>
      </c>
      <c r="OI21" s="32">
        <v>11.628543423862487</v>
      </c>
      <c r="OJ21" s="32">
        <v>17.043865858679272</v>
      </c>
      <c r="OK21" s="32">
        <v>21.424949928730914</v>
      </c>
      <c r="OL21" s="32">
        <v>0.11324326717861104</v>
      </c>
      <c r="OM21" s="32">
        <v>14.66032614885178</v>
      </c>
      <c r="ON21" s="69"/>
      <c r="OO21" s="32">
        <v>-73.863428023616521</v>
      </c>
      <c r="OP21" s="32">
        <v>-12.973787684302582</v>
      </c>
      <c r="OQ21" s="32">
        <v>-59.345594539480793</v>
      </c>
      <c r="OR21" s="32">
        <v>-43.434045521043956</v>
      </c>
      <c r="OS21" s="32">
        <v>-115.96638655462186</v>
      </c>
      <c r="OT21" s="32">
        <v>52.483764794031153</v>
      </c>
      <c r="OU21" s="32">
        <v>-18.181818181818183</v>
      </c>
      <c r="OV21" s="32">
        <v>149.07187991107017</v>
      </c>
      <c r="OW21" s="32">
        <v>-25.232525697048878</v>
      </c>
      <c r="OX21" s="32">
        <v>55.343639127385416</v>
      </c>
      <c r="OY21" s="32">
        <v>8.6260348667663642</v>
      </c>
    </row>
    <row r="22" spans="1:415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9"/>
      <c r="K22" s="32">
        <v>1887.1916410000001</v>
      </c>
      <c r="L22" s="32">
        <v>16.700810982300887</v>
      </c>
      <c r="M22" s="32">
        <v>0.20899999999999999</v>
      </c>
      <c r="N22" s="32">
        <v>1079.7390572795027</v>
      </c>
      <c r="O22" s="32">
        <v>9.5552128962787855</v>
      </c>
      <c r="P22" s="32">
        <v>555.95523431987579</v>
      </c>
      <c r="Q22" s="32">
        <v>4.9199578258396084</v>
      </c>
      <c r="R22" s="32">
        <v>817.84714579968932</v>
      </c>
      <c r="S22" s="32">
        <v>7.2375853610591978</v>
      </c>
      <c r="T22" s="32">
        <v>0.32100000000000001</v>
      </c>
      <c r="U22" s="32">
        <v>4.3999999999999997E-2</v>
      </c>
      <c r="V22" s="32">
        <v>33.847996079675568</v>
      </c>
      <c r="W22" s="32">
        <v>66.12805419055276</v>
      </c>
      <c r="X22" s="32">
        <v>57.272801513934013</v>
      </c>
      <c r="Y22" s="32">
        <v>99.563027847351435</v>
      </c>
      <c r="Z22" s="32">
        <v>0.47990947440828813</v>
      </c>
      <c r="AA22" s="32">
        <v>3.9323908812736872</v>
      </c>
      <c r="AB22" s="69"/>
      <c r="AC22" s="32">
        <v>911.874505</v>
      </c>
      <c r="AD22" s="32">
        <v>8.0696858849557529</v>
      </c>
      <c r="AE22" s="32">
        <v>2.3E-2</v>
      </c>
      <c r="AF22" s="32">
        <v>2106.679928</v>
      </c>
      <c r="AG22" s="32">
        <v>18.643185203539822</v>
      </c>
      <c r="AH22" s="32">
        <v>0.129</v>
      </c>
      <c r="AI22" s="32">
        <v>1376.4646442541668</v>
      </c>
      <c r="AJ22" s="32">
        <v>12.181103046497052</v>
      </c>
      <c r="AK22" s="32">
        <v>447.24914317500003</v>
      </c>
      <c r="AL22" s="32">
        <v>3.9579570192477878</v>
      </c>
      <c r="AM22" s="32">
        <v>911.85689371458341</v>
      </c>
      <c r="AN22" s="32">
        <v>8.0695300328724198</v>
      </c>
      <c r="AO22" s="32">
        <v>0.23899999999999999</v>
      </c>
      <c r="AP22" s="32">
        <v>4.3999999999999997E-2</v>
      </c>
      <c r="AQ22" s="32">
        <v>29.384025487561889</v>
      </c>
      <c r="AR22" s="32">
        <v>70.6159745124381</v>
      </c>
      <c r="AS22" s="32">
        <v>62.849870439847003</v>
      </c>
      <c r="AT22" s="32">
        <v>98.628102997336526</v>
      </c>
      <c r="AU22" s="32">
        <v>0.3728653087903383</v>
      </c>
      <c r="AV22" s="32">
        <v>5.6499756838053905</v>
      </c>
      <c r="AW22" s="69"/>
      <c r="AX22" s="32">
        <v>24.161317466412637</v>
      </c>
      <c r="AY22" s="32">
        <v>10.991254135643434</v>
      </c>
      <c r="AZ22" s="32">
        <v>-47.337278106508876</v>
      </c>
      <c r="BA22" s="32">
        <v>-29.285714285714288</v>
      </c>
      <c r="BB22" s="32">
        <v>-14.119335366707952</v>
      </c>
      <c r="BC22" s="69"/>
      <c r="BD22" s="32">
        <v>2419.799152</v>
      </c>
      <c r="BE22" s="32">
        <v>21.414151787610621</v>
      </c>
      <c r="BF22" s="32">
        <v>4.8000000000000001E-2</v>
      </c>
      <c r="BG22" s="32">
        <v>2589.3882090000002</v>
      </c>
      <c r="BH22" s="32">
        <v>22.914939902654869</v>
      </c>
      <c r="BI22" s="32">
        <v>8.7999999999999995E-2</v>
      </c>
      <c r="BJ22" s="32">
        <v>1665.7795367298852</v>
      </c>
      <c r="BK22" s="32">
        <v>14.74141182946801</v>
      </c>
      <c r="BL22" s="32">
        <v>187.20223687356321</v>
      </c>
      <c r="BM22" s="32">
        <v>1.6566569634828603</v>
      </c>
      <c r="BN22" s="32">
        <v>926.49088680172417</v>
      </c>
      <c r="BO22" s="32">
        <v>8.1990343964754349</v>
      </c>
      <c r="BP22" s="32">
        <v>338.69005283471068</v>
      </c>
      <c r="BQ22" s="32">
        <v>2.9972571047319532</v>
      </c>
      <c r="BR22" s="32">
        <v>1654.0208192231405</v>
      </c>
      <c r="BS22" s="32">
        <v>14.637352382505668</v>
      </c>
      <c r="BT22" s="32">
        <v>0.11</v>
      </c>
      <c r="BU22" s="32">
        <v>-158.64730522641511</v>
      </c>
      <c r="BV22" s="8">
        <v>-1.4039584533311071</v>
      </c>
      <c r="BW22" s="32">
        <v>1692.6249106603775</v>
      </c>
      <c r="BX22" s="32" t="s">
        <v>34</v>
      </c>
      <c r="BY22" s="32">
        <v>6.3E-2</v>
      </c>
      <c r="BZ22" s="32">
        <v>88464.659072499999</v>
      </c>
      <c r="CA22" s="32">
        <v>199252.70506800001</v>
      </c>
      <c r="CB22" s="32">
        <v>0.17299999999999999</v>
      </c>
      <c r="CC22" s="32" t="s">
        <v>34</v>
      </c>
      <c r="CD22" s="32">
        <v>63.583815028901739</v>
      </c>
      <c r="CE22" s="32">
        <v>8.1848632925687124</v>
      </c>
      <c r="CF22" s="32">
        <v>9.6580570006307429</v>
      </c>
      <c r="CG22" s="32">
        <v>17.47355101335447</v>
      </c>
      <c r="CH22" s="32">
        <v>85.9401788403175</v>
      </c>
      <c r="CI22" s="32">
        <v>8.1848632925687124</v>
      </c>
      <c r="CJ22" s="32">
        <v>30.721391608953464</v>
      </c>
      <c r="CK22" s="32">
        <v>17.47355101335447</v>
      </c>
      <c r="CL22" s="32">
        <v>23.858405270302946</v>
      </c>
      <c r="CM22" s="32" t="s">
        <v>34</v>
      </c>
      <c r="CN22" s="32" t="s">
        <v>34</v>
      </c>
      <c r="CO22" s="32" t="s">
        <v>34</v>
      </c>
      <c r="CP22" s="32" t="s">
        <v>34</v>
      </c>
      <c r="CQ22" s="17" t="s">
        <v>34</v>
      </c>
      <c r="CR22" s="69"/>
      <c r="CS22" s="32" t="s">
        <v>34</v>
      </c>
      <c r="CT22" s="32" t="s">
        <v>34</v>
      </c>
      <c r="CU22" s="32" t="s">
        <v>34</v>
      </c>
      <c r="CV22" s="32" t="s">
        <v>34</v>
      </c>
      <c r="CW22" s="32" t="s">
        <v>34</v>
      </c>
      <c r="CX22" s="32" t="s">
        <v>34</v>
      </c>
      <c r="CY22" s="32" t="s">
        <v>34</v>
      </c>
      <c r="CZ22" s="32" t="s">
        <v>34</v>
      </c>
      <c r="DA22" s="32" t="s">
        <v>34</v>
      </c>
      <c r="DB22" s="32" t="s">
        <v>34</v>
      </c>
      <c r="DC22" s="32" t="s">
        <v>34</v>
      </c>
      <c r="DD22" s="32" t="s">
        <v>34</v>
      </c>
      <c r="DE22" s="32" t="s">
        <v>34</v>
      </c>
      <c r="DF22" s="32" t="s">
        <v>34</v>
      </c>
      <c r="DG22" s="32" t="s">
        <v>34</v>
      </c>
      <c r="DH22" s="32" t="s">
        <v>34</v>
      </c>
      <c r="DI22" s="32" t="s">
        <v>34</v>
      </c>
      <c r="DJ22" s="32" t="s">
        <v>34</v>
      </c>
      <c r="DK22" s="8" t="s">
        <v>34</v>
      </c>
      <c r="DL22" s="32" t="s">
        <v>34</v>
      </c>
      <c r="DM22" s="32" t="s">
        <v>34</v>
      </c>
      <c r="DN22" s="32" t="s">
        <v>34</v>
      </c>
      <c r="DO22" s="32" t="s">
        <v>34</v>
      </c>
      <c r="DP22" s="32" t="s">
        <v>34</v>
      </c>
      <c r="DQ22" s="32" t="s">
        <v>34</v>
      </c>
      <c r="DR22" s="32" t="s">
        <v>34</v>
      </c>
      <c r="DS22" s="32" t="s">
        <v>34</v>
      </c>
      <c r="DT22" s="32" t="s">
        <v>34</v>
      </c>
      <c r="DU22" s="32" t="s">
        <v>34</v>
      </c>
      <c r="DV22" s="32" t="s">
        <v>34</v>
      </c>
      <c r="DW22" s="32" t="s">
        <v>34</v>
      </c>
      <c r="DX22" s="32" t="s">
        <v>34</v>
      </c>
      <c r="DY22" s="32" t="s">
        <v>34</v>
      </c>
      <c r="DZ22" s="32" t="s">
        <v>34</v>
      </c>
      <c r="EA22" s="32" t="s">
        <v>34</v>
      </c>
      <c r="EB22" s="32" t="s">
        <v>34</v>
      </c>
      <c r="EC22" s="69"/>
      <c r="ED22" s="32" t="s">
        <v>34</v>
      </c>
      <c r="EE22" s="32" t="s">
        <v>34</v>
      </c>
      <c r="EF22" s="32" t="s">
        <v>34</v>
      </c>
      <c r="EG22" s="32" t="s">
        <v>34</v>
      </c>
      <c r="EH22" s="32" t="s">
        <v>34</v>
      </c>
      <c r="EI22" s="32" t="s">
        <v>34</v>
      </c>
      <c r="EJ22" s="32" t="s">
        <v>34</v>
      </c>
      <c r="EK22" s="32" t="s">
        <v>34</v>
      </c>
      <c r="EL22" s="32" t="s">
        <v>34</v>
      </c>
      <c r="EM22" s="32" t="s">
        <v>34</v>
      </c>
      <c r="EN22" s="32" t="s">
        <v>34</v>
      </c>
      <c r="EO22" s="69"/>
      <c r="EP22" s="32">
        <v>1934.4399549999998</v>
      </c>
      <c r="EQ22" s="32">
        <v>17.118937654867256</v>
      </c>
      <c r="ER22" s="32">
        <v>0.247</v>
      </c>
      <c r="ES22" s="32">
        <v>1060.8912932841533</v>
      </c>
      <c r="ET22" s="32">
        <v>9.3884185246385243</v>
      </c>
      <c r="EU22" s="32">
        <v>485.67449942896178</v>
      </c>
      <c r="EV22" s="32">
        <v>4.2980044197253253</v>
      </c>
      <c r="EW22" s="32">
        <v>773.28289635655756</v>
      </c>
      <c r="EX22" s="32">
        <v>6.8432114721819257</v>
      </c>
      <c r="EY22" s="32">
        <v>0.36499999999999999</v>
      </c>
      <c r="EZ22" s="32">
        <v>5.8999999999999997E-2</v>
      </c>
      <c r="FA22" s="32">
        <v>32.622597162981165</v>
      </c>
      <c r="FB22" s="32">
        <v>67.377402837018835</v>
      </c>
      <c r="FC22" s="32">
        <v>66.759778050630516</v>
      </c>
      <c r="FD22" s="32">
        <v>76.290737000873676</v>
      </c>
      <c r="FE22" s="32">
        <v>0.58428476895004477</v>
      </c>
      <c r="FF22" s="32">
        <v>3.3107827857230876</v>
      </c>
      <c r="FG22" s="69"/>
      <c r="FH22" s="32">
        <v>715.19891100000007</v>
      </c>
      <c r="FI22" s="32">
        <v>6.3291939026548683</v>
      </c>
      <c r="FJ22" s="32">
        <v>1.2999999999999999E-2</v>
      </c>
      <c r="FK22" s="32">
        <v>2138.022485</v>
      </c>
      <c r="FL22" s="32">
        <v>18.920552964601768</v>
      </c>
      <c r="FM22" s="32">
        <v>0.13400000000000001</v>
      </c>
      <c r="FN22" s="32">
        <v>1379.8838476404956</v>
      </c>
      <c r="FO22" s="32">
        <v>12.211361483544209</v>
      </c>
      <c r="FP22" s="32">
        <v>478.11044805785122</v>
      </c>
      <c r="FQ22" s="32">
        <v>4.2310659120163825</v>
      </c>
      <c r="FR22" s="32">
        <v>928.99714784917342</v>
      </c>
      <c r="FS22" s="32">
        <v>8.2212136977802963</v>
      </c>
      <c r="FT22" s="32">
        <v>0.24099999999999999</v>
      </c>
      <c r="FU22" s="32">
        <v>5.8999999999999997E-2</v>
      </c>
      <c r="FV22" s="32">
        <v>29.234899782535109</v>
      </c>
      <c r="FW22" s="32">
        <v>70.765100217464877</v>
      </c>
      <c r="FX22" s="32">
        <v>96.762617408526125</v>
      </c>
      <c r="FY22" s="32">
        <v>97.10711145007464</v>
      </c>
      <c r="FZ22" s="32">
        <v>0.37598411928764286</v>
      </c>
      <c r="GA22" s="32">
        <v>5.6864701866951126</v>
      </c>
      <c r="GB22" s="69"/>
      <c r="GC22" s="32">
        <v>26.138626947462022</v>
      </c>
      <c r="GD22" s="32">
        <v>9.9980065132288924</v>
      </c>
      <c r="GE22" s="32">
        <v>-59.317585301837262</v>
      </c>
      <c r="GF22" s="32">
        <v>-40.924092409240927</v>
      </c>
      <c r="GG22" s="32">
        <v>-10.953231371227066</v>
      </c>
      <c r="GH22" s="69"/>
      <c r="GI22" s="32">
        <v>2467.4623160000001</v>
      </c>
      <c r="GJ22" s="32">
        <v>21.835949699115044</v>
      </c>
      <c r="GK22" s="32">
        <v>3.3000000000000002E-2</v>
      </c>
      <c r="GL22" s="32">
        <v>2663.6149569999998</v>
      </c>
      <c r="GM22" s="32">
        <v>23.571813778761062</v>
      </c>
      <c r="GN22" s="32">
        <v>8.2000000000000003E-2</v>
      </c>
      <c r="GO22" s="32">
        <v>1740.5103792362638</v>
      </c>
      <c r="GP22" s="32">
        <v>15.402746718904989</v>
      </c>
      <c r="GQ22" s="32">
        <v>156.82470346153846</v>
      </c>
      <c r="GR22" s="32">
        <v>1.3878292341729068</v>
      </c>
      <c r="GS22" s="32">
        <v>948.66754134890118</v>
      </c>
      <c r="GT22" s="32">
        <v>8.395287976538949</v>
      </c>
      <c r="GU22" s="32">
        <v>334.4981834462809</v>
      </c>
      <c r="GV22" s="32">
        <v>2.9601609154538133</v>
      </c>
      <c r="GW22" s="32">
        <v>1619.9597642644628</v>
      </c>
      <c r="GX22" s="32">
        <v>14.335927117384626</v>
      </c>
      <c r="GY22" s="32">
        <v>0.111</v>
      </c>
      <c r="GZ22" s="32">
        <v>-195.60957650819671</v>
      </c>
      <c r="HA22" s="8">
        <v>-1.7310581991875815</v>
      </c>
      <c r="HB22" s="32">
        <v>1979.6353695901641</v>
      </c>
      <c r="HC22" s="32">
        <v>-1.6015623975047149</v>
      </c>
      <c r="HD22" s="32">
        <v>7.0000000000000007E-2</v>
      </c>
      <c r="HE22" s="32">
        <v>119433.30784250001</v>
      </c>
      <c r="HF22" s="32">
        <v>194909.98971399997</v>
      </c>
      <c r="HG22" s="32">
        <v>0.18099999999999999</v>
      </c>
      <c r="HH22" s="32" t="s">
        <v>34</v>
      </c>
      <c r="HI22" s="32">
        <v>61.325966850828728</v>
      </c>
      <c r="HJ22" s="32">
        <v>10.177038734942737</v>
      </c>
      <c r="HK22" s="32">
        <v>8.1591663875265681</v>
      </c>
      <c r="HL22" s="32">
        <v>17.403038391416047</v>
      </c>
      <c r="HM22" s="32">
        <v>90.554061126527117</v>
      </c>
      <c r="HN22" s="32">
        <v>10.177038734942737</v>
      </c>
      <c r="HO22" s="32">
        <v>29.85308699804261</v>
      </c>
      <c r="HP22" s="32">
        <v>17.403038391416047</v>
      </c>
      <c r="HQ22" s="32">
        <v>22.207719854392789</v>
      </c>
      <c r="HR22" s="32">
        <v>61.325966850828728</v>
      </c>
      <c r="HS22" s="32" t="s">
        <v>34</v>
      </c>
      <c r="HT22" s="32" t="s">
        <v>34</v>
      </c>
      <c r="HU22" s="32" t="s">
        <v>34</v>
      </c>
      <c r="HV22" s="32" t="s">
        <v>34</v>
      </c>
      <c r="HW22" s="17" t="s">
        <v>34</v>
      </c>
      <c r="HX22" s="69"/>
      <c r="HY22" s="32" t="s">
        <v>34</v>
      </c>
      <c r="HZ22" s="32" t="s">
        <v>34</v>
      </c>
      <c r="IA22" s="32" t="s">
        <v>34</v>
      </c>
      <c r="IB22" s="32" t="s">
        <v>34</v>
      </c>
      <c r="IC22" s="32" t="s">
        <v>34</v>
      </c>
      <c r="ID22" s="32" t="s">
        <v>34</v>
      </c>
      <c r="IE22" s="32" t="s">
        <v>34</v>
      </c>
      <c r="IF22" s="32" t="s">
        <v>34</v>
      </c>
      <c r="IG22" s="32" t="s">
        <v>34</v>
      </c>
      <c r="IH22" s="32" t="s">
        <v>34</v>
      </c>
      <c r="II22" s="32" t="s">
        <v>34</v>
      </c>
      <c r="IJ22" s="32" t="s">
        <v>34</v>
      </c>
      <c r="IK22" s="32" t="s">
        <v>34</v>
      </c>
      <c r="IL22" s="32" t="s">
        <v>34</v>
      </c>
      <c r="IM22" s="32" t="s">
        <v>34</v>
      </c>
      <c r="IN22" s="32" t="s">
        <v>34</v>
      </c>
      <c r="IO22" s="32" t="s">
        <v>34</v>
      </c>
      <c r="IP22" s="32" t="s">
        <v>34</v>
      </c>
      <c r="IQ22" s="8" t="s">
        <v>34</v>
      </c>
      <c r="IR22" s="32" t="s">
        <v>34</v>
      </c>
      <c r="IS22" s="32" t="s">
        <v>34</v>
      </c>
      <c r="IT22" s="32" t="s">
        <v>34</v>
      </c>
      <c r="IU22" s="32" t="s">
        <v>34</v>
      </c>
      <c r="IV22" s="32" t="s">
        <v>34</v>
      </c>
      <c r="IW22" s="32" t="s">
        <v>34</v>
      </c>
      <c r="IX22" s="32" t="s">
        <v>34</v>
      </c>
      <c r="IY22" s="32" t="s">
        <v>34</v>
      </c>
      <c r="IZ22" s="32" t="s">
        <v>34</v>
      </c>
      <c r="JA22" s="32" t="s">
        <v>34</v>
      </c>
      <c r="JB22" s="32" t="s">
        <v>34</v>
      </c>
      <c r="JC22" s="32" t="s">
        <v>34</v>
      </c>
      <c r="JD22" s="32" t="s">
        <v>34</v>
      </c>
      <c r="JE22" s="32" t="s">
        <v>34</v>
      </c>
      <c r="JF22" s="32" t="s">
        <v>34</v>
      </c>
      <c r="JG22" s="32" t="s">
        <v>34</v>
      </c>
      <c r="JH22" s="32" t="s">
        <v>34</v>
      </c>
      <c r="JI22" s="69"/>
      <c r="JJ22" s="32" t="s">
        <v>34</v>
      </c>
      <c r="JK22" s="32" t="s">
        <v>34</v>
      </c>
      <c r="JL22" s="32" t="s">
        <v>34</v>
      </c>
      <c r="JM22" s="32" t="s">
        <v>34</v>
      </c>
      <c r="JN22" s="32" t="s">
        <v>34</v>
      </c>
      <c r="JO22" s="32" t="s">
        <v>34</v>
      </c>
      <c r="JP22" s="32" t="s">
        <v>34</v>
      </c>
      <c r="JQ22" s="32" t="s">
        <v>34</v>
      </c>
      <c r="JR22" s="32" t="s">
        <v>34</v>
      </c>
      <c r="JS22" s="32" t="s">
        <v>34</v>
      </c>
      <c r="JT22" s="32" t="s">
        <v>34</v>
      </c>
      <c r="JU22" s="69"/>
      <c r="JV22" s="32">
        <v>1831.1789590000001</v>
      </c>
      <c r="JW22" s="32">
        <v>16.205123530973452</v>
      </c>
      <c r="JX22" s="32">
        <v>0.32200000000000001</v>
      </c>
      <c r="JY22" s="32">
        <v>943.0860919638011</v>
      </c>
      <c r="JZ22" s="32">
        <v>8.345894619148682</v>
      </c>
      <c r="KA22" s="32">
        <v>444.16593668778279</v>
      </c>
      <c r="KB22" s="32">
        <v>3.9306720060865734</v>
      </c>
      <c r="KC22" s="32">
        <v>693.62601432579197</v>
      </c>
      <c r="KD22" s="32">
        <v>6.1382833126176282</v>
      </c>
      <c r="KE22" s="32">
        <v>0.441</v>
      </c>
      <c r="KF22" s="32">
        <v>6.2E-2</v>
      </c>
      <c r="KG22" s="32">
        <v>35.346030162543819</v>
      </c>
      <c r="KH22" s="32">
        <v>64.653969837456174</v>
      </c>
      <c r="KI22" s="32">
        <v>62.551449720014482</v>
      </c>
      <c r="KJ22" s="32">
        <v>76.721915531709953</v>
      </c>
      <c r="KK22" s="32">
        <v>0.68246036253684605</v>
      </c>
      <c r="KL22" s="32">
        <v>2.6832019257398771</v>
      </c>
      <c r="KM22" s="69"/>
      <c r="KN22" s="32">
        <v>2250.1200800000011</v>
      </c>
      <c r="KO22" s="32">
        <v>19.912567079646028</v>
      </c>
      <c r="KP22" s="32">
        <v>0.13300000000000001</v>
      </c>
      <c r="KQ22" s="32">
        <v>2250.1200800000011</v>
      </c>
      <c r="KR22" s="32">
        <v>19.912567079646028</v>
      </c>
      <c r="KS22" s="32">
        <v>0.13300000000000001</v>
      </c>
      <c r="KT22" s="32">
        <v>1394.1263792163263</v>
      </c>
      <c r="KU22" s="32">
        <v>12.337401585985189</v>
      </c>
      <c r="KV22" s="32">
        <v>447.75815969387747</v>
      </c>
      <c r="KW22" s="32">
        <v>3.962461590211305</v>
      </c>
      <c r="KX22" s="32">
        <v>920.94226945510195</v>
      </c>
      <c r="KY22" s="32">
        <v>8.1499315880982479</v>
      </c>
      <c r="KZ22" s="32">
        <v>0.24399999999999999</v>
      </c>
      <c r="LA22" s="32">
        <v>6.2E-2</v>
      </c>
      <c r="LB22" s="32">
        <v>28.025699998314554</v>
      </c>
      <c r="LC22" s="32">
        <v>71.97430000168545</v>
      </c>
      <c r="LD22" s="32">
        <v>72.658227990262404</v>
      </c>
      <c r="LE22" s="32">
        <v>99.243283831128153</v>
      </c>
      <c r="LF22" s="32">
        <v>0.39139747336448094</v>
      </c>
      <c r="LG22" s="32">
        <v>5.7489386956379818</v>
      </c>
      <c r="LH22" s="69"/>
      <c r="LI22" s="32">
        <v>38.596429962123359</v>
      </c>
      <c r="LJ22" s="32">
        <v>20.529792940761812</v>
      </c>
      <c r="LK22" s="32">
        <v>-83.076923076923066</v>
      </c>
      <c r="LL22" s="32">
        <v>-57.518248175182485</v>
      </c>
      <c r="LM22" s="32">
        <v>-23.102825646854992</v>
      </c>
      <c r="LN22" s="69"/>
      <c r="LO22" s="32">
        <v>2433.3966389999996</v>
      </c>
      <c r="LP22" s="32">
        <v>21.534483530973446</v>
      </c>
      <c r="LQ22" s="32">
        <v>3.3000000000000002E-2</v>
      </c>
      <c r="LR22" s="32">
        <v>2671.7662009999999</v>
      </c>
      <c r="LS22" s="32">
        <v>23.643948681415928</v>
      </c>
      <c r="LT22" s="32">
        <v>8.6999999999999994E-2</v>
      </c>
      <c r="LU22" s="32">
        <v>1748.8329948835976</v>
      </c>
      <c r="LV22" s="32">
        <v>15.476398184810598</v>
      </c>
      <c r="LW22" s="32">
        <v>146.71138272486772</v>
      </c>
      <c r="LX22" s="32">
        <v>1.2983308205740507</v>
      </c>
      <c r="LY22" s="32">
        <v>947.77218880423266</v>
      </c>
      <c r="LZ22" s="32">
        <v>8.3873645026923249</v>
      </c>
      <c r="MA22" s="32">
        <v>334.95471878688528</v>
      </c>
      <c r="MB22" s="32">
        <v>2.9642010512113743</v>
      </c>
      <c r="MC22" s="32">
        <v>1628.6204518934428</v>
      </c>
      <c r="MD22" s="32">
        <v>14.412570370738433</v>
      </c>
      <c r="ME22" s="32">
        <v>0.114</v>
      </c>
      <c r="MF22" s="32">
        <v>-196.06006502985076</v>
      </c>
      <c r="MG22" s="8">
        <v>-1.7350448232730156</v>
      </c>
      <c r="MH22" s="32">
        <v>1967.7274761492536</v>
      </c>
      <c r="MI22" s="32">
        <v>-0.51798263016774526</v>
      </c>
      <c r="MJ22" s="32">
        <v>7.3999999999999996E-2</v>
      </c>
      <c r="MK22" s="32">
        <v>130507.51137750001</v>
      </c>
      <c r="ML22" s="32">
        <v>197606.9855365</v>
      </c>
      <c r="MM22" s="32">
        <v>0.188</v>
      </c>
      <c r="MN22" s="32">
        <v>0.11700000000000001</v>
      </c>
      <c r="MO22" s="32">
        <v>60.638297872340431</v>
      </c>
      <c r="MP22" s="32">
        <v>9.7257548704602996</v>
      </c>
      <c r="MQ22" s="32">
        <v>7.2777643161094563</v>
      </c>
      <c r="MR22" s="32">
        <v>16.615762557914159</v>
      </c>
      <c r="MS22" s="32">
        <v>86.752603162817465</v>
      </c>
      <c r="MT22" s="32">
        <v>9.7257548704602996</v>
      </c>
      <c r="MU22" s="32">
        <v>28.380554853013219</v>
      </c>
      <c r="MV22" s="32">
        <v>16.615762557914159</v>
      </c>
      <c r="MW22" s="32">
        <v>22.041771753983877</v>
      </c>
      <c r="MX22" s="32" t="s">
        <v>34</v>
      </c>
      <c r="MY22" s="32" t="s">
        <v>34</v>
      </c>
      <c r="MZ22" s="32" t="s">
        <v>34</v>
      </c>
      <c r="NA22" s="32" t="s">
        <v>34</v>
      </c>
      <c r="NB22" s="17" t="s">
        <v>34</v>
      </c>
      <c r="NC22" s="69"/>
      <c r="ND22" s="32">
        <v>1144.0404960000001</v>
      </c>
      <c r="NE22" s="32">
        <v>10.124252176991151</v>
      </c>
      <c r="NF22" s="32">
        <v>2.8000000000000001E-2</v>
      </c>
      <c r="NG22" s="32">
        <v>1144.0404960000001</v>
      </c>
      <c r="NH22" s="32">
        <v>10.124252176991151</v>
      </c>
      <c r="NI22" s="32">
        <v>2.8000000000000001E-2</v>
      </c>
      <c r="NJ22" s="32">
        <v>270.89192866878977</v>
      </c>
      <c r="NK22" s="32">
        <v>2.397273705033538</v>
      </c>
      <c r="NL22" s="32">
        <v>2.5210440636942693</v>
      </c>
      <c r="NM22" s="32">
        <v>2.2310124457471409E-2</v>
      </c>
      <c r="NN22" s="32">
        <v>136.70648636624202</v>
      </c>
      <c r="NO22" s="32">
        <v>1.2097919147455045</v>
      </c>
      <c r="NP22" s="32">
        <v>31.453821734513276</v>
      </c>
      <c r="NQ22" s="32">
        <v>0.278352404730206</v>
      </c>
      <c r="NR22" s="32">
        <v>191.39079868141593</v>
      </c>
      <c r="NS22" s="32">
        <v>1.6937238821364242</v>
      </c>
      <c r="NT22" s="32">
        <v>9.9000000000000005E-2</v>
      </c>
      <c r="NU22" s="32">
        <v>-71.783589500000005</v>
      </c>
      <c r="NV22" s="8">
        <v>-0.63525300442477883</v>
      </c>
      <c r="NW22" s="32">
        <v>475.06528522727274</v>
      </c>
      <c r="NX22" s="32">
        <v>-0.36565050241351571</v>
      </c>
      <c r="NY22" s="32">
        <v>5.7000000000000002E-2</v>
      </c>
      <c r="NZ22" s="32">
        <v>20791.956218999996</v>
      </c>
      <c r="OA22" s="32">
        <v>21101.901429000001</v>
      </c>
      <c r="OB22" s="32">
        <v>0.156</v>
      </c>
      <c r="OC22" s="32">
        <v>0.11700000000000001</v>
      </c>
      <c r="OD22" s="32">
        <v>63.461538461538467</v>
      </c>
      <c r="OE22" s="32">
        <v>0.80378040550078256</v>
      </c>
      <c r="OF22" s="32">
        <v>22.886645857376365</v>
      </c>
      <c r="OG22" s="32">
        <v>10.028371162727282</v>
      </c>
      <c r="OH22" s="32">
        <v>86.368035929218209</v>
      </c>
      <c r="OI22" s="32">
        <v>0.80378040550078256</v>
      </c>
      <c r="OJ22" s="32">
        <v>22.886645857376365</v>
      </c>
      <c r="OK22" s="32">
        <v>10.028371162727282</v>
      </c>
      <c r="OL22" s="32">
        <v>4.5108363339350442E-2</v>
      </c>
      <c r="OM22" s="32">
        <v>25.362048438631607</v>
      </c>
      <c r="ON22" s="69"/>
      <c r="OO22" s="32">
        <v>-146.35072815909362</v>
      </c>
      <c r="OP22" s="32">
        <v>-92.797774692848151</v>
      </c>
      <c r="OQ22" s="32">
        <v>-165.66256704633079</v>
      </c>
      <c r="OR22" s="32">
        <v>-80.07353759303912</v>
      </c>
      <c r="OS22" s="32">
        <v>-102.60869565217392</v>
      </c>
      <c r="OT22" s="32">
        <v>-72.082672278740105</v>
      </c>
      <c r="OU22" s="32">
        <v>-18.604651162790699</v>
      </c>
      <c r="OV22" s="32">
        <v>166.72818342647955</v>
      </c>
      <c r="OW22" s="32">
        <v>160.21649656400686</v>
      </c>
      <c r="OX22" s="32">
        <v>80.710960819774584</v>
      </c>
      <c r="OY22" s="32">
        <v>-49.447217644637234</v>
      </c>
    </row>
    <row r="23" spans="1:415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9"/>
      <c r="K23" s="32">
        <v>1532.7029839999998</v>
      </c>
      <c r="L23" s="32">
        <v>15.801061690721648</v>
      </c>
      <c r="M23" s="32">
        <v>0.23300000000000001</v>
      </c>
      <c r="N23" s="32">
        <v>729.61239255727548</v>
      </c>
      <c r="O23" s="32">
        <v>7.5217772428585103</v>
      </c>
      <c r="P23" s="32">
        <v>416.55272463467497</v>
      </c>
      <c r="Q23" s="32">
        <v>4.294357985924484</v>
      </c>
      <c r="R23" s="32">
        <v>573.08255859597523</v>
      </c>
      <c r="S23" s="32">
        <v>5.9080676143914976</v>
      </c>
      <c r="T23" s="32">
        <v>0.32200000000000001</v>
      </c>
      <c r="U23" s="32">
        <v>7.5999999999999998E-2</v>
      </c>
      <c r="V23" s="32">
        <v>37.708116843004277</v>
      </c>
      <c r="W23" s="32">
        <v>62.291883156995716</v>
      </c>
      <c r="X23" s="32">
        <v>93.406582357774823</v>
      </c>
      <c r="Y23" s="32">
        <v>68.502577788433328</v>
      </c>
      <c r="Z23" s="32">
        <v>0.33291213820851079</v>
      </c>
      <c r="AA23" s="32">
        <v>4.603926406071837</v>
      </c>
      <c r="AB23" s="69"/>
      <c r="AC23" s="32">
        <v>161.293499</v>
      </c>
      <c r="AD23" s="32">
        <v>1.6628195773195875</v>
      </c>
      <c r="AE23" s="32">
        <v>8.0000000000000002E-3</v>
      </c>
      <c r="AF23" s="32">
        <v>2101.7566820000002</v>
      </c>
      <c r="AG23" s="32">
        <v>21.667594659793817</v>
      </c>
      <c r="AH23" s="32">
        <v>9.6000000000000002E-2</v>
      </c>
      <c r="AI23" s="32">
        <v>1286.5864332538072</v>
      </c>
      <c r="AJ23" s="32">
        <v>13.263777662410384</v>
      </c>
      <c r="AK23" s="32">
        <v>520.81343529441619</v>
      </c>
      <c r="AL23" s="32">
        <v>5.3692106731383111</v>
      </c>
      <c r="AM23" s="32">
        <v>903.69993427411168</v>
      </c>
      <c r="AN23" s="32">
        <v>9.3164941677743478</v>
      </c>
      <c r="AO23" s="32">
        <v>0.19600000000000001</v>
      </c>
      <c r="AP23" s="32">
        <v>7.5999999999999998E-2</v>
      </c>
      <c r="AQ23" s="32">
        <v>32.360918662504901</v>
      </c>
      <c r="AR23" s="32">
        <v>67.639081337495114</v>
      </c>
      <c r="AS23" s="32">
        <v>81.250000984582698</v>
      </c>
      <c r="AT23" s="32">
        <v>80.821885030439546</v>
      </c>
      <c r="AU23" s="32">
        <v>0.27768678003718333</v>
      </c>
      <c r="AV23" s="32">
        <v>7.5688035336740445</v>
      </c>
      <c r="AW23" s="69"/>
      <c r="AX23" s="32">
        <v>55.249912217607843</v>
      </c>
      <c r="AY23" s="32">
        <v>31.31434932809627</v>
      </c>
      <c r="AZ23" s="32">
        <v>-83.282674772036486</v>
      </c>
      <c r="BA23" s="32">
        <v>-48.648648648648646</v>
      </c>
      <c r="BB23" s="32">
        <v>-15.262656726818946</v>
      </c>
      <c r="BC23" s="69"/>
      <c r="BD23" s="32">
        <v>1597.967007</v>
      </c>
      <c r="BE23" s="32">
        <v>16.473886670103091</v>
      </c>
      <c r="BF23" s="32">
        <v>1.9E-2</v>
      </c>
      <c r="BG23" s="32">
        <v>2482.1778599999998</v>
      </c>
      <c r="BH23" s="32">
        <v>25.589462474226803</v>
      </c>
      <c r="BI23" s="32">
        <v>7.1999999999999995E-2</v>
      </c>
      <c r="BJ23" s="32">
        <v>1561.225847051282</v>
      </c>
      <c r="BK23" s="32">
        <v>16.095111825270948</v>
      </c>
      <c r="BL23" s="32">
        <v>241.0771707884615</v>
      </c>
      <c r="BM23" s="32">
        <v>2.4853316576130053</v>
      </c>
      <c r="BN23" s="32">
        <v>901.15150891987173</v>
      </c>
      <c r="BO23" s="32">
        <v>9.290221741441977</v>
      </c>
      <c r="BP23" s="32">
        <v>375.14169536799989</v>
      </c>
      <c r="BQ23" s="32">
        <v>3.8674401584329887</v>
      </c>
      <c r="BR23" s="32">
        <v>1545.7472785599998</v>
      </c>
      <c r="BS23" s="32">
        <v>15.935538954226802</v>
      </c>
      <c r="BT23" s="32">
        <v>0.105</v>
      </c>
      <c r="BU23" s="32">
        <v>-299.50558961290335</v>
      </c>
      <c r="BV23" s="8">
        <v>-3.0876864908546735</v>
      </c>
      <c r="BW23" s="32">
        <v>1623.639429677419</v>
      </c>
      <c r="BX23" s="32" t="s">
        <v>34</v>
      </c>
      <c r="BY23" s="32">
        <v>4.9000000000000002E-2</v>
      </c>
      <c r="BZ23" s="32">
        <v>49138.323536499985</v>
      </c>
      <c r="CA23" s="32">
        <v>193216.45316249994</v>
      </c>
      <c r="CB23" s="32">
        <v>0.155</v>
      </c>
      <c r="CC23" s="32">
        <v>9.8000000000000004E-2</v>
      </c>
      <c r="CD23" s="32">
        <v>67.741935483870961</v>
      </c>
      <c r="CE23" s="32">
        <v>15.493693922353366</v>
      </c>
      <c r="CF23" s="32">
        <v>12.471139188723878</v>
      </c>
      <c r="CG23" s="32">
        <v>19.406417800271029</v>
      </c>
      <c r="CH23" s="32">
        <v>80.76361930053713</v>
      </c>
      <c r="CI23" s="32">
        <v>15.493693922353366</v>
      </c>
      <c r="CJ23" s="32">
        <v>36.160138912768062</v>
      </c>
      <c r="CK23" s="32">
        <v>19.406417800271029</v>
      </c>
      <c r="CL23" s="32">
        <v>26.331538234414058</v>
      </c>
      <c r="CM23" s="32" t="s">
        <v>34</v>
      </c>
      <c r="CN23" s="32" t="s">
        <v>34</v>
      </c>
      <c r="CO23" s="32" t="s">
        <v>34</v>
      </c>
      <c r="CP23" s="32" t="s">
        <v>34</v>
      </c>
      <c r="CQ23" s="17" t="s">
        <v>34</v>
      </c>
      <c r="CR23" s="69"/>
      <c r="CS23" s="32">
        <v>2675.5353070000001</v>
      </c>
      <c r="CT23" s="32">
        <v>27.582838216494846</v>
      </c>
      <c r="CU23" s="32">
        <v>4.5999999999999999E-2</v>
      </c>
      <c r="CV23" s="32">
        <v>2675.5353070000001</v>
      </c>
      <c r="CW23" s="32">
        <v>27.582838216494846</v>
      </c>
      <c r="CX23" s="32">
        <v>4.5999999999999999E-2</v>
      </c>
      <c r="CY23" s="32">
        <v>1631.7391154768211</v>
      </c>
      <c r="CZ23" s="32">
        <v>16.822052736874443</v>
      </c>
      <c r="DA23" s="32">
        <v>208.53799357615893</v>
      </c>
      <c r="DB23" s="32">
        <v>2.1498762224346279</v>
      </c>
      <c r="DC23" s="32">
        <v>920.13855452649</v>
      </c>
      <c r="DD23" s="32">
        <v>9.4859644796545357</v>
      </c>
      <c r="DE23" s="32">
        <v>334.1903973781512</v>
      </c>
      <c r="DF23" s="32">
        <v>3.4452618286407342</v>
      </c>
      <c r="DG23" s="32">
        <v>1636.7699313193277</v>
      </c>
      <c r="DH23" s="32">
        <v>16.873916817725028</v>
      </c>
      <c r="DI23" s="32">
        <v>9.9000000000000005E-2</v>
      </c>
      <c r="DJ23" s="32">
        <v>-258.73188306250006</v>
      </c>
      <c r="DK23" s="8">
        <v>-2.6673390006443305</v>
      </c>
      <c r="DL23" s="32">
        <v>1613.0307690624998</v>
      </c>
      <c r="DM23" s="32">
        <v>1.1526061736469067</v>
      </c>
      <c r="DN23" s="32">
        <v>0.05</v>
      </c>
      <c r="DO23" s="32">
        <v>50310.153841500003</v>
      </c>
      <c r="DP23" s="32">
        <v>194777.10059150003</v>
      </c>
      <c r="DQ23" s="32">
        <v>0.15</v>
      </c>
      <c r="DR23" s="32">
        <v>9.8000000000000004E-2</v>
      </c>
      <c r="DS23" s="32">
        <v>66</v>
      </c>
      <c r="DT23" s="32">
        <v>10.69459444395873</v>
      </c>
      <c r="DU23" s="32">
        <v>13.268721500692205</v>
      </c>
      <c r="DV23" s="32">
        <v>17.138511336637972</v>
      </c>
      <c r="DW23" s="32">
        <v>83.681576575615438</v>
      </c>
      <c r="DX23" s="32">
        <v>10.69459444395873</v>
      </c>
      <c r="DY23" s="32">
        <v>13.268721500692205</v>
      </c>
      <c r="DZ23" s="32">
        <v>17.138511336637972</v>
      </c>
      <c r="EA23" s="32">
        <v>0.22017115303935522</v>
      </c>
      <c r="EB23" s="32">
        <v>12.152070196597247</v>
      </c>
      <c r="EC23" s="69"/>
      <c r="ED23" s="32">
        <v>4.4167893636833764</v>
      </c>
      <c r="EE23" s="32">
        <v>-14.608014884773546</v>
      </c>
      <c r="EF23" s="32">
        <v>-11.546438800282489</v>
      </c>
      <c r="EG23" s="32">
        <v>7.4977975990265193</v>
      </c>
      <c r="EH23" s="32">
        <v>-44.067796610169488</v>
      </c>
      <c r="EI23" s="32">
        <v>50.430219563465997</v>
      </c>
      <c r="EJ23" s="32">
        <v>-3.2786885245901667</v>
      </c>
      <c r="EK23" s="32">
        <v>139.96481485550737</v>
      </c>
      <c r="EL23" s="32">
        <v>15.337694656548836</v>
      </c>
      <c r="EM23" s="32">
        <v>-15.471387843723484</v>
      </c>
      <c r="EN23" s="32">
        <v>-12.411606847761306</v>
      </c>
      <c r="EO23" s="69"/>
      <c r="EP23" s="32">
        <v>1753.1470879999997</v>
      </c>
      <c r="EQ23" s="32">
        <v>18.073681319587624</v>
      </c>
      <c r="ER23" s="32">
        <v>0.28799999999999998</v>
      </c>
      <c r="ES23" s="32">
        <v>628.29100441645244</v>
      </c>
      <c r="ET23" s="32">
        <v>6.4772268496541487</v>
      </c>
      <c r="EU23" s="32">
        <v>342.96480678663238</v>
      </c>
      <c r="EV23" s="32">
        <v>3.5357196575941483</v>
      </c>
      <c r="EW23" s="32">
        <v>485.62790560154241</v>
      </c>
      <c r="EX23" s="32">
        <v>5.006473253624149</v>
      </c>
      <c r="EY23" s="32">
        <v>0.38800000000000001</v>
      </c>
      <c r="EZ23" s="32">
        <v>4.8000000000000001E-2</v>
      </c>
      <c r="FA23" s="32">
        <v>37.362473977437482</v>
      </c>
      <c r="FB23" s="32">
        <v>62.637526022562511</v>
      </c>
      <c r="FC23" s="32">
        <v>46.684655266779963</v>
      </c>
      <c r="FD23" s="32">
        <v>90.196070614270511</v>
      </c>
      <c r="FE23" s="32">
        <v>0.36193097482623621</v>
      </c>
      <c r="FF23" s="32">
        <v>4.8438713731028109</v>
      </c>
      <c r="FG23" s="69"/>
      <c r="FH23" s="32">
        <v>129.55417</v>
      </c>
      <c r="FI23" s="32">
        <v>1.33561</v>
      </c>
      <c r="FJ23" s="32">
        <v>3.0000000000000001E-3</v>
      </c>
      <c r="FK23" s="32">
        <v>1953.4834490000001</v>
      </c>
      <c r="FL23" s="32">
        <v>20.13900462886598</v>
      </c>
      <c r="FM23" s="32">
        <v>0.112</v>
      </c>
      <c r="FN23" s="32">
        <v>1207.0724827090908</v>
      </c>
      <c r="FO23" s="32">
        <v>12.444046213495781</v>
      </c>
      <c r="FP23" s="32">
        <v>453.48852541818184</v>
      </c>
      <c r="FQ23" s="32">
        <v>4.6751394373008432</v>
      </c>
      <c r="FR23" s="32">
        <v>830.28050406363627</v>
      </c>
      <c r="FS23" s="32">
        <v>8.5595928253983118</v>
      </c>
      <c r="FT23" s="32">
        <v>0.219</v>
      </c>
      <c r="FU23" s="32">
        <v>4.8000000000000001E-2</v>
      </c>
      <c r="FV23" s="32">
        <v>29.805777960528005</v>
      </c>
      <c r="FW23" s="32">
        <v>70.194222039471995</v>
      </c>
      <c r="FX23" s="32">
        <v>66.124662631265736</v>
      </c>
      <c r="FY23" s="32">
        <v>91.445422855160331</v>
      </c>
      <c r="FZ23" s="32">
        <v>0.32490164526848275</v>
      </c>
      <c r="GA23" s="32">
        <v>6.0125378786116563</v>
      </c>
      <c r="GB23" s="69"/>
      <c r="GC23" s="32">
        <v>63.069956698233952</v>
      </c>
      <c r="GD23" s="32">
        <v>10.809621244967387</v>
      </c>
      <c r="GE23" s="32">
        <v>-88</v>
      </c>
      <c r="GF23" s="32">
        <v>-55.683690280065903</v>
      </c>
      <c r="GG23" s="32">
        <v>-22.500797025024877</v>
      </c>
      <c r="GH23" s="69"/>
      <c r="GI23" s="32">
        <v>2555.4847469999995</v>
      </c>
      <c r="GJ23" s="32">
        <v>26.345203577319584</v>
      </c>
      <c r="GK23" s="32">
        <v>4.3999999999999997E-2</v>
      </c>
      <c r="GL23" s="32">
        <v>2640.3874090000004</v>
      </c>
      <c r="GM23" s="32">
        <v>27.220488752577324</v>
      </c>
      <c r="GN23" s="32">
        <v>6.7000000000000004E-2</v>
      </c>
      <c r="GO23" s="32">
        <v>1573.8148587421383</v>
      </c>
      <c r="GP23" s="32">
        <v>16.22489545094988</v>
      </c>
      <c r="GQ23" s="32">
        <v>231.69902655974843</v>
      </c>
      <c r="GR23" s="32">
        <v>2.3886497583479218</v>
      </c>
      <c r="GS23" s="32">
        <v>902.75694265094342</v>
      </c>
      <c r="GT23" s="32">
        <v>9.3067726046489003</v>
      </c>
      <c r="GU23" s="32">
        <v>342.7861682677165</v>
      </c>
      <c r="GV23" s="32">
        <v>3.5338780233785205</v>
      </c>
      <c r="GW23" s="32">
        <v>1594.2014891496062</v>
      </c>
      <c r="GX23" s="32">
        <v>16.435066898449548</v>
      </c>
      <c r="GY23" s="32">
        <v>0.109</v>
      </c>
      <c r="GZ23" s="32">
        <v>-209.17806709375</v>
      </c>
      <c r="HA23" s="8">
        <v>-2.1564749184922682</v>
      </c>
      <c r="HB23" s="32">
        <v>1492.9054193125</v>
      </c>
      <c r="HC23" s="32">
        <v>-0.55321772970360872</v>
      </c>
      <c r="HD23" s="32">
        <v>4.9000000000000002E-2</v>
      </c>
      <c r="HE23" s="32">
        <v>46484.158351999999</v>
      </c>
      <c r="HF23" s="32">
        <v>201685.23621</v>
      </c>
      <c r="HG23" s="32">
        <v>0.158</v>
      </c>
      <c r="HH23" s="32">
        <v>0.107</v>
      </c>
      <c r="HI23" s="32">
        <v>68.987341772151893</v>
      </c>
      <c r="HJ23" s="32">
        <v>10.770846675104002</v>
      </c>
      <c r="HK23" s="32">
        <v>11.930479732023807</v>
      </c>
      <c r="HL23" s="32">
        <v>17.650498984213488</v>
      </c>
      <c r="HM23" s="32">
        <v>81.037743459569995</v>
      </c>
      <c r="HN23" s="32">
        <v>10.770846675104002</v>
      </c>
      <c r="HO23" s="32">
        <v>34.460488199184738</v>
      </c>
      <c r="HP23" s="32">
        <v>17.650498984213488</v>
      </c>
      <c r="HQ23" s="32">
        <v>23.360723615219161</v>
      </c>
      <c r="HR23" s="32">
        <v>68.987341772151893</v>
      </c>
      <c r="HS23" s="32" t="s">
        <v>34</v>
      </c>
      <c r="HT23" s="32" t="s">
        <v>34</v>
      </c>
      <c r="HU23" s="32" t="s">
        <v>34</v>
      </c>
      <c r="HV23" s="32" t="s">
        <v>34</v>
      </c>
      <c r="HW23" s="17" t="s">
        <v>34</v>
      </c>
      <c r="HX23" s="69"/>
      <c r="HY23" s="32">
        <v>2637.3398190000003</v>
      </c>
      <c r="HZ23" s="32">
        <v>27.189070298969074</v>
      </c>
      <c r="IA23" s="32">
        <v>4.1000000000000002E-2</v>
      </c>
      <c r="IB23" s="32">
        <v>2637.3398190000003</v>
      </c>
      <c r="IC23" s="32">
        <v>27.189070298969074</v>
      </c>
      <c r="ID23" s="32">
        <v>4.1000000000000002E-2</v>
      </c>
      <c r="IE23" s="32">
        <v>1649.3487214906829</v>
      </c>
      <c r="IF23" s="32">
        <v>17.003595066914258</v>
      </c>
      <c r="IG23" s="32">
        <v>177.93267329813662</v>
      </c>
      <c r="IH23" s="32">
        <v>1.8343574566818208</v>
      </c>
      <c r="II23" s="32">
        <v>913.64069739440981</v>
      </c>
      <c r="IJ23" s="32">
        <v>9.4189762617980399</v>
      </c>
      <c r="IK23" s="32">
        <v>315.2046190608695</v>
      </c>
      <c r="IL23" s="32">
        <v>3.2495321552666958</v>
      </c>
      <c r="IM23" s="32">
        <v>1553.6644356608695</v>
      </c>
      <c r="IN23" s="32">
        <v>16.017159130524426</v>
      </c>
      <c r="IO23" s="32">
        <v>9.8000000000000004E-2</v>
      </c>
      <c r="IP23" s="32">
        <v>-165.24719110869563</v>
      </c>
      <c r="IQ23" s="8">
        <v>-1.7035792897803674</v>
      </c>
      <c r="IR23" s="32">
        <v>1888.5594360652176</v>
      </c>
      <c r="IS23" s="32">
        <v>-0.15383213805468401</v>
      </c>
      <c r="IT23" s="32">
        <v>6.0999999999999999E-2</v>
      </c>
      <c r="IU23" s="32">
        <v>85578.60716900001</v>
      </c>
      <c r="IV23" s="32">
        <v>178673.99793899996</v>
      </c>
      <c r="IW23" s="32">
        <v>0.16</v>
      </c>
      <c r="IX23" s="32">
        <v>0.107</v>
      </c>
      <c r="IY23" s="32">
        <v>61.250000000000007</v>
      </c>
      <c r="IZ23" s="32">
        <v>9.2590882621176505</v>
      </c>
      <c r="JA23" s="32">
        <v>8.598973416078378</v>
      </c>
      <c r="JB23" s="32">
        <v>16.402312933396061</v>
      </c>
      <c r="JC23" s="32">
        <v>85.827212642980427</v>
      </c>
      <c r="JD23" s="32">
        <v>9.2590882621176505</v>
      </c>
      <c r="JE23" s="32">
        <v>8.598973416078378</v>
      </c>
      <c r="JF23" s="32">
        <v>16.402312933396061</v>
      </c>
      <c r="JG23" s="32">
        <v>0.25735126915729745</v>
      </c>
      <c r="JH23" s="32">
        <v>10.248015592213822</v>
      </c>
      <c r="JI23" s="69"/>
      <c r="JJ23" s="32">
        <v>4.6869394536338431</v>
      </c>
      <c r="JK23" s="32">
        <v>-23.465765208233712</v>
      </c>
      <c r="JL23" s="32">
        <v>-8.3835669854366461</v>
      </c>
      <c r="JM23" s="32">
        <v>-0.11548872718664599</v>
      </c>
      <c r="JN23" s="32">
        <v>-48.148148148148145</v>
      </c>
      <c r="JO23" s="32">
        <v>3.152622275589533</v>
      </c>
      <c r="JP23" s="32">
        <v>1.2578616352201268</v>
      </c>
      <c r="JQ23" s="32">
        <v>121.10865454306159</v>
      </c>
      <c r="JR23" s="32">
        <v>25.214213622899244</v>
      </c>
      <c r="JS23" s="32">
        <v>-22.425332282918976</v>
      </c>
      <c r="JT23" s="32">
        <v>-7.3308838861084453</v>
      </c>
      <c r="JU23" s="69"/>
      <c r="JV23" s="32">
        <v>1660.8685619999999</v>
      </c>
      <c r="JW23" s="32">
        <v>17.122356309278349</v>
      </c>
      <c r="JX23" s="32">
        <v>0.38100000000000001</v>
      </c>
      <c r="JY23" s="32">
        <v>622.47289573673481</v>
      </c>
      <c r="JZ23" s="32">
        <v>6.4172463478013899</v>
      </c>
      <c r="KA23" s="32">
        <v>309.12979681632652</v>
      </c>
      <c r="KB23" s="32">
        <v>3.1869051218177993</v>
      </c>
      <c r="KC23" s="32">
        <v>465.80134627653069</v>
      </c>
      <c r="KD23" s="32">
        <v>4.8020757348095948</v>
      </c>
      <c r="KE23" s="32">
        <v>0.48899999999999999</v>
      </c>
      <c r="KF23" s="32">
        <v>4.5999999999999999E-2</v>
      </c>
      <c r="KG23" s="32">
        <v>35.569017203309059</v>
      </c>
      <c r="KH23" s="32">
        <v>64.313694639615207</v>
      </c>
      <c r="KI23" s="32">
        <v>52.24073882021446</v>
      </c>
      <c r="KJ23" s="32">
        <v>71.289922328120184</v>
      </c>
      <c r="KK23" s="32">
        <v>0.55540139432931757</v>
      </c>
      <c r="KL23" s="32">
        <v>2.9903932164333225</v>
      </c>
      <c r="KM23" s="69"/>
      <c r="KN23" s="32">
        <v>106.75956099999999</v>
      </c>
      <c r="KO23" s="32">
        <v>1.1006140309278349</v>
      </c>
      <c r="KP23" s="32">
        <v>4.0000000000000001E-3</v>
      </c>
      <c r="KQ23" s="32">
        <v>1884.6669609999997</v>
      </c>
      <c r="KR23" s="32">
        <v>19.429556298969068</v>
      </c>
      <c r="KS23" s="32">
        <v>0.127</v>
      </c>
      <c r="KT23" s="32">
        <v>1164.0294254892708</v>
      </c>
      <c r="KU23" s="32">
        <v>12.000303355559494</v>
      </c>
      <c r="KV23" s="32">
        <v>403.13962635622323</v>
      </c>
      <c r="KW23" s="32">
        <v>4.1560786222291055</v>
      </c>
      <c r="KX23" s="32">
        <v>783.58452592274705</v>
      </c>
      <c r="KY23" s="32">
        <v>8.0781909888942991</v>
      </c>
      <c r="KZ23" s="32">
        <v>0.23200000000000001</v>
      </c>
      <c r="LA23" s="32">
        <v>4.5999999999999999E-2</v>
      </c>
      <c r="LB23" s="32">
        <v>28.181574266852362</v>
      </c>
      <c r="LC23" s="32">
        <v>71.818425733147649</v>
      </c>
      <c r="LD23" s="32">
        <v>86.624203146760152</v>
      </c>
      <c r="LE23" s="32">
        <v>96.184533546688726</v>
      </c>
      <c r="LF23" s="32">
        <v>0.34429866778195034</v>
      </c>
      <c r="LG23" s="32">
        <v>5.4739304486463727</v>
      </c>
      <c r="LH23" s="69"/>
      <c r="LI23" s="32">
        <v>60.627576389700657</v>
      </c>
      <c r="LJ23" s="32">
        <v>12.624236736493689</v>
      </c>
      <c r="LK23" s="32">
        <v>-100</v>
      </c>
      <c r="LL23" s="32">
        <v>-71.289875173370319</v>
      </c>
      <c r="LM23" s="32">
        <v>-23.176076538566402</v>
      </c>
      <c r="LN23" s="69"/>
      <c r="LO23" s="32">
        <v>2671.5136750000001</v>
      </c>
      <c r="LP23" s="32">
        <v>27.541378092783507</v>
      </c>
      <c r="LQ23" s="32">
        <v>4.3999999999999997E-2</v>
      </c>
      <c r="LR23" s="32">
        <v>2734.7219479999999</v>
      </c>
      <c r="LS23" s="32">
        <v>28.193009773195875</v>
      </c>
      <c r="LT23" s="32">
        <v>6.9000000000000006E-2</v>
      </c>
      <c r="LU23" s="32">
        <v>1665.517170773006</v>
      </c>
      <c r="LV23" s="32">
        <v>17.170280111061917</v>
      </c>
      <c r="LW23" s="32">
        <v>191.93752547239265</v>
      </c>
      <c r="LX23" s="32">
        <v>1.9787373760040479</v>
      </c>
      <c r="LY23" s="32">
        <v>928.72734812269937</v>
      </c>
      <c r="LZ23" s="32">
        <v>9.5745087435329825</v>
      </c>
      <c r="MA23" s="32">
        <v>325.00277630081297</v>
      </c>
      <c r="MB23" s="32">
        <v>3.3505440855753914</v>
      </c>
      <c r="MC23" s="32">
        <v>1633.2868154878047</v>
      </c>
      <c r="MD23" s="32">
        <v>16.838008407090769</v>
      </c>
      <c r="ME23" s="32">
        <v>0.107</v>
      </c>
      <c r="MF23" s="32">
        <v>-217.23812082499995</v>
      </c>
      <c r="MG23" s="8">
        <v>-2.2395682559278347</v>
      </c>
      <c r="MH23" s="32">
        <v>1764.625513275</v>
      </c>
      <c r="MI23" s="32">
        <v>0.43015974020618541</v>
      </c>
      <c r="MJ23" s="32">
        <v>5.5E-2</v>
      </c>
      <c r="MK23" s="32">
        <v>69266.657201500013</v>
      </c>
      <c r="ML23" s="32">
        <v>199999.057936</v>
      </c>
      <c r="MM23" s="32">
        <v>0.16200000000000001</v>
      </c>
      <c r="MN23" s="32">
        <v>0.11700000000000001</v>
      </c>
      <c r="MO23" s="32">
        <v>66.049382716049379</v>
      </c>
      <c r="MP23" s="32">
        <v>10.528209610086654</v>
      </c>
      <c r="MQ23" s="32">
        <v>9.3020437321981539</v>
      </c>
      <c r="MR23" s="32">
        <v>15.750906607737928</v>
      </c>
      <c r="MS23" s="32">
        <v>80.717480967450754</v>
      </c>
      <c r="MT23" s="32">
        <v>10.528209610086654</v>
      </c>
      <c r="MU23" s="32">
        <v>28.566172416613856</v>
      </c>
      <c r="MV23" s="32">
        <v>15.750906607737928</v>
      </c>
      <c r="MW23" s="32">
        <v>22.032419444286806</v>
      </c>
      <c r="MX23" s="32" t="s">
        <v>34</v>
      </c>
      <c r="MY23" s="32" t="s">
        <v>34</v>
      </c>
      <c r="MZ23" s="32" t="s">
        <v>34</v>
      </c>
      <c r="NA23" s="32" t="s">
        <v>34</v>
      </c>
      <c r="NB23" s="17" t="s">
        <v>34</v>
      </c>
      <c r="NC23" s="69"/>
      <c r="ND23" s="32">
        <v>2769.8876179999997</v>
      </c>
      <c r="NE23" s="32">
        <v>28.555542453608243</v>
      </c>
      <c r="NF23" s="32">
        <v>4.2999999999999997E-2</v>
      </c>
      <c r="NG23" s="32">
        <v>2772.917226</v>
      </c>
      <c r="NH23" s="32">
        <v>28.586775525773195</v>
      </c>
      <c r="NI23" s="32">
        <v>6.5000000000000002E-2</v>
      </c>
      <c r="NJ23" s="32">
        <v>1672.0014868176099</v>
      </c>
      <c r="NK23" s="32">
        <v>17.237128730078453</v>
      </c>
      <c r="NL23" s="32">
        <v>152.20813716352203</v>
      </c>
      <c r="NM23" s="32">
        <v>1.5691560532321858</v>
      </c>
      <c r="NN23" s="32">
        <v>912.10481199056596</v>
      </c>
      <c r="NO23" s="32">
        <v>9.4031423916553187</v>
      </c>
      <c r="NP23" s="32">
        <v>296.76354952293576</v>
      </c>
      <c r="NQ23" s="32">
        <v>3.0594180363189252</v>
      </c>
      <c r="NR23" s="32">
        <v>1561.3206675229355</v>
      </c>
      <c r="NS23" s="32">
        <v>16.096089355906553</v>
      </c>
      <c r="NT23" s="32">
        <v>9.6000000000000002E-2</v>
      </c>
      <c r="NU23" s="32">
        <v>-162.92266178000003</v>
      </c>
      <c r="NV23" s="8">
        <v>-1.6796150698969075</v>
      </c>
      <c r="NW23" s="32">
        <v>1913.28567288</v>
      </c>
      <c r="NX23" s="32">
        <v>-0.54385577855670109</v>
      </c>
      <c r="NY23" s="32">
        <v>6.2E-2</v>
      </c>
      <c r="NZ23" s="32">
        <v>94283.974533000015</v>
      </c>
      <c r="OA23" s="32">
        <v>169188.07724350001</v>
      </c>
      <c r="OB23" s="32">
        <v>0.158</v>
      </c>
      <c r="OC23" s="32">
        <v>0.11700000000000001</v>
      </c>
      <c r="OD23" s="32">
        <v>60.75949367088608</v>
      </c>
      <c r="OE23" s="32">
        <v>7.90003515490951</v>
      </c>
      <c r="OF23" s="32">
        <v>8.4561494515281108</v>
      </c>
      <c r="OG23" s="32">
        <v>15.40287213033961</v>
      </c>
      <c r="OH23" s="32">
        <v>86.781631856708032</v>
      </c>
      <c r="OI23" s="32">
        <v>7.90003515490951</v>
      </c>
      <c r="OJ23" s="32">
        <v>8.4561494515281108</v>
      </c>
      <c r="OK23" s="32">
        <v>15.40287213033961</v>
      </c>
      <c r="OL23" s="32">
        <v>0.25374541207412105</v>
      </c>
      <c r="OM23" s="32">
        <v>10.927950197538976</v>
      </c>
      <c r="ON23" s="69"/>
      <c r="OO23" s="32">
        <v>0.38857107389386181</v>
      </c>
      <c r="OP23" s="32">
        <v>-28.574993281953304</v>
      </c>
      <c r="OQ23" s="32">
        <v>-9.0835497533464498</v>
      </c>
      <c r="OR23" s="32">
        <v>1.3869927492820953</v>
      </c>
      <c r="OS23" s="32">
        <v>-5.9701492537313481</v>
      </c>
      <c r="OT23" s="32">
        <v>3.6157576955976807</v>
      </c>
      <c r="OU23" s="32">
        <v>-2.5000000000000022</v>
      </c>
      <c r="OV23" s="32">
        <v>120.53162276981311</v>
      </c>
      <c r="OW23" s="32">
        <v>16.300455154166261</v>
      </c>
      <c r="OX23" s="32">
        <v>-21.829129462138379</v>
      </c>
      <c r="OY23" s="32">
        <v>-2.2343002454012755</v>
      </c>
    </row>
    <row r="24" spans="1:415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9"/>
      <c r="K24" s="32">
        <v>1110.6059729999997</v>
      </c>
      <c r="L24" s="32">
        <v>15.21378045205479</v>
      </c>
      <c r="M24" s="32">
        <v>0.29099999999999998</v>
      </c>
      <c r="N24" s="32">
        <v>611.41437876903547</v>
      </c>
      <c r="O24" s="32">
        <v>8.3755394351922661</v>
      </c>
      <c r="P24" s="32">
        <v>332.39307404060918</v>
      </c>
      <c r="Q24" s="32">
        <v>4.5533297813782081</v>
      </c>
      <c r="R24" s="32">
        <v>471.90372640482235</v>
      </c>
      <c r="S24" s="32">
        <v>6.464434608285238</v>
      </c>
      <c r="T24" s="32">
        <v>0.39300000000000002</v>
      </c>
      <c r="U24" s="32">
        <v>0.04</v>
      </c>
      <c r="V24" s="32">
        <v>34.022000036373647</v>
      </c>
      <c r="W24" s="32">
        <v>45.647057668368497</v>
      </c>
      <c r="X24" s="32">
        <v>87.022903671495627</v>
      </c>
      <c r="Y24" s="32">
        <v>99.279848973279215</v>
      </c>
      <c r="Z24" s="32">
        <v>0.58172961461869954</v>
      </c>
      <c r="AA24" s="32">
        <v>1.9091446353955308</v>
      </c>
      <c r="AB24" s="69"/>
      <c r="AC24" s="32" t="s">
        <v>34</v>
      </c>
      <c r="AD24" s="32" t="s">
        <v>34</v>
      </c>
      <c r="AE24" s="32" t="s">
        <v>34</v>
      </c>
      <c r="AF24" s="32" t="s">
        <v>34</v>
      </c>
      <c r="AG24" s="32" t="s">
        <v>34</v>
      </c>
      <c r="AH24" s="32" t="s">
        <v>34</v>
      </c>
      <c r="AI24" s="32" t="s">
        <v>34</v>
      </c>
      <c r="AJ24" s="32" t="s">
        <v>34</v>
      </c>
      <c r="AK24" s="32" t="s">
        <v>34</v>
      </c>
      <c r="AL24" s="32" t="s">
        <v>34</v>
      </c>
      <c r="AM24" s="32" t="s">
        <v>34</v>
      </c>
      <c r="AN24" s="32" t="s">
        <v>34</v>
      </c>
      <c r="AO24" s="32" t="s">
        <v>34</v>
      </c>
      <c r="AP24" s="32" t="s">
        <v>34</v>
      </c>
      <c r="AQ24" s="32" t="s">
        <v>34</v>
      </c>
      <c r="AR24" s="32" t="s">
        <v>34</v>
      </c>
      <c r="AS24" s="32" t="s">
        <v>34</v>
      </c>
      <c r="AT24" s="32" t="s">
        <v>34</v>
      </c>
      <c r="AU24" s="32" t="s">
        <v>34</v>
      </c>
      <c r="AV24" s="32" t="s">
        <v>34</v>
      </c>
      <c r="AW24" s="69"/>
      <c r="AX24" s="32" t="s">
        <v>34</v>
      </c>
      <c r="AY24" s="32" t="s">
        <v>34</v>
      </c>
      <c r="AZ24" s="32" t="s">
        <v>34</v>
      </c>
      <c r="BA24" s="32" t="s">
        <v>34</v>
      </c>
      <c r="BB24" s="32" t="s">
        <v>34</v>
      </c>
      <c r="BC24" s="69"/>
      <c r="BD24" s="32">
        <v>1385.674174</v>
      </c>
      <c r="BE24" s="32">
        <v>18.981838</v>
      </c>
      <c r="BF24" s="32">
        <v>1.2999999999999999E-2</v>
      </c>
      <c r="BG24" s="32">
        <v>1748.2779269999999</v>
      </c>
      <c r="BH24" s="32">
        <v>23.949012698630135</v>
      </c>
      <c r="BI24" s="32">
        <v>7.2999999999999995E-2</v>
      </c>
      <c r="BJ24" s="32">
        <v>1103.7353813846153</v>
      </c>
      <c r="BK24" s="32">
        <v>15.119662758693361</v>
      </c>
      <c r="BL24" s="32">
        <v>190.50533053205129</v>
      </c>
      <c r="BM24" s="32">
        <v>2.6096620620828945</v>
      </c>
      <c r="BN24" s="32">
        <v>647.12035595833322</v>
      </c>
      <c r="BO24" s="32">
        <v>8.8646624103881262</v>
      </c>
      <c r="BP24" s="32">
        <v>293.16228308943096</v>
      </c>
      <c r="BQ24" s="32">
        <v>4.0159216861565881</v>
      </c>
      <c r="BR24" s="32">
        <v>1077.5628131951219</v>
      </c>
      <c r="BS24" s="32">
        <v>14.761134427330436</v>
      </c>
      <c r="BT24" s="32">
        <v>0.104</v>
      </c>
      <c r="BU24" s="32">
        <v>-192.12512899999999</v>
      </c>
      <c r="BV24" s="8">
        <v>-2.6318510821917807</v>
      </c>
      <c r="BW24" s="32">
        <v>1201.2876809999998</v>
      </c>
      <c r="BX24" s="32" t="s">
        <v>34</v>
      </c>
      <c r="BY24" s="32">
        <v>5.0999999999999997E-2</v>
      </c>
      <c r="BZ24" s="32">
        <v>38826.72058400001</v>
      </c>
      <c r="CA24" s="32">
        <v>132000.03526999999</v>
      </c>
      <c r="CB24" s="32">
        <v>0.155</v>
      </c>
      <c r="CC24" s="32" t="s">
        <v>34</v>
      </c>
      <c r="CD24" s="32">
        <v>67.096774193548384</v>
      </c>
      <c r="CE24" s="32">
        <v>14.011376248408078</v>
      </c>
      <c r="CF24" s="32">
        <v>13.893246954758915</v>
      </c>
      <c r="CG24" s="32">
        <v>21.379853179998847</v>
      </c>
      <c r="CH24" s="32">
        <v>80.493643844267936</v>
      </c>
      <c r="CI24" s="32">
        <v>14.011376248408078</v>
      </c>
      <c r="CJ24" s="32">
        <v>40.140285673566126</v>
      </c>
      <c r="CK24" s="32">
        <v>21.379853179998847</v>
      </c>
      <c r="CL24" s="32">
        <v>26.689051916859146</v>
      </c>
      <c r="CM24" s="32" t="s">
        <v>34</v>
      </c>
      <c r="CN24" s="32" t="s">
        <v>34</v>
      </c>
      <c r="CO24" s="32" t="s">
        <v>34</v>
      </c>
      <c r="CP24" s="32" t="s">
        <v>34</v>
      </c>
      <c r="CQ24" s="17" t="s">
        <v>34</v>
      </c>
      <c r="CR24" s="69"/>
      <c r="CS24" s="32" t="s">
        <v>34</v>
      </c>
      <c r="CT24" s="32" t="s">
        <v>34</v>
      </c>
      <c r="CU24" s="32" t="s">
        <v>34</v>
      </c>
      <c r="CV24" s="32" t="s">
        <v>34</v>
      </c>
      <c r="CW24" s="32" t="s">
        <v>34</v>
      </c>
      <c r="CX24" s="32" t="s">
        <v>34</v>
      </c>
      <c r="CY24" s="32" t="s">
        <v>34</v>
      </c>
      <c r="CZ24" s="32" t="s">
        <v>34</v>
      </c>
      <c r="DA24" s="32" t="s">
        <v>34</v>
      </c>
      <c r="DB24" s="32" t="s">
        <v>34</v>
      </c>
      <c r="DC24" s="32" t="s">
        <v>34</v>
      </c>
      <c r="DD24" s="32" t="s">
        <v>34</v>
      </c>
      <c r="DE24" s="32" t="s">
        <v>34</v>
      </c>
      <c r="DF24" s="32" t="s">
        <v>34</v>
      </c>
      <c r="DG24" s="32" t="s">
        <v>34</v>
      </c>
      <c r="DH24" s="32" t="s">
        <v>34</v>
      </c>
      <c r="DI24" s="32" t="s">
        <v>34</v>
      </c>
      <c r="DJ24" s="32" t="s">
        <v>34</v>
      </c>
      <c r="DK24" s="8" t="s">
        <v>34</v>
      </c>
      <c r="DL24" s="32" t="s">
        <v>34</v>
      </c>
      <c r="DM24" s="32" t="s">
        <v>34</v>
      </c>
      <c r="DN24" s="32" t="s">
        <v>34</v>
      </c>
      <c r="DO24" s="32" t="s">
        <v>34</v>
      </c>
      <c r="DP24" s="32" t="s">
        <v>34</v>
      </c>
      <c r="DQ24" s="32" t="s">
        <v>34</v>
      </c>
      <c r="DR24" s="32" t="s">
        <v>34</v>
      </c>
      <c r="DS24" s="32" t="s">
        <v>34</v>
      </c>
      <c r="DT24" s="32" t="s">
        <v>34</v>
      </c>
      <c r="DU24" s="32" t="s">
        <v>34</v>
      </c>
      <c r="DV24" s="32" t="s">
        <v>34</v>
      </c>
      <c r="DW24" s="32" t="s">
        <v>34</v>
      </c>
      <c r="DX24" s="32" t="s">
        <v>34</v>
      </c>
      <c r="DY24" s="32" t="s">
        <v>34</v>
      </c>
      <c r="DZ24" s="32" t="s">
        <v>34</v>
      </c>
      <c r="EA24" s="32" t="s">
        <v>34</v>
      </c>
      <c r="EB24" s="32" t="s">
        <v>34</v>
      </c>
      <c r="EC24" s="69"/>
      <c r="ED24" s="32" t="s">
        <v>34</v>
      </c>
      <c r="EE24" s="32" t="s">
        <v>34</v>
      </c>
      <c r="EF24" s="32" t="s">
        <v>34</v>
      </c>
      <c r="EG24" s="32" t="s">
        <v>34</v>
      </c>
      <c r="EH24" s="32" t="s">
        <v>34</v>
      </c>
      <c r="EI24" s="32" t="s">
        <v>34</v>
      </c>
      <c r="EJ24" s="32" t="s">
        <v>34</v>
      </c>
      <c r="EK24" s="32" t="s">
        <v>34</v>
      </c>
      <c r="EL24" s="32" t="s">
        <v>34</v>
      </c>
      <c r="EM24" s="32" t="s">
        <v>34</v>
      </c>
      <c r="EN24" s="32" t="s">
        <v>34</v>
      </c>
      <c r="EO24" s="69"/>
      <c r="EP24" s="32">
        <v>1165.4464890000002</v>
      </c>
      <c r="EQ24" s="32">
        <v>15.965020397260275</v>
      </c>
      <c r="ER24" s="32">
        <v>0.314</v>
      </c>
      <c r="ES24" s="32">
        <v>645.9437217464789</v>
      </c>
      <c r="ET24" s="32">
        <v>8.8485441335134087</v>
      </c>
      <c r="EU24" s="32">
        <v>290.38018523708917</v>
      </c>
      <c r="EV24" s="32">
        <v>3.9778107566724543</v>
      </c>
      <c r="EW24" s="32">
        <v>468.16195349178406</v>
      </c>
      <c r="EX24" s="32">
        <v>6.4131774450929324</v>
      </c>
      <c r="EY24" s="32">
        <v>0.42499999999999999</v>
      </c>
      <c r="EZ24" s="32">
        <v>0.06</v>
      </c>
      <c r="FA24" s="32">
        <v>30.133852891306496</v>
      </c>
      <c r="FB24" s="32">
        <v>69.844138628900737</v>
      </c>
      <c r="FC24" s="32">
        <v>82.812556182805366</v>
      </c>
      <c r="FD24" s="32">
        <v>100</v>
      </c>
      <c r="FE24" s="32">
        <v>0.72980949236431936</v>
      </c>
      <c r="FF24" s="32">
        <v>1.5969187866060417</v>
      </c>
      <c r="FG24" s="69"/>
      <c r="FH24" s="32" t="s">
        <v>34</v>
      </c>
      <c r="FI24" s="32" t="s">
        <v>34</v>
      </c>
      <c r="FJ24" s="32" t="s">
        <v>34</v>
      </c>
      <c r="FK24" s="32" t="s">
        <v>34</v>
      </c>
      <c r="FL24" s="32" t="s">
        <v>34</v>
      </c>
      <c r="FM24" s="32" t="s">
        <v>34</v>
      </c>
      <c r="FN24" s="32" t="s">
        <v>34</v>
      </c>
      <c r="FO24" s="32" t="s">
        <v>34</v>
      </c>
      <c r="FP24" s="32" t="s">
        <v>34</v>
      </c>
      <c r="FQ24" s="32" t="s">
        <v>34</v>
      </c>
      <c r="FR24" s="32" t="s">
        <v>34</v>
      </c>
      <c r="FS24" s="32" t="s">
        <v>34</v>
      </c>
      <c r="FT24" s="32" t="s">
        <v>34</v>
      </c>
      <c r="FU24" s="32" t="s">
        <v>34</v>
      </c>
      <c r="FV24" s="32" t="s">
        <v>34</v>
      </c>
      <c r="FW24" s="32" t="s">
        <v>34</v>
      </c>
      <c r="FX24" s="32" t="s">
        <v>34</v>
      </c>
      <c r="FY24" s="32" t="s">
        <v>34</v>
      </c>
      <c r="FZ24" s="32" t="s">
        <v>34</v>
      </c>
      <c r="GA24" s="32" t="s">
        <v>34</v>
      </c>
      <c r="GB24" s="69"/>
      <c r="GC24" s="32" t="s">
        <v>34</v>
      </c>
      <c r="GD24" s="32" t="s">
        <v>34</v>
      </c>
      <c r="GE24" s="32" t="s">
        <v>34</v>
      </c>
      <c r="GF24" s="32" t="s">
        <v>34</v>
      </c>
      <c r="GG24" s="32" t="s">
        <v>34</v>
      </c>
      <c r="GH24" s="69"/>
      <c r="GI24" s="32">
        <v>1768.9626019999998</v>
      </c>
      <c r="GJ24" s="32">
        <v>24.232364410958901</v>
      </c>
      <c r="GK24" s="32">
        <v>1.6E-2</v>
      </c>
      <c r="GL24" s="32">
        <v>1802.703724</v>
      </c>
      <c r="GM24" s="32">
        <v>24.694571561643833</v>
      </c>
      <c r="GN24" s="32">
        <v>7.9000000000000001E-2</v>
      </c>
      <c r="GO24" s="32">
        <v>1105.7138098</v>
      </c>
      <c r="GP24" s="32">
        <v>15.14676451780822</v>
      </c>
      <c r="GQ24" s="32">
        <v>121.81306956571431</v>
      </c>
      <c r="GR24" s="32">
        <v>1.6686721858317028</v>
      </c>
      <c r="GS24" s="32">
        <v>613.76343968285721</v>
      </c>
      <c r="GT24" s="32">
        <v>8.4077183518199625</v>
      </c>
      <c r="GU24" s="32">
        <v>242.51462576377949</v>
      </c>
      <c r="GV24" s="32">
        <v>3.3221181611476642</v>
      </c>
      <c r="GW24" s="32">
        <v>1039.564682409449</v>
      </c>
      <c r="GX24" s="32">
        <v>14.240612087800672</v>
      </c>
      <c r="GY24" s="32">
        <v>0.113</v>
      </c>
      <c r="GZ24" s="32">
        <v>-197.54313120833334</v>
      </c>
      <c r="HA24" s="8">
        <v>-2.7060702905251142</v>
      </c>
      <c r="HB24" s="32">
        <v>1280.7333760208332</v>
      </c>
      <c r="HC24" s="32">
        <v>-1.0793463224885844</v>
      </c>
      <c r="HD24" s="32">
        <v>6.0999999999999999E-2</v>
      </c>
      <c r="HE24" s="32">
        <v>60631.801553999998</v>
      </c>
      <c r="HF24" s="32">
        <v>131392.41676249998</v>
      </c>
      <c r="HG24" s="32">
        <v>0.17399999999999999</v>
      </c>
      <c r="HH24" s="32" t="s">
        <v>34</v>
      </c>
      <c r="HI24" s="32">
        <v>64.942528735632195</v>
      </c>
      <c r="HJ24" s="32">
        <v>14.642454866103641</v>
      </c>
      <c r="HK24" s="32">
        <v>9.0291287897853874</v>
      </c>
      <c r="HL24" s="32">
        <v>17.975869069176511</v>
      </c>
      <c r="HM24" s="32">
        <v>81.958630785037485</v>
      </c>
      <c r="HN24" s="32">
        <v>14.642454866103641</v>
      </c>
      <c r="HO24" s="32">
        <v>34.442992539107586</v>
      </c>
      <c r="HP24" s="32">
        <v>17.975869069176511</v>
      </c>
      <c r="HQ24" s="32">
        <v>24.69056753716076</v>
      </c>
      <c r="HR24" s="32">
        <v>64.942528735632195</v>
      </c>
      <c r="HS24" s="32" t="s">
        <v>34</v>
      </c>
      <c r="HT24" s="32" t="s">
        <v>34</v>
      </c>
      <c r="HU24" s="32" t="s">
        <v>34</v>
      </c>
      <c r="HV24" s="32" t="s">
        <v>34</v>
      </c>
      <c r="HW24" s="17" t="s">
        <v>34</v>
      </c>
      <c r="HX24" s="69"/>
      <c r="HY24" s="32" t="s">
        <v>34</v>
      </c>
      <c r="HZ24" s="32" t="s">
        <v>34</v>
      </c>
      <c r="IA24" s="32" t="s">
        <v>34</v>
      </c>
      <c r="IB24" s="32" t="s">
        <v>34</v>
      </c>
      <c r="IC24" s="32" t="s">
        <v>34</v>
      </c>
      <c r="ID24" s="32" t="s">
        <v>34</v>
      </c>
      <c r="IE24" s="32" t="s">
        <v>34</v>
      </c>
      <c r="IF24" s="32" t="s">
        <v>34</v>
      </c>
      <c r="IG24" s="32" t="s">
        <v>34</v>
      </c>
      <c r="IH24" s="32" t="s">
        <v>34</v>
      </c>
      <c r="II24" s="32" t="s">
        <v>34</v>
      </c>
      <c r="IJ24" s="32" t="s">
        <v>34</v>
      </c>
      <c r="IK24" s="32" t="s">
        <v>34</v>
      </c>
      <c r="IL24" s="32" t="s">
        <v>34</v>
      </c>
      <c r="IM24" s="32" t="s">
        <v>34</v>
      </c>
      <c r="IN24" s="32" t="s">
        <v>34</v>
      </c>
      <c r="IO24" s="32" t="s">
        <v>34</v>
      </c>
      <c r="IP24" s="32" t="s">
        <v>34</v>
      </c>
      <c r="IQ24" s="8" t="s">
        <v>34</v>
      </c>
      <c r="IR24" s="32" t="s">
        <v>34</v>
      </c>
      <c r="IS24" s="32" t="s">
        <v>34</v>
      </c>
      <c r="IT24" s="32" t="s">
        <v>34</v>
      </c>
      <c r="IU24" s="32" t="s">
        <v>34</v>
      </c>
      <c r="IV24" s="32" t="s">
        <v>34</v>
      </c>
      <c r="IW24" s="32" t="s">
        <v>34</v>
      </c>
      <c r="IX24" s="32" t="s">
        <v>34</v>
      </c>
      <c r="IY24" s="32" t="s">
        <v>34</v>
      </c>
      <c r="IZ24" s="32" t="s">
        <v>34</v>
      </c>
      <c r="JA24" s="32" t="s">
        <v>34</v>
      </c>
      <c r="JB24" s="32" t="s">
        <v>34</v>
      </c>
      <c r="JC24" s="32" t="s">
        <v>34</v>
      </c>
      <c r="JD24" s="32" t="s">
        <v>34</v>
      </c>
      <c r="JE24" s="32" t="s">
        <v>34</v>
      </c>
      <c r="JF24" s="32" t="s">
        <v>34</v>
      </c>
      <c r="JG24" s="32" t="s">
        <v>34</v>
      </c>
      <c r="JH24" s="32" t="s">
        <v>34</v>
      </c>
      <c r="JI24" s="69"/>
      <c r="JJ24" s="32" t="s">
        <v>34</v>
      </c>
      <c r="JK24" s="32" t="s">
        <v>34</v>
      </c>
      <c r="JL24" s="32" t="s">
        <v>34</v>
      </c>
      <c r="JM24" s="32" t="s">
        <v>34</v>
      </c>
      <c r="JN24" s="32" t="s">
        <v>34</v>
      </c>
      <c r="JO24" s="32" t="s">
        <v>34</v>
      </c>
      <c r="JP24" s="32" t="s">
        <v>34</v>
      </c>
      <c r="JQ24" s="32" t="s">
        <v>34</v>
      </c>
      <c r="JR24" s="32" t="s">
        <v>34</v>
      </c>
      <c r="JS24" s="32" t="s">
        <v>34</v>
      </c>
      <c r="JT24" s="32" t="s">
        <v>34</v>
      </c>
      <c r="JU24" s="69"/>
      <c r="JV24" s="32">
        <v>1115.7095510000001</v>
      </c>
      <c r="JW24" s="32">
        <v>15.283692479452057</v>
      </c>
      <c r="JX24" s="32">
        <v>0.28000000000000003</v>
      </c>
      <c r="JY24" s="32">
        <v>629.01667128497422</v>
      </c>
      <c r="JZ24" s="32">
        <v>8.6166667299311541</v>
      </c>
      <c r="KA24" s="32">
        <v>326.4649882227979</v>
      </c>
      <c r="KB24" s="32">
        <v>4.4721231263396977</v>
      </c>
      <c r="KC24" s="32">
        <v>477.74082975388603</v>
      </c>
      <c r="KD24" s="32">
        <v>6.544394928135425</v>
      </c>
      <c r="KE24" s="32">
        <v>0.38500000000000001</v>
      </c>
      <c r="KF24" s="32">
        <v>7.0000000000000007E-2</v>
      </c>
      <c r="KG24" s="32">
        <v>34.684451044554471</v>
      </c>
      <c r="KH24" s="32">
        <v>65.315548955445493</v>
      </c>
      <c r="KI24" s="32">
        <v>52.481201452651419</v>
      </c>
      <c r="KJ24" s="32">
        <v>73.529422157903085</v>
      </c>
      <c r="KK24" s="32">
        <v>0.59805463279029214</v>
      </c>
      <c r="KL24" s="32">
        <v>1.8655645986630518</v>
      </c>
      <c r="KM24" s="69"/>
      <c r="KN24" s="32" t="s">
        <v>34</v>
      </c>
      <c r="KO24" s="32" t="s">
        <v>34</v>
      </c>
      <c r="KP24" s="32" t="s">
        <v>34</v>
      </c>
      <c r="KQ24" s="32" t="s">
        <v>34</v>
      </c>
      <c r="KR24" s="32" t="s">
        <v>34</v>
      </c>
      <c r="KS24" s="32" t="s">
        <v>34</v>
      </c>
      <c r="KT24" s="32" t="s">
        <v>34</v>
      </c>
      <c r="KU24" s="32" t="s">
        <v>34</v>
      </c>
      <c r="KV24" s="32" t="s">
        <v>34</v>
      </c>
      <c r="KW24" s="32" t="s">
        <v>34</v>
      </c>
      <c r="KX24" s="32" t="s">
        <v>34</v>
      </c>
      <c r="KY24" s="32" t="s">
        <v>34</v>
      </c>
      <c r="KZ24" s="32" t="s">
        <v>34</v>
      </c>
      <c r="LA24" s="32" t="s">
        <v>34</v>
      </c>
      <c r="LB24" s="32" t="s">
        <v>34</v>
      </c>
      <c r="LC24" s="32" t="s">
        <v>34</v>
      </c>
      <c r="LD24" s="32" t="s">
        <v>34</v>
      </c>
      <c r="LE24" s="32" t="s">
        <v>34</v>
      </c>
      <c r="LF24" s="32" t="s">
        <v>34</v>
      </c>
      <c r="LG24" s="32" t="s">
        <v>34</v>
      </c>
      <c r="LH24" s="69"/>
      <c r="LI24" s="32" t="s">
        <v>34</v>
      </c>
      <c r="LJ24" s="32" t="s">
        <v>34</v>
      </c>
      <c r="LK24" s="32" t="s">
        <v>34</v>
      </c>
      <c r="LL24" s="32" t="s">
        <v>34</v>
      </c>
      <c r="LM24" s="32" t="s">
        <v>34</v>
      </c>
      <c r="LN24" s="69"/>
      <c r="LO24" s="32">
        <v>1372.9243109999998</v>
      </c>
      <c r="LP24" s="32">
        <v>18.807182342465751</v>
      </c>
      <c r="LQ24" s="32">
        <v>1.2999999999999999E-2</v>
      </c>
      <c r="LR24" s="32">
        <v>1812.4238829999999</v>
      </c>
      <c r="LS24" s="32">
        <v>24.827724424657532</v>
      </c>
      <c r="LT24" s="32">
        <v>7.4999999999999997E-2</v>
      </c>
      <c r="LU24" s="32">
        <v>1091.834261616279</v>
      </c>
      <c r="LV24" s="32">
        <v>14.956633720770945</v>
      </c>
      <c r="LW24" s="32">
        <v>141.60425129651162</v>
      </c>
      <c r="LX24" s="32">
        <v>1.9397842643357757</v>
      </c>
      <c r="LY24" s="32">
        <v>616.71925645639533</v>
      </c>
      <c r="LZ24" s="32">
        <v>8.4482089925533614</v>
      </c>
      <c r="MA24" s="32">
        <v>241.93848275187972</v>
      </c>
      <c r="MB24" s="32">
        <v>3.3142257911216402</v>
      </c>
      <c r="MC24" s="32">
        <v>1069.7115037669173</v>
      </c>
      <c r="MD24" s="32">
        <v>14.653582243382429</v>
      </c>
      <c r="ME24" s="32">
        <v>0.11600000000000001</v>
      </c>
      <c r="MF24" s="32">
        <v>-200.56120469230765</v>
      </c>
      <c r="MG24" s="8">
        <v>-2.747413762908324</v>
      </c>
      <c r="MH24" s="32">
        <v>1167.2785383846156</v>
      </c>
      <c r="MI24" s="32">
        <v>-1.3094677235686687</v>
      </c>
      <c r="MJ24" s="32">
        <v>0.17100000000000001</v>
      </c>
      <c r="MK24" s="32">
        <v>45501.771702999999</v>
      </c>
      <c r="ML24" s="32">
        <v>141785.44118700002</v>
      </c>
      <c r="MM24" s="32">
        <v>0.17100000000000001</v>
      </c>
      <c r="MN24" s="32">
        <v>9.7000000000000003E-2</v>
      </c>
      <c r="MO24" s="32">
        <v>67.836257309941516</v>
      </c>
      <c r="MP24" s="32">
        <v>15.092762103548122</v>
      </c>
      <c r="MQ24" s="32">
        <v>10.656095135388194</v>
      </c>
      <c r="MR24" s="32">
        <v>18.206511919737942</v>
      </c>
      <c r="MS24" s="32">
        <v>82.163421347407038</v>
      </c>
      <c r="MT24" s="32">
        <v>15.092762103548122</v>
      </c>
      <c r="MU24" s="32">
        <v>35.219053520159754</v>
      </c>
      <c r="MV24" s="32">
        <v>18.206511919737942</v>
      </c>
      <c r="MW24" s="32">
        <v>24.043261228130817</v>
      </c>
      <c r="MX24" s="32" t="s">
        <v>34</v>
      </c>
      <c r="MY24" s="32" t="s">
        <v>34</v>
      </c>
      <c r="MZ24" s="32" t="s">
        <v>34</v>
      </c>
      <c r="NA24" s="32" t="s">
        <v>34</v>
      </c>
      <c r="NB24" s="17" t="s">
        <v>34</v>
      </c>
      <c r="NC24" s="69"/>
      <c r="ND24" s="32">
        <v>1129.0724809999999</v>
      </c>
      <c r="NE24" s="32">
        <v>15.466746315068493</v>
      </c>
      <c r="NF24" s="32">
        <v>0.02</v>
      </c>
      <c r="NG24" s="32">
        <v>1129.0724809999999</v>
      </c>
      <c r="NH24" s="32">
        <v>15.466746315068493</v>
      </c>
      <c r="NI24" s="32">
        <v>0.02</v>
      </c>
      <c r="NJ24" s="32">
        <v>361.11065353623184</v>
      </c>
      <c r="NK24" s="32">
        <v>4.9467212813182444</v>
      </c>
      <c r="NL24" s="32">
        <v>-65.848129246376814</v>
      </c>
      <c r="NM24" s="32">
        <v>-0.90202916775858655</v>
      </c>
      <c r="NN24" s="32">
        <v>147.63126214492752</v>
      </c>
      <c r="NO24" s="32">
        <v>2.022346056779829</v>
      </c>
      <c r="NP24" s="32">
        <v>16.01393413043478</v>
      </c>
      <c r="NQ24" s="32">
        <v>0.2193689606908874</v>
      </c>
      <c r="NR24" s="32">
        <v>290.88530026086954</v>
      </c>
      <c r="NS24" s="32">
        <v>3.9847301405598565</v>
      </c>
      <c r="NT24" s="32">
        <v>0.01</v>
      </c>
      <c r="NU24" s="32">
        <v>-106.77916093478261</v>
      </c>
      <c r="NV24" s="8">
        <v>-1.4627282319833235</v>
      </c>
      <c r="NW24" s="32">
        <v>396.22333017391304</v>
      </c>
      <c r="NX24" s="32">
        <v>0.56088704020250146</v>
      </c>
      <c r="NY24" s="32">
        <v>5.8000000000000003E-2</v>
      </c>
      <c r="NZ24" s="32">
        <v>18197.680741499993</v>
      </c>
      <c r="OA24" s="32">
        <v>6690.0102494999974</v>
      </c>
      <c r="OB24" s="32">
        <v>6.8000000000000005E-2</v>
      </c>
      <c r="OC24" s="32">
        <v>9.7000000000000003E-2</v>
      </c>
      <c r="OD24" s="32">
        <v>14.705882352941178</v>
      </c>
      <c r="OE24" s="32">
        <v>15.046367072336666</v>
      </c>
      <c r="OF24" s="32">
        <v>24.39915103874046</v>
      </c>
      <c r="OG24" s="32">
        <v>3.6592008604709174</v>
      </c>
      <c r="OH24" s="32">
        <v>82.51416568734939</v>
      </c>
      <c r="OI24" s="32">
        <v>15.046367072336666</v>
      </c>
      <c r="OJ24" s="32">
        <v>24.39915103874046</v>
      </c>
      <c r="OK24" s="32">
        <v>3.6592008604709174</v>
      </c>
      <c r="OL24" s="32">
        <v>1.5645727628231122E-2</v>
      </c>
      <c r="OM24" s="32">
        <v>72.164907112578362</v>
      </c>
      <c r="ON24" s="69"/>
      <c r="OO24" s="32">
        <v>-100.58517710609082</v>
      </c>
      <c r="OP24" s="32">
        <v>-61.028133135830899</v>
      </c>
      <c r="OQ24" s="32">
        <v>-175.16761529279904</v>
      </c>
      <c r="OR24" s="32">
        <v>-46.462841862618745</v>
      </c>
      <c r="OS24" s="32">
        <v>-115.78947368421051</v>
      </c>
      <c r="OT24" s="32">
        <v>-19.492577350994448</v>
      </c>
      <c r="OU24" s="32">
        <v>-86.192468619246867</v>
      </c>
      <c r="OV24" s="32">
        <v>191.53422030237982</v>
      </c>
      <c r="OW24" s="32">
        <v>-34.162267423772178</v>
      </c>
      <c r="OX24" s="32">
        <v>47.13060570989105</v>
      </c>
      <c r="OY24" s="32">
        <v>-133.06047880071046</v>
      </c>
    </row>
    <row r="25" spans="1:415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9"/>
      <c r="K25" s="32" t="s">
        <v>34</v>
      </c>
      <c r="L25" s="32" t="s">
        <v>34</v>
      </c>
      <c r="M25" s="32" t="s">
        <v>34</v>
      </c>
      <c r="N25" s="32" t="s">
        <v>34</v>
      </c>
      <c r="O25" s="32" t="s">
        <v>34</v>
      </c>
      <c r="P25" s="32" t="s">
        <v>34</v>
      </c>
      <c r="Q25" s="32" t="s">
        <v>34</v>
      </c>
      <c r="R25" s="32" t="s">
        <v>34</v>
      </c>
      <c r="S25" s="32" t="s">
        <v>34</v>
      </c>
      <c r="T25" s="32" t="s">
        <v>34</v>
      </c>
      <c r="U25" s="32" t="s">
        <v>34</v>
      </c>
      <c r="V25" s="32" t="s">
        <v>34</v>
      </c>
      <c r="W25" s="32" t="s">
        <v>34</v>
      </c>
      <c r="X25" s="32" t="s">
        <v>34</v>
      </c>
      <c r="Y25" s="32" t="s">
        <v>34</v>
      </c>
      <c r="Z25" s="32" t="s">
        <v>34</v>
      </c>
      <c r="AA25" s="32" t="s">
        <v>34</v>
      </c>
      <c r="AB25" s="69"/>
      <c r="AC25" s="32" t="s">
        <v>34</v>
      </c>
      <c r="AD25" s="32" t="s">
        <v>34</v>
      </c>
      <c r="AE25" s="32" t="s">
        <v>34</v>
      </c>
      <c r="AF25" s="32" t="s">
        <v>34</v>
      </c>
      <c r="AG25" s="32" t="s">
        <v>34</v>
      </c>
      <c r="AH25" s="32" t="s">
        <v>34</v>
      </c>
      <c r="AI25" s="32" t="s">
        <v>34</v>
      </c>
      <c r="AJ25" s="32" t="s">
        <v>34</v>
      </c>
      <c r="AK25" s="32" t="s">
        <v>34</v>
      </c>
      <c r="AL25" s="32" t="s">
        <v>34</v>
      </c>
      <c r="AM25" s="32" t="s">
        <v>34</v>
      </c>
      <c r="AN25" s="32" t="s">
        <v>34</v>
      </c>
      <c r="AO25" s="32" t="s">
        <v>34</v>
      </c>
      <c r="AP25" s="32" t="s">
        <v>34</v>
      </c>
      <c r="AQ25" s="32" t="s">
        <v>34</v>
      </c>
      <c r="AR25" s="32" t="s">
        <v>34</v>
      </c>
      <c r="AS25" s="32" t="s">
        <v>34</v>
      </c>
      <c r="AT25" s="32" t="s">
        <v>34</v>
      </c>
      <c r="AU25" s="32" t="s">
        <v>34</v>
      </c>
      <c r="AV25" s="32" t="s">
        <v>34</v>
      </c>
      <c r="AW25" s="69"/>
      <c r="AX25" s="32" t="s">
        <v>34</v>
      </c>
      <c r="AY25" s="32" t="s">
        <v>34</v>
      </c>
      <c r="AZ25" s="32" t="s">
        <v>34</v>
      </c>
      <c r="BA25" s="32" t="s">
        <v>34</v>
      </c>
      <c r="BB25" s="32" t="s">
        <v>34</v>
      </c>
      <c r="BC25" s="69"/>
      <c r="BD25" s="32" t="s">
        <v>34</v>
      </c>
      <c r="BE25" s="32" t="s">
        <v>34</v>
      </c>
      <c r="BF25" s="32" t="s">
        <v>34</v>
      </c>
      <c r="BG25" s="32" t="s">
        <v>34</v>
      </c>
      <c r="BH25" s="32" t="s">
        <v>34</v>
      </c>
      <c r="BI25" s="32" t="s">
        <v>34</v>
      </c>
      <c r="BJ25" s="32" t="s">
        <v>34</v>
      </c>
      <c r="BK25" s="32" t="s">
        <v>34</v>
      </c>
      <c r="BL25" s="32" t="s">
        <v>34</v>
      </c>
      <c r="BM25" s="32" t="s">
        <v>34</v>
      </c>
      <c r="BN25" s="32" t="s">
        <v>34</v>
      </c>
      <c r="BO25" s="32" t="s">
        <v>34</v>
      </c>
      <c r="BP25" s="32" t="s">
        <v>34</v>
      </c>
      <c r="BQ25" s="32" t="s">
        <v>34</v>
      </c>
      <c r="BR25" s="32" t="s">
        <v>34</v>
      </c>
      <c r="BS25" s="32" t="s">
        <v>34</v>
      </c>
      <c r="BT25" s="32" t="s">
        <v>34</v>
      </c>
      <c r="BU25" s="32" t="s">
        <v>34</v>
      </c>
      <c r="BV25" s="8" t="s">
        <v>34</v>
      </c>
      <c r="BW25" s="32" t="s">
        <v>34</v>
      </c>
      <c r="BX25" s="32" t="s">
        <v>34</v>
      </c>
      <c r="BY25" s="32" t="s">
        <v>34</v>
      </c>
      <c r="BZ25" s="32" t="s">
        <v>34</v>
      </c>
      <c r="CA25" s="32" t="s">
        <v>34</v>
      </c>
      <c r="CB25" s="32" t="s">
        <v>34</v>
      </c>
      <c r="CC25" s="32" t="s">
        <v>34</v>
      </c>
      <c r="CD25" s="32" t="s">
        <v>34</v>
      </c>
      <c r="CE25" s="32" t="s">
        <v>34</v>
      </c>
      <c r="CF25" s="32" t="s">
        <v>34</v>
      </c>
      <c r="CG25" s="32" t="s">
        <v>34</v>
      </c>
      <c r="CH25" s="32" t="s">
        <v>34</v>
      </c>
      <c r="CI25" s="32" t="s">
        <v>34</v>
      </c>
      <c r="CJ25" s="32" t="s">
        <v>34</v>
      </c>
      <c r="CK25" s="32" t="s">
        <v>34</v>
      </c>
      <c r="CL25" s="32" t="s">
        <v>34</v>
      </c>
      <c r="CM25" s="32" t="s">
        <v>34</v>
      </c>
      <c r="CN25" s="32" t="s">
        <v>34</v>
      </c>
      <c r="CO25" s="32" t="s">
        <v>34</v>
      </c>
      <c r="CP25" s="32" t="s">
        <v>34</v>
      </c>
      <c r="CQ25" s="17" t="s">
        <v>34</v>
      </c>
      <c r="CR25" s="69"/>
      <c r="CS25" s="32" t="s">
        <v>34</v>
      </c>
      <c r="CT25" s="32" t="s">
        <v>34</v>
      </c>
      <c r="CU25" s="32" t="s">
        <v>34</v>
      </c>
      <c r="CV25" s="32" t="s">
        <v>34</v>
      </c>
      <c r="CW25" s="32" t="s">
        <v>34</v>
      </c>
      <c r="CX25" s="32" t="s">
        <v>34</v>
      </c>
      <c r="CY25" s="32" t="s">
        <v>34</v>
      </c>
      <c r="CZ25" s="32" t="s">
        <v>34</v>
      </c>
      <c r="DA25" s="32" t="s">
        <v>34</v>
      </c>
      <c r="DB25" s="32" t="s">
        <v>34</v>
      </c>
      <c r="DC25" s="32" t="s">
        <v>34</v>
      </c>
      <c r="DD25" s="32" t="s">
        <v>34</v>
      </c>
      <c r="DE25" s="32" t="s">
        <v>34</v>
      </c>
      <c r="DF25" s="32" t="s">
        <v>34</v>
      </c>
      <c r="DG25" s="32" t="s">
        <v>34</v>
      </c>
      <c r="DH25" s="32" t="s">
        <v>34</v>
      </c>
      <c r="DI25" s="32" t="s">
        <v>34</v>
      </c>
      <c r="DJ25" s="32" t="s">
        <v>34</v>
      </c>
      <c r="DK25" s="8" t="s">
        <v>34</v>
      </c>
      <c r="DL25" s="32" t="s">
        <v>34</v>
      </c>
      <c r="DM25" s="32" t="s">
        <v>34</v>
      </c>
      <c r="DN25" s="32" t="s">
        <v>34</v>
      </c>
      <c r="DO25" s="32" t="s">
        <v>34</v>
      </c>
      <c r="DP25" s="32" t="s">
        <v>34</v>
      </c>
      <c r="DQ25" s="32" t="s">
        <v>34</v>
      </c>
      <c r="DR25" s="32" t="s">
        <v>34</v>
      </c>
      <c r="DS25" s="32" t="s">
        <v>34</v>
      </c>
      <c r="DT25" s="32" t="s">
        <v>34</v>
      </c>
      <c r="DU25" s="32" t="s">
        <v>34</v>
      </c>
      <c r="DV25" s="32" t="s">
        <v>34</v>
      </c>
      <c r="DW25" s="32" t="s">
        <v>34</v>
      </c>
      <c r="DX25" s="32" t="s">
        <v>34</v>
      </c>
      <c r="DY25" s="32" t="s">
        <v>34</v>
      </c>
      <c r="DZ25" s="32" t="s">
        <v>34</v>
      </c>
      <c r="EA25" s="32" t="s">
        <v>34</v>
      </c>
      <c r="EB25" s="32" t="s">
        <v>34</v>
      </c>
      <c r="EC25" s="69"/>
      <c r="ED25" s="32" t="s">
        <v>34</v>
      </c>
      <c r="EE25" s="32" t="s">
        <v>34</v>
      </c>
      <c r="EF25" s="32" t="s">
        <v>34</v>
      </c>
      <c r="EG25" s="32" t="s">
        <v>34</v>
      </c>
      <c r="EH25" s="32" t="s">
        <v>34</v>
      </c>
      <c r="EI25" s="32" t="s">
        <v>34</v>
      </c>
      <c r="EJ25" s="32" t="s">
        <v>34</v>
      </c>
      <c r="EK25" s="32" t="s">
        <v>34</v>
      </c>
      <c r="EL25" s="32" t="s">
        <v>34</v>
      </c>
      <c r="EM25" s="32" t="s">
        <v>34</v>
      </c>
      <c r="EN25" s="32" t="s">
        <v>34</v>
      </c>
      <c r="EO25" s="69"/>
      <c r="EP25" s="32" t="s">
        <v>34</v>
      </c>
      <c r="EQ25" s="32" t="s">
        <v>34</v>
      </c>
      <c r="ER25" s="32" t="s">
        <v>34</v>
      </c>
      <c r="ES25" s="32" t="s">
        <v>34</v>
      </c>
      <c r="ET25" s="32" t="s">
        <v>34</v>
      </c>
      <c r="EU25" s="32" t="s">
        <v>34</v>
      </c>
      <c r="EV25" s="32" t="s">
        <v>34</v>
      </c>
      <c r="EW25" s="32" t="s">
        <v>34</v>
      </c>
      <c r="EX25" s="32" t="s">
        <v>34</v>
      </c>
      <c r="EY25" s="32" t="s">
        <v>34</v>
      </c>
      <c r="EZ25" s="32" t="s">
        <v>34</v>
      </c>
      <c r="FA25" s="32" t="s">
        <v>34</v>
      </c>
      <c r="FB25" s="32" t="s">
        <v>34</v>
      </c>
      <c r="FC25" s="32" t="s">
        <v>34</v>
      </c>
      <c r="FD25" s="32" t="s">
        <v>34</v>
      </c>
      <c r="FE25" s="32" t="s">
        <v>34</v>
      </c>
      <c r="FF25" s="32" t="s">
        <v>34</v>
      </c>
      <c r="FG25" s="69"/>
      <c r="FH25" s="32" t="s">
        <v>34</v>
      </c>
      <c r="FI25" s="32" t="s">
        <v>34</v>
      </c>
      <c r="FJ25" s="32" t="s">
        <v>34</v>
      </c>
      <c r="FK25" s="32" t="s">
        <v>34</v>
      </c>
      <c r="FL25" s="32" t="s">
        <v>34</v>
      </c>
      <c r="FM25" s="32" t="s">
        <v>34</v>
      </c>
      <c r="FN25" s="32" t="s">
        <v>34</v>
      </c>
      <c r="FO25" s="32" t="s">
        <v>34</v>
      </c>
      <c r="FP25" s="32" t="s">
        <v>34</v>
      </c>
      <c r="FQ25" s="32" t="s">
        <v>34</v>
      </c>
      <c r="FR25" s="32" t="s">
        <v>34</v>
      </c>
      <c r="FS25" s="32" t="s">
        <v>34</v>
      </c>
      <c r="FT25" s="32" t="s">
        <v>34</v>
      </c>
      <c r="FU25" s="32" t="s">
        <v>34</v>
      </c>
      <c r="FV25" s="32" t="s">
        <v>34</v>
      </c>
      <c r="FW25" s="32" t="s">
        <v>34</v>
      </c>
      <c r="FX25" s="32" t="s">
        <v>34</v>
      </c>
      <c r="FY25" s="32" t="s">
        <v>34</v>
      </c>
      <c r="FZ25" s="32" t="s">
        <v>34</v>
      </c>
      <c r="GA25" s="32" t="s">
        <v>34</v>
      </c>
      <c r="GB25" s="69"/>
      <c r="GC25" s="32" t="s">
        <v>34</v>
      </c>
      <c r="GD25" s="32" t="s">
        <v>34</v>
      </c>
      <c r="GE25" s="32" t="s">
        <v>34</v>
      </c>
      <c r="GF25" s="32" t="s">
        <v>34</v>
      </c>
      <c r="GG25" s="32" t="s">
        <v>34</v>
      </c>
      <c r="GH25" s="69"/>
      <c r="GI25" s="32" t="s">
        <v>34</v>
      </c>
      <c r="GJ25" s="32" t="s">
        <v>34</v>
      </c>
      <c r="GK25" s="32" t="s">
        <v>34</v>
      </c>
      <c r="GL25" s="32" t="s">
        <v>34</v>
      </c>
      <c r="GM25" s="32" t="s">
        <v>34</v>
      </c>
      <c r="GN25" s="32" t="s">
        <v>34</v>
      </c>
      <c r="GO25" s="32" t="s">
        <v>34</v>
      </c>
      <c r="GP25" s="32" t="s">
        <v>34</v>
      </c>
      <c r="GQ25" s="32" t="s">
        <v>34</v>
      </c>
      <c r="GR25" s="32" t="s">
        <v>34</v>
      </c>
      <c r="GS25" s="32" t="s">
        <v>34</v>
      </c>
      <c r="GT25" s="32" t="s">
        <v>34</v>
      </c>
      <c r="GU25" s="32" t="s">
        <v>34</v>
      </c>
      <c r="GV25" s="32" t="s">
        <v>34</v>
      </c>
      <c r="GW25" s="32" t="s">
        <v>34</v>
      </c>
      <c r="GX25" s="32" t="s">
        <v>34</v>
      </c>
      <c r="GY25" s="32" t="s">
        <v>34</v>
      </c>
      <c r="GZ25" s="32" t="s">
        <v>34</v>
      </c>
      <c r="HA25" s="8" t="s">
        <v>34</v>
      </c>
      <c r="HB25" s="32" t="s">
        <v>34</v>
      </c>
      <c r="HC25" s="32" t="s">
        <v>34</v>
      </c>
      <c r="HD25" s="32" t="s">
        <v>34</v>
      </c>
      <c r="HE25" s="32" t="s">
        <v>34</v>
      </c>
      <c r="HF25" s="32" t="s">
        <v>34</v>
      </c>
      <c r="HG25" s="32" t="s">
        <v>34</v>
      </c>
      <c r="HH25" s="32" t="s">
        <v>34</v>
      </c>
      <c r="HI25" s="32" t="s">
        <v>34</v>
      </c>
      <c r="HJ25" s="32" t="s">
        <v>34</v>
      </c>
      <c r="HK25" s="32" t="s">
        <v>34</v>
      </c>
      <c r="HL25" s="32" t="s">
        <v>34</v>
      </c>
      <c r="HM25" s="32" t="s">
        <v>34</v>
      </c>
      <c r="HN25" s="32" t="s">
        <v>34</v>
      </c>
      <c r="HO25" s="32" t="s">
        <v>34</v>
      </c>
      <c r="HP25" s="32" t="s">
        <v>34</v>
      </c>
      <c r="HQ25" s="32" t="s">
        <v>34</v>
      </c>
      <c r="HR25" s="32" t="s">
        <v>34</v>
      </c>
      <c r="HS25" s="32" t="s">
        <v>34</v>
      </c>
      <c r="HT25" s="32" t="s">
        <v>34</v>
      </c>
      <c r="HU25" s="32" t="s">
        <v>34</v>
      </c>
      <c r="HV25" s="32" t="s">
        <v>34</v>
      </c>
      <c r="HW25" s="17" t="s">
        <v>34</v>
      </c>
      <c r="HX25" s="69"/>
      <c r="HY25" s="32" t="s">
        <v>34</v>
      </c>
      <c r="HZ25" s="32" t="s">
        <v>34</v>
      </c>
      <c r="IA25" s="32" t="s">
        <v>34</v>
      </c>
      <c r="IB25" s="32" t="s">
        <v>34</v>
      </c>
      <c r="IC25" s="32" t="s">
        <v>34</v>
      </c>
      <c r="ID25" s="32" t="s">
        <v>34</v>
      </c>
      <c r="IE25" s="32" t="s">
        <v>34</v>
      </c>
      <c r="IF25" s="32" t="s">
        <v>34</v>
      </c>
      <c r="IG25" s="32" t="s">
        <v>34</v>
      </c>
      <c r="IH25" s="32" t="s">
        <v>34</v>
      </c>
      <c r="II25" s="32" t="s">
        <v>34</v>
      </c>
      <c r="IJ25" s="32" t="s">
        <v>34</v>
      </c>
      <c r="IK25" s="32" t="s">
        <v>34</v>
      </c>
      <c r="IL25" s="32" t="s">
        <v>34</v>
      </c>
      <c r="IM25" s="32" t="s">
        <v>34</v>
      </c>
      <c r="IN25" s="32" t="s">
        <v>34</v>
      </c>
      <c r="IO25" s="32" t="s">
        <v>34</v>
      </c>
      <c r="IP25" s="32" t="s">
        <v>34</v>
      </c>
      <c r="IQ25" s="8" t="s">
        <v>34</v>
      </c>
      <c r="IR25" s="32" t="s">
        <v>34</v>
      </c>
      <c r="IS25" s="32" t="s">
        <v>34</v>
      </c>
      <c r="IT25" s="32" t="s">
        <v>34</v>
      </c>
      <c r="IU25" s="32" t="s">
        <v>34</v>
      </c>
      <c r="IV25" s="32" t="s">
        <v>34</v>
      </c>
      <c r="IW25" s="32" t="s">
        <v>34</v>
      </c>
      <c r="IX25" s="32" t="s">
        <v>34</v>
      </c>
      <c r="IY25" s="32" t="s">
        <v>34</v>
      </c>
      <c r="IZ25" s="32" t="s">
        <v>34</v>
      </c>
      <c r="JA25" s="32" t="s">
        <v>34</v>
      </c>
      <c r="JB25" s="32" t="s">
        <v>34</v>
      </c>
      <c r="JC25" s="32" t="s">
        <v>34</v>
      </c>
      <c r="JD25" s="32" t="s">
        <v>34</v>
      </c>
      <c r="JE25" s="32" t="s">
        <v>34</v>
      </c>
      <c r="JF25" s="32" t="s">
        <v>34</v>
      </c>
      <c r="JG25" s="32" t="s">
        <v>34</v>
      </c>
      <c r="JH25" s="32" t="s">
        <v>34</v>
      </c>
      <c r="JI25" s="69"/>
      <c r="JJ25" s="32" t="s">
        <v>34</v>
      </c>
      <c r="JK25" s="32" t="s">
        <v>34</v>
      </c>
      <c r="JL25" s="32" t="s">
        <v>34</v>
      </c>
      <c r="JM25" s="32" t="s">
        <v>34</v>
      </c>
      <c r="JN25" s="32" t="s">
        <v>34</v>
      </c>
      <c r="JO25" s="32" t="s">
        <v>34</v>
      </c>
      <c r="JP25" s="32" t="s">
        <v>34</v>
      </c>
      <c r="JQ25" s="32" t="s">
        <v>34</v>
      </c>
      <c r="JR25" s="32" t="s">
        <v>34</v>
      </c>
      <c r="JS25" s="32" t="s">
        <v>34</v>
      </c>
      <c r="JT25" s="32" t="s">
        <v>34</v>
      </c>
      <c r="JU25" s="69"/>
      <c r="JV25" s="32" t="s">
        <v>34</v>
      </c>
      <c r="JW25" s="32" t="s">
        <v>34</v>
      </c>
      <c r="JX25" s="32" t="s">
        <v>34</v>
      </c>
      <c r="JY25" s="32" t="s">
        <v>34</v>
      </c>
      <c r="JZ25" s="32" t="s">
        <v>34</v>
      </c>
      <c r="KA25" s="32" t="s">
        <v>34</v>
      </c>
      <c r="KB25" s="32" t="s">
        <v>34</v>
      </c>
      <c r="KC25" s="32" t="s">
        <v>34</v>
      </c>
      <c r="KD25" s="32" t="s">
        <v>34</v>
      </c>
      <c r="KE25" s="32" t="s">
        <v>34</v>
      </c>
      <c r="KF25" s="32" t="s">
        <v>34</v>
      </c>
      <c r="KG25" s="32" t="s">
        <v>34</v>
      </c>
      <c r="KH25" s="32" t="s">
        <v>34</v>
      </c>
      <c r="KI25" s="32" t="s">
        <v>34</v>
      </c>
      <c r="KJ25" s="32" t="s">
        <v>34</v>
      </c>
      <c r="KK25" s="32" t="s">
        <v>34</v>
      </c>
      <c r="KL25" s="32" t="s">
        <v>34</v>
      </c>
      <c r="KM25" s="69"/>
      <c r="KN25" s="32" t="s">
        <v>34</v>
      </c>
      <c r="KO25" s="32" t="s">
        <v>34</v>
      </c>
      <c r="KP25" s="32" t="s">
        <v>34</v>
      </c>
      <c r="KQ25" s="32" t="s">
        <v>34</v>
      </c>
      <c r="KR25" s="32" t="s">
        <v>34</v>
      </c>
      <c r="KS25" s="32" t="s">
        <v>34</v>
      </c>
      <c r="KT25" s="32" t="s">
        <v>34</v>
      </c>
      <c r="KU25" s="32" t="s">
        <v>34</v>
      </c>
      <c r="KV25" s="32" t="s">
        <v>34</v>
      </c>
      <c r="KW25" s="32" t="s">
        <v>34</v>
      </c>
      <c r="KX25" s="32" t="s">
        <v>34</v>
      </c>
      <c r="KY25" s="32" t="s">
        <v>34</v>
      </c>
      <c r="KZ25" s="32" t="s">
        <v>34</v>
      </c>
      <c r="LA25" s="32" t="s">
        <v>34</v>
      </c>
      <c r="LB25" s="32" t="s">
        <v>34</v>
      </c>
      <c r="LC25" s="32" t="s">
        <v>34</v>
      </c>
      <c r="LD25" s="32" t="s">
        <v>34</v>
      </c>
      <c r="LE25" s="32" t="s">
        <v>34</v>
      </c>
      <c r="LF25" s="32" t="s">
        <v>34</v>
      </c>
      <c r="LG25" s="32" t="s">
        <v>34</v>
      </c>
      <c r="LH25" s="69"/>
      <c r="LI25" s="32" t="s">
        <v>34</v>
      </c>
      <c r="LJ25" s="32" t="s">
        <v>34</v>
      </c>
      <c r="LK25" s="32" t="s">
        <v>34</v>
      </c>
      <c r="LL25" s="32" t="s">
        <v>34</v>
      </c>
      <c r="LM25" s="32" t="s">
        <v>34</v>
      </c>
      <c r="LN25" s="69"/>
      <c r="LO25" s="32" t="s">
        <v>34</v>
      </c>
      <c r="LP25" s="32" t="s">
        <v>34</v>
      </c>
      <c r="LQ25" s="32" t="s">
        <v>34</v>
      </c>
      <c r="LR25" s="32" t="s">
        <v>34</v>
      </c>
      <c r="LS25" s="32" t="s">
        <v>34</v>
      </c>
      <c r="LT25" s="32" t="s">
        <v>34</v>
      </c>
      <c r="LU25" s="32" t="s">
        <v>34</v>
      </c>
      <c r="LV25" s="32" t="s">
        <v>34</v>
      </c>
      <c r="LW25" s="32" t="s">
        <v>34</v>
      </c>
      <c r="LX25" s="32" t="s">
        <v>34</v>
      </c>
      <c r="LY25" s="32" t="s">
        <v>34</v>
      </c>
      <c r="LZ25" s="32" t="s">
        <v>34</v>
      </c>
      <c r="MA25" s="32" t="s">
        <v>34</v>
      </c>
      <c r="MB25" s="32" t="s">
        <v>34</v>
      </c>
      <c r="MC25" s="32" t="s">
        <v>34</v>
      </c>
      <c r="MD25" s="32" t="s">
        <v>34</v>
      </c>
      <c r="ME25" s="32" t="s">
        <v>34</v>
      </c>
      <c r="MF25" s="32" t="s">
        <v>34</v>
      </c>
      <c r="MG25" s="8" t="s">
        <v>34</v>
      </c>
      <c r="MH25" s="32" t="s">
        <v>34</v>
      </c>
      <c r="MI25" s="32" t="s">
        <v>34</v>
      </c>
      <c r="MJ25" s="32" t="s">
        <v>34</v>
      </c>
      <c r="MK25" s="32" t="s">
        <v>34</v>
      </c>
      <c r="ML25" s="32" t="s">
        <v>34</v>
      </c>
      <c r="MM25" s="32" t="s">
        <v>34</v>
      </c>
      <c r="MN25" s="32" t="s">
        <v>34</v>
      </c>
      <c r="MO25" s="32" t="s">
        <v>34</v>
      </c>
      <c r="MP25" s="32" t="s">
        <v>34</v>
      </c>
      <c r="MQ25" s="32" t="s">
        <v>34</v>
      </c>
      <c r="MR25" s="32" t="s">
        <v>34</v>
      </c>
      <c r="MS25" s="32" t="s">
        <v>34</v>
      </c>
      <c r="MT25" s="32" t="s">
        <v>34</v>
      </c>
      <c r="MU25" s="32" t="s">
        <v>34</v>
      </c>
      <c r="MV25" s="32" t="s">
        <v>34</v>
      </c>
      <c r="MW25" s="32" t="s">
        <v>34</v>
      </c>
      <c r="MX25" s="32" t="s">
        <v>34</v>
      </c>
      <c r="MY25" s="32" t="s">
        <v>34</v>
      </c>
      <c r="MZ25" s="32" t="s">
        <v>34</v>
      </c>
      <c r="NA25" s="32" t="s">
        <v>34</v>
      </c>
      <c r="NB25" s="17" t="s">
        <v>34</v>
      </c>
      <c r="NC25" s="69"/>
      <c r="ND25" s="32" t="s">
        <v>34</v>
      </c>
      <c r="NE25" s="32" t="s">
        <v>34</v>
      </c>
      <c r="NF25" s="32" t="s">
        <v>34</v>
      </c>
      <c r="NG25" s="32" t="s">
        <v>34</v>
      </c>
      <c r="NH25" s="32" t="s">
        <v>34</v>
      </c>
      <c r="NI25" s="32" t="s">
        <v>34</v>
      </c>
      <c r="NJ25" s="32" t="s">
        <v>34</v>
      </c>
      <c r="NK25" s="32" t="s">
        <v>34</v>
      </c>
      <c r="NL25" s="32" t="s">
        <v>34</v>
      </c>
      <c r="NM25" s="32" t="s">
        <v>34</v>
      </c>
      <c r="NN25" s="32" t="s">
        <v>34</v>
      </c>
      <c r="NO25" s="32" t="s">
        <v>34</v>
      </c>
      <c r="NP25" s="32" t="s">
        <v>34</v>
      </c>
      <c r="NQ25" s="32" t="s">
        <v>34</v>
      </c>
      <c r="NR25" s="32" t="s">
        <v>34</v>
      </c>
      <c r="NS25" s="32" t="s">
        <v>34</v>
      </c>
      <c r="NT25" s="32" t="s">
        <v>34</v>
      </c>
      <c r="NU25" s="32" t="s">
        <v>34</v>
      </c>
      <c r="NV25" s="8" t="s">
        <v>34</v>
      </c>
      <c r="NW25" s="32" t="s">
        <v>34</v>
      </c>
      <c r="NX25" s="32" t="s">
        <v>34</v>
      </c>
      <c r="NY25" s="32" t="s">
        <v>34</v>
      </c>
      <c r="NZ25" s="32" t="s">
        <v>34</v>
      </c>
      <c r="OA25" s="32" t="s">
        <v>34</v>
      </c>
      <c r="OB25" s="32" t="s">
        <v>34</v>
      </c>
      <c r="OC25" s="32" t="s">
        <v>34</v>
      </c>
      <c r="OD25" s="32" t="s">
        <v>34</v>
      </c>
      <c r="OE25" s="32" t="s">
        <v>34</v>
      </c>
      <c r="OF25" s="32" t="s">
        <v>34</v>
      </c>
      <c r="OG25" s="32" t="s">
        <v>34</v>
      </c>
      <c r="OH25" s="32" t="s">
        <v>34</v>
      </c>
      <c r="OI25" s="32" t="s">
        <v>34</v>
      </c>
      <c r="OJ25" s="32" t="s">
        <v>34</v>
      </c>
      <c r="OK25" s="32" t="s">
        <v>34</v>
      </c>
      <c r="OL25" s="32" t="s">
        <v>34</v>
      </c>
      <c r="OM25" s="32" t="s">
        <v>34</v>
      </c>
      <c r="ON25" s="69"/>
      <c r="OO25" s="32" t="s">
        <v>34</v>
      </c>
      <c r="OP25" s="32" t="s">
        <v>34</v>
      </c>
      <c r="OQ25" s="32" t="s">
        <v>34</v>
      </c>
      <c r="OR25" s="32" t="s">
        <v>34</v>
      </c>
      <c r="OS25" s="32" t="s">
        <v>34</v>
      </c>
      <c r="OT25" s="32" t="s">
        <v>34</v>
      </c>
      <c r="OU25" s="32" t="s">
        <v>34</v>
      </c>
      <c r="OV25" s="32" t="s">
        <v>34</v>
      </c>
      <c r="OW25" s="32" t="s">
        <v>34</v>
      </c>
      <c r="OX25" s="32" t="s">
        <v>34</v>
      </c>
      <c r="OY25" s="32" t="s">
        <v>34</v>
      </c>
    </row>
    <row r="26" spans="1:415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9"/>
      <c r="K26" s="32">
        <v>1383.390328</v>
      </c>
      <c r="L26" s="32">
        <v>15.371003644444444</v>
      </c>
      <c r="M26" s="32">
        <v>0.17</v>
      </c>
      <c r="N26" s="32">
        <v>890.76071494007488</v>
      </c>
      <c r="O26" s="32">
        <v>9.8973412771119431</v>
      </c>
      <c r="P26" s="32">
        <v>532.41738069288397</v>
      </c>
      <c r="Q26" s="32">
        <v>5.9157486743653775</v>
      </c>
      <c r="R26" s="32">
        <v>711.58904781647948</v>
      </c>
      <c r="S26" s="32">
        <v>7.9065449757386608</v>
      </c>
      <c r="T26" s="32">
        <v>0.26600000000000001</v>
      </c>
      <c r="U26" s="32">
        <v>7.5999999999999998E-2</v>
      </c>
      <c r="V26" s="32">
        <v>37.782218825007746</v>
      </c>
      <c r="W26" s="32">
        <v>62.217781174992261</v>
      </c>
      <c r="X26" s="32">
        <v>52.455131101838781</v>
      </c>
      <c r="Y26" s="32">
        <v>95.268389543003437</v>
      </c>
      <c r="Z26" s="32">
        <v>0.36045392030169465</v>
      </c>
      <c r="AA26" s="32">
        <v>3.8379117276408659</v>
      </c>
      <c r="AB26" s="69"/>
      <c r="AC26" s="32">
        <v>122.852138</v>
      </c>
      <c r="AD26" s="32">
        <v>1.3650237555555556</v>
      </c>
      <c r="AE26" s="32">
        <v>3.0000000000000001E-3</v>
      </c>
      <c r="AF26" s="32">
        <v>1938.467958</v>
      </c>
      <c r="AG26" s="32">
        <v>21.538532866666667</v>
      </c>
      <c r="AH26" s="32">
        <v>0.115</v>
      </c>
      <c r="AI26" s="32">
        <v>1178.8012649356438</v>
      </c>
      <c r="AJ26" s="32">
        <v>13.097791832618263</v>
      </c>
      <c r="AK26" s="32">
        <v>497.86434384653478</v>
      </c>
      <c r="AL26" s="32">
        <v>5.5318260427392749</v>
      </c>
      <c r="AM26" s="32">
        <v>838.33280439108921</v>
      </c>
      <c r="AN26" s="32">
        <v>9.3148089376787695</v>
      </c>
      <c r="AO26" s="32">
        <v>0.20100000000000001</v>
      </c>
      <c r="AP26" s="32">
        <v>7.5999999999999998E-2</v>
      </c>
      <c r="AQ26" s="32">
        <v>31.851524103283413</v>
      </c>
      <c r="AR26" s="32">
        <v>68.14847589671659</v>
      </c>
      <c r="AS26" s="32">
        <v>59.909493138837156</v>
      </c>
      <c r="AT26" s="32">
        <v>98.549382736188093</v>
      </c>
      <c r="AU26" s="32">
        <v>0.27674748667905485</v>
      </c>
      <c r="AV26" s="32">
        <v>7.0044645436944792</v>
      </c>
      <c r="AW26" s="69"/>
      <c r="AX26" s="32">
        <v>27.835895015124528</v>
      </c>
      <c r="AY26" s="32">
        <v>33.419705611126126</v>
      </c>
      <c r="AZ26" s="32">
        <v>-38.596491228070178</v>
      </c>
      <c r="BA26" s="32">
        <v>-27.837259100642399</v>
      </c>
      <c r="BB26" s="32">
        <v>-17.033967936584318</v>
      </c>
      <c r="BC26" s="69"/>
      <c r="BD26" s="32">
        <v>1322.2380970000002</v>
      </c>
      <c r="BE26" s="32">
        <v>14.691534411111112</v>
      </c>
      <c r="BF26" s="32">
        <v>1.4E-2</v>
      </c>
      <c r="BG26" s="32">
        <v>2011.4143910000003</v>
      </c>
      <c r="BH26" s="32">
        <v>22.34904878888889</v>
      </c>
      <c r="BI26" s="32">
        <v>7.8E-2</v>
      </c>
      <c r="BJ26" s="32">
        <v>1320.6957563641975</v>
      </c>
      <c r="BK26" s="32">
        <v>14.674397292935527</v>
      </c>
      <c r="BL26" s="32">
        <v>200.82704028395062</v>
      </c>
      <c r="BM26" s="32">
        <v>2.2314115587105623</v>
      </c>
      <c r="BN26" s="32">
        <v>760.76139832407398</v>
      </c>
      <c r="BO26" s="32">
        <v>8.4529044258230446</v>
      </c>
      <c r="BP26" s="32">
        <v>346.76725286991871</v>
      </c>
      <c r="BQ26" s="32">
        <v>3.8529694763324303</v>
      </c>
      <c r="BR26" s="32">
        <v>1302.6473166585367</v>
      </c>
      <c r="BS26" s="32">
        <v>14.473859073983741</v>
      </c>
      <c r="BT26" s="32">
        <v>0.106</v>
      </c>
      <c r="BU26" s="32">
        <v>-259.44593787179485</v>
      </c>
      <c r="BV26" s="8">
        <v>-2.8827326430199429</v>
      </c>
      <c r="BW26" s="32">
        <v>1377.6177585128205</v>
      </c>
      <c r="BX26" s="32" t="s">
        <v>34</v>
      </c>
      <c r="BY26" s="32">
        <v>5.5E-2</v>
      </c>
      <c r="BZ26" s="32">
        <v>52808.106285999995</v>
      </c>
      <c r="CA26" s="32">
        <v>159615.62321649998</v>
      </c>
      <c r="CB26" s="32">
        <v>0.161</v>
      </c>
      <c r="CC26" s="32">
        <v>0.106</v>
      </c>
      <c r="CD26" s="32">
        <v>65.838509316770171</v>
      </c>
      <c r="CE26" s="32">
        <v>16.603758843261328</v>
      </c>
      <c r="CF26" s="32">
        <v>12.852325896612722</v>
      </c>
      <c r="CG26" s="32">
        <v>22.192060082426444</v>
      </c>
      <c r="CH26" s="32">
        <v>84.520551849324875</v>
      </c>
      <c r="CI26" s="32">
        <v>16.603758843261328</v>
      </c>
      <c r="CJ26" s="32">
        <v>43.457601532736227</v>
      </c>
      <c r="CK26" s="32">
        <v>22.192060082426444</v>
      </c>
      <c r="CL26" s="32">
        <v>25.366690207733228</v>
      </c>
      <c r="CM26" s="32" t="s">
        <v>34</v>
      </c>
      <c r="CN26" s="32" t="s">
        <v>34</v>
      </c>
      <c r="CO26" s="32" t="s">
        <v>34</v>
      </c>
      <c r="CP26" s="32" t="s">
        <v>34</v>
      </c>
      <c r="CQ26" s="17" t="s">
        <v>34</v>
      </c>
      <c r="CR26" s="69"/>
      <c r="CS26" s="32">
        <v>2263.5977480000001</v>
      </c>
      <c r="CT26" s="32">
        <v>25.151086088888892</v>
      </c>
      <c r="CU26" s="32">
        <v>1.4999999999999999E-2</v>
      </c>
      <c r="CV26" s="32">
        <v>2263.5977480000001</v>
      </c>
      <c r="CW26" s="32">
        <v>25.151086088888892</v>
      </c>
      <c r="CX26" s="32">
        <v>1.4999999999999999E-2</v>
      </c>
      <c r="CY26" s="32">
        <v>1439.7046644645166</v>
      </c>
      <c r="CZ26" s="32">
        <v>15.996718494050183</v>
      </c>
      <c r="DA26" s="32">
        <v>186.57777310967739</v>
      </c>
      <c r="DB26" s="32">
        <v>2.0730863678853044</v>
      </c>
      <c r="DC26" s="32">
        <v>813.14121878709693</v>
      </c>
      <c r="DD26" s="32">
        <v>9.0349024309677439</v>
      </c>
      <c r="DE26" s="32">
        <v>340.98396616814165</v>
      </c>
      <c r="DF26" s="32">
        <v>3.7887107352015739</v>
      </c>
      <c r="DG26" s="32">
        <v>1370.5154409292038</v>
      </c>
      <c r="DH26" s="32">
        <v>15.227949343657819</v>
      </c>
      <c r="DI26" s="32">
        <v>9.5000000000000001E-2</v>
      </c>
      <c r="DJ26" s="32">
        <v>-228.84841297619047</v>
      </c>
      <c r="DK26" s="8">
        <v>-2.5427601441798942</v>
      </c>
      <c r="DL26" s="32">
        <v>1625.8566230238091</v>
      </c>
      <c r="DM26" s="32">
        <v>3.1806886158730157</v>
      </c>
      <c r="DN26" s="32">
        <v>5.8000000000000003E-2</v>
      </c>
      <c r="DO26" s="32">
        <v>67306.4526625</v>
      </c>
      <c r="DP26" s="32">
        <v>154871.67373549996</v>
      </c>
      <c r="DQ26" s="32">
        <v>0.154</v>
      </c>
      <c r="DR26" s="32">
        <v>0.106</v>
      </c>
      <c r="DS26" s="32">
        <v>61.688311688311693</v>
      </c>
      <c r="DT26" s="32">
        <v>10.659738252514442</v>
      </c>
      <c r="DU26" s="32">
        <v>13.074784531786172</v>
      </c>
      <c r="DV26" s="32">
        <v>19.48141928738724</v>
      </c>
      <c r="DW26" s="32">
        <v>82.254572065743361</v>
      </c>
      <c r="DX26" s="32">
        <v>10.659738252514442</v>
      </c>
      <c r="DY26" s="32">
        <v>13.074784531786172</v>
      </c>
      <c r="DZ26" s="32">
        <v>19.48141928738724</v>
      </c>
      <c r="EA26" s="32">
        <v>0.21934772563343621</v>
      </c>
      <c r="EB26" s="32">
        <v>10.319677313558383</v>
      </c>
      <c r="EC26" s="69"/>
      <c r="ED26" s="32">
        <v>8.6225829558880314</v>
      </c>
      <c r="EE26" s="32">
        <v>-12.532409945954887</v>
      </c>
      <c r="EF26" s="32">
        <v>-1.681796132580031</v>
      </c>
      <c r="EG26" s="32">
        <v>11.798018288621279</v>
      </c>
      <c r="EH26" s="32">
        <v>-135.48387096774195</v>
      </c>
      <c r="EI26" s="32">
        <v>52.50433604274486</v>
      </c>
      <c r="EJ26" s="32">
        <v>-4.4444444444444482</v>
      </c>
      <c r="EK26" s="32">
        <v>142.10744602785002</v>
      </c>
      <c r="EL26" s="32">
        <v>18.650745678402512</v>
      </c>
      <c r="EM26" s="32">
        <v>-23.781317478284148</v>
      </c>
      <c r="EN26" s="32">
        <v>-13.008948789635575</v>
      </c>
      <c r="EO26" s="69"/>
      <c r="EP26" s="32">
        <v>1289.4708609999998</v>
      </c>
      <c r="EQ26" s="32">
        <v>14.327454011111108</v>
      </c>
      <c r="ER26" s="32">
        <v>0.20799999999999999</v>
      </c>
      <c r="ES26" s="32">
        <v>798.36898026213601</v>
      </c>
      <c r="ET26" s="32">
        <v>8.8707664473570667</v>
      </c>
      <c r="EU26" s="32">
        <v>485.29392340776684</v>
      </c>
      <c r="EV26" s="32">
        <v>5.3921547045307427</v>
      </c>
      <c r="EW26" s="32">
        <v>641.83145183495139</v>
      </c>
      <c r="EX26" s="32">
        <v>7.1314605759439047</v>
      </c>
      <c r="EY26" s="32">
        <v>0.308</v>
      </c>
      <c r="EZ26" s="32">
        <v>4.5999999999999999E-2</v>
      </c>
      <c r="FA26" s="32">
        <v>37.331850674750029</v>
      </c>
      <c r="FB26" s="32">
        <v>62.321969553978001</v>
      </c>
      <c r="FC26" s="32">
        <v>58.736280998116683</v>
      </c>
      <c r="FD26" s="32">
        <v>90.664152097822139</v>
      </c>
      <c r="FE26" s="32">
        <v>0.43354203795963941</v>
      </c>
      <c r="FF26" s="32">
        <v>2.9742695012197249</v>
      </c>
      <c r="FG26" s="69"/>
      <c r="FH26" s="32">
        <v>703.84417699999995</v>
      </c>
      <c r="FI26" s="32">
        <v>7.8204908555555548</v>
      </c>
      <c r="FJ26" s="32">
        <v>2.1000000000000001E-2</v>
      </c>
      <c r="FK26" s="32">
        <v>1674.7429979999999</v>
      </c>
      <c r="FL26" s="32">
        <v>18.608255533333331</v>
      </c>
      <c r="FM26" s="32">
        <v>0.15</v>
      </c>
      <c r="FN26" s="32">
        <v>1062.5665011244978</v>
      </c>
      <c r="FO26" s="32">
        <v>11.806294456938865</v>
      </c>
      <c r="FP26" s="32">
        <v>364.5109803534138</v>
      </c>
      <c r="FQ26" s="32">
        <v>4.0501220039268198</v>
      </c>
      <c r="FR26" s="32">
        <v>713.53874073895577</v>
      </c>
      <c r="FS26" s="32">
        <v>7.9282082304328423</v>
      </c>
      <c r="FT26" s="32">
        <v>0.248</v>
      </c>
      <c r="FU26" s="32">
        <v>4.5999999999999999E-2</v>
      </c>
      <c r="FV26" s="32">
        <v>29.932897057724777</v>
      </c>
      <c r="FW26" s="32">
        <v>70.067102942275241</v>
      </c>
      <c r="FX26" s="32">
        <v>75.239804237062131</v>
      </c>
      <c r="FY26" s="32">
        <v>99.935651897406814</v>
      </c>
      <c r="FZ26" s="32">
        <v>0.38022035364304113</v>
      </c>
      <c r="GA26" s="32">
        <v>4.4046642478595031</v>
      </c>
      <c r="GB26" s="69"/>
      <c r="GC26" s="32">
        <v>28.394054872391489</v>
      </c>
      <c r="GD26" s="32">
        <v>25.994894790079332</v>
      </c>
      <c r="GE26" s="32">
        <v>-32.402234636871505</v>
      </c>
      <c r="GF26" s="32">
        <v>-21.582733812949638</v>
      </c>
      <c r="GG26" s="32">
        <v>-21.999498597548762</v>
      </c>
      <c r="GH26" s="69"/>
      <c r="GI26" s="32">
        <v>1487.0481249999998</v>
      </c>
      <c r="GJ26" s="32">
        <v>16.522756944444442</v>
      </c>
      <c r="GK26" s="32">
        <v>1.7000000000000001E-2</v>
      </c>
      <c r="GL26" s="32">
        <v>2125.4955840000002</v>
      </c>
      <c r="GM26" s="32">
        <v>23.616617600000001</v>
      </c>
      <c r="GN26" s="32">
        <v>0.08</v>
      </c>
      <c r="GO26" s="32">
        <v>1328.8822300734464</v>
      </c>
      <c r="GP26" s="32">
        <v>14.765358111927183</v>
      </c>
      <c r="GQ26" s="32">
        <v>164.30786270621471</v>
      </c>
      <c r="GR26" s="32">
        <v>1.8256429189579413</v>
      </c>
      <c r="GS26" s="32">
        <v>746.5950463898306</v>
      </c>
      <c r="GT26" s="32">
        <v>8.2955005154425621</v>
      </c>
      <c r="GU26" s="32">
        <v>306.79792593333332</v>
      </c>
      <c r="GV26" s="32">
        <v>3.4088658437037034</v>
      </c>
      <c r="GW26" s="32">
        <v>1291.0360239407405</v>
      </c>
      <c r="GX26" s="32">
        <v>14.344844710452673</v>
      </c>
      <c r="GY26" s="32">
        <v>0.11899999999999999</v>
      </c>
      <c r="GZ26" s="32">
        <v>-293.69591195238081</v>
      </c>
      <c r="HA26" s="8">
        <v>-3.263287910582009</v>
      </c>
      <c r="HB26" s="32">
        <v>1450.5307497857141</v>
      </c>
      <c r="HC26" s="32">
        <v>-1.3105780828042328</v>
      </c>
      <c r="HD26" s="32">
        <v>5.7000000000000002E-2</v>
      </c>
      <c r="HE26" s="32">
        <v>59928.2939635</v>
      </c>
      <c r="HF26" s="32">
        <v>173624.1874315</v>
      </c>
      <c r="HG26" s="32">
        <v>0.17599999999999999</v>
      </c>
      <c r="HH26" s="32">
        <v>9.7000000000000003E-2</v>
      </c>
      <c r="HI26" s="32">
        <v>67.61363636363636</v>
      </c>
      <c r="HJ26" s="32">
        <v>18.187273929504197</v>
      </c>
      <c r="HK26" s="32">
        <v>10.174850878734098</v>
      </c>
      <c r="HL26" s="32">
        <v>18.998623041297119</v>
      </c>
      <c r="HM26" s="32">
        <v>82.2917315318807</v>
      </c>
      <c r="HN26" s="32">
        <v>18.187273929504197</v>
      </c>
      <c r="HO26" s="32">
        <v>38.184781416723382</v>
      </c>
      <c r="HP26" s="32">
        <v>18.998623041297119</v>
      </c>
      <c r="HQ26" s="32">
        <v>23.926047166599655</v>
      </c>
      <c r="HR26" s="32">
        <v>67.61363636363636</v>
      </c>
      <c r="HS26" s="32" t="s">
        <v>34</v>
      </c>
      <c r="HT26" s="32" t="s">
        <v>34</v>
      </c>
      <c r="HU26" s="32" t="s">
        <v>34</v>
      </c>
      <c r="HV26" s="32" t="s">
        <v>34</v>
      </c>
      <c r="HW26" s="17" t="s">
        <v>34</v>
      </c>
      <c r="HX26" s="69"/>
      <c r="HY26" s="32">
        <v>1834.431529</v>
      </c>
      <c r="HZ26" s="32">
        <v>20.382572544444443</v>
      </c>
      <c r="IA26" s="32">
        <v>1.6E-2</v>
      </c>
      <c r="IB26" s="32">
        <v>1920.957216</v>
      </c>
      <c r="IC26" s="32">
        <v>21.343969066666666</v>
      </c>
      <c r="ID26" s="32">
        <v>8.2000000000000003E-2</v>
      </c>
      <c r="IE26" s="32">
        <v>1284.2279792967033</v>
      </c>
      <c r="IF26" s="32">
        <v>14.26919976996337</v>
      </c>
      <c r="IG26" s="32">
        <v>160.47734185164833</v>
      </c>
      <c r="IH26" s="32">
        <v>1.7830815761294259</v>
      </c>
      <c r="II26" s="32">
        <v>722.35266057417584</v>
      </c>
      <c r="IJ26" s="32">
        <v>8.0261406730463989</v>
      </c>
      <c r="IK26" s="32">
        <v>320.50628564799996</v>
      </c>
      <c r="IL26" s="32">
        <v>3.5611809516444439</v>
      </c>
      <c r="IM26" s="32">
        <v>1267.440132896</v>
      </c>
      <c r="IN26" s="32">
        <v>14.082668143288888</v>
      </c>
      <c r="IO26" s="32">
        <v>5.0000000000000001E-3</v>
      </c>
      <c r="IP26" s="32">
        <v>-190.46332436842107</v>
      </c>
      <c r="IQ26" s="8">
        <v>-2.1162591596491231</v>
      </c>
      <c r="IR26" s="32">
        <v>1321.0434319298245</v>
      </c>
      <c r="IS26" s="32">
        <v>1.900828558674464</v>
      </c>
      <c r="IT26" s="32">
        <v>0.18099999999999999</v>
      </c>
      <c r="IU26" s="32">
        <v>75303.301272499986</v>
      </c>
      <c r="IV26" s="32">
        <v>157609.05255099997</v>
      </c>
      <c r="IW26" s="32">
        <v>0.18099999999999999</v>
      </c>
      <c r="IX26" s="32">
        <v>9.7000000000000003E-2</v>
      </c>
      <c r="IY26" s="32">
        <v>2.7624309392265194</v>
      </c>
      <c r="IZ26" s="32">
        <v>10.260656803908944</v>
      </c>
      <c r="JA26" s="32">
        <v>12.177911115218802</v>
      </c>
      <c r="JB26" s="32">
        <v>20.492643775031194</v>
      </c>
      <c r="JC26" s="32">
        <v>82.111420849195767</v>
      </c>
      <c r="JD26" s="32">
        <v>10.260656803908944</v>
      </c>
      <c r="JE26" s="32">
        <v>12.177911115218802</v>
      </c>
      <c r="JF26" s="32">
        <v>20.492643775031194</v>
      </c>
      <c r="JG26" s="32">
        <v>0.28250422423328048</v>
      </c>
      <c r="JH26" s="32">
        <v>6.7997468753378767</v>
      </c>
      <c r="JI26" s="69"/>
      <c r="JJ26" s="32">
        <v>-3.4177089520848267</v>
      </c>
      <c r="JK26" s="32">
        <v>-42.644064117598809</v>
      </c>
      <c r="JL26" s="32">
        <v>4.3705619894086372</v>
      </c>
      <c r="JM26" s="32">
        <v>-10.109514585218946</v>
      </c>
      <c r="JN26" s="32">
        <v>2.4691358024691379</v>
      </c>
      <c r="JO26" s="32">
        <v>20.917388645247453</v>
      </c>
      <c r="JP26" s="32">
        <v>2.8011204481792742</v>
      </c>
      <c r="JQ26" s="32">
        <v>116.50149791538094</v>
      </c>
      <c r="JR26" s="32">
        <v>-0.8397728748155866</v>
      </c>
      <c r="JS26" s="32">
        <v>-39.580610527711777</v>
      </c>
      <c r="JT26" s="32">
        <v>7.5663348085675892</v>
      </c>
      <c r="JU26" s="69"/>
      <c r="JV26" s="32">
        <v>1409.8097749999997</v>
      </c>
      <c r="JW26" s="32">
        <v>15.664553055555553</v>
      </c>
      <c r="JX26" s="32">
        <v>0.249</v>
      </c>
      <c r="JY26" s="32">
        <v>765.50621361813205</v>
      </c>
      <c r="JZ26" s="32">
        <v>8.5056245957570233</v>
      </c>
      <c r="KA26" s="32">
        <v>391.37090067582415</v>
      </c>
      <c r="KB26" s="32">
        <v>4.3485655630647129</v>
      </c>
      <c r="KC26" s="32">
        <v>578.43855714697816</v>
      </c>
      <c r="KD26" s="32">
        <v>6.4270950794108685</v>
      </c>
      <c r="KE26" s="32">
        <v>0.36299999999999999</v>
      </c>
      <c r="KF26" s="32">
        <v>5.8000000000000003E-2</v>
      </c>
      <c r="KG26" s="32">
        <v>34.333209464415354</v>
      </c>
      <c r="KH26" s="32">
        <v>65.375381216939175</v>
      </c>
      <c r="KI26" s="32">
        <v>55.582824497547143</v>
      </c>
      <c r="KJ26" s="32">
        <v>98.90338401177047</v>
      </c>
      <c r="KK26" s="32">
        <v>0.53277161451372157</v>
      </c>
      <c r="KL26" s="32">
        <v>2.6461803455628545</v>
      </c>
      <c r="KM26" s="69"/>
      <c r="KN26" s="32">
        <v>553.60532899999998</v>
      </c>
      <c r="KO26" s="32">
        <v>6.1511703222222218</v>
      </c>
      <c r="KP26" s="32">
        <v>2.7E-2</v>
      </c>
      <c r="KQ26" s="32">
        <v>1836.5955439999996</v>
      </c>
      <c r="KR26" s="32">
        <v>20.406617155555551</v>
      </c>
      <c r="KS26" s="32">
        <v>0.14499999999999999</v>
      </c>
      <c r="KT26" s="32">
        <v>1070.4980847490347</v>
      </c>
      <c r="KU26" s="32">
        <v>11.894423163878162</v>
      </c>
      <c r="KV26" s="32">
        <v>362.40215977220078</v>
      </c>
      <c r="KW26" s="32">
        <v>4.0266906641355638</v>
      </c>
      <c r="KX26" s="32">
        <v>716.45012226061772</v>
      </c>
      <c r="KY26" s="32">
        <v>7.9605569140068635</v>
      </c>
      <c r="KZ26" s="32">
        <v>0.25800000000000001</v>
      </c>
      <c r="LA26" s="32">
        <v>5.8000000000000003E-2</v>
      </c>
      <c r="LB26" s="32">
        <v>28.001568079464441</v>
      </c>
      <c r="LC26" s="32">
        <v>71.998431920535538</v>
      </c>
      <c r="LD26" s="32">
        <v>98.024157284077873</v>
      </c>
      <c r="LE26" s="32">
        <v>96.915007061989229</v>
      </c>
      <c r="LF26" s="32">
        <v>0.41324237791247681</v>
      </c>
      <c r="LG26" s="32">
        <v>4.4443543115730098</v>
      </c>
      <c r="LH26" s="69"/>
      <c r="LI26" s="32">
        <v>33.223437592400437</v>
      </c>
      <c r="LJ26" s="32">
        <v>26.292820955053386</v>
      </c>
      <c r="LK26" s="32">
        <v>-52.791878172588838</v>
      </c>
      <c r="LL26" s="32">
        <v>-33.816425120772941</v>
      </c>
      <c r="LM26" s="32">
        <v>-20.314956223253809</v>
      </c>
      <c r="LN26" s="69"/>
      <c r="LO26" s="32">
        <v>1682.7319739999996</v>
      </c>
      <c r="LP26" s="32">
        <v>18.697021933333328</v>
      </c>
      <c r="LQ26" s="32">
        <v>1.7999999999999999E-2</v>
      </c>
      <c r="LR26" s="32">
        <v>2230.884618</v>
      </c>
      <c r="LS26" s="32">
        <v>24.787606866666668</v>
      </c>
      <c r="LT26" s="32">
        <v>8.4000000000000005E-2</v>
      </c>
      <c r="LU26" s="32">
        <v>1413.2027572391305</v>
      </c>
      <c r="LV26" s="32">
        <v>15.702252858212562</v>
      </c>
      <c r="LW26" s="32">
        <v>91.052681570652169</v>
      </c>
      <c r="LX26" s="32">
        <v>1.0116964618961353</v>
      </c>
      <c r="LY26" s="32">
        <v>752.12771940489131</v>
      </c>
      <c r="LZ26" s="32">
        <v>8.3569746600543482</v>
      </c>
      <c r="MA26" s="32">
        <v>276.68012747499995</v>
      </c>
      <c r="MB26" s="32">
        <v>3.0742236386111106</v>
      </c>
      <c r="MC26" s="32">
        <v>1270.9224089083334</v>
      </c>
      <c r="MD26" s="32">
        <v>14.121360098981482</v>
      </c>
      <c r="ME26" s="32">
        <v>0.11</v>
      </c>
      <c r="MF26" s="32">
        <v>-256.99877950000001</v>
      </c>
      <c r="MG26" s="8">
        <v>-2.8555419944444447</v>
      </c>
      <c r="MH26" s="32">
        <v>1679.9784103593749</v>
      </c>
      <c r="MI26" s="32">
        <v>-1.2951954788194446</v>
      </c>
      <c r="MJ26" s="32">
        <v>7.2999999999999995E-2</v>
      </c>
      <c r="MK26" s="32">
        <v>106412.77570299999</v>
      </c>
      <c r="ML26" s="32">
        <v>151793.31963599997</v>
      </c>
      <c r="MM26" s="32">
        <v>0.183</v>
      </c>
      <c r="MN26" s="32" t="s">
        <v>34</v>
      </c>
      <c r="MO26" s="32">
        <v>60.10928961748634</v>
      </c>
      <c r="MP26" s="32">
        <v>15.838765759391253</v>
      </c>
      <c r="MQ26" s="32">
        <v>5.6115523115237229</v>
      </c>
      <c r="MR26" s="32">
        <v>17.05172194934504</v>
      </c>
      <c r="MS26" s="32">
        <v>87.095306390108533</v>
      </c>
      <c r="MT26" s="32">
        <v>15.838765759391253</v>
      </c>
      <c r="MU26" s="32">
        <v>32.298618202809365</v>
      </c>
      <c r="MV26" s="32">
        <v>17.05172194934504</v>
      </c>
      <c r="MW26" s="32">
        <v>21.075618235942073</v>
      </c>
      <c r="MX26" s="32" t="s">
        <v>34</v>
      </c>
      <c r="MY26" s="32" t="s">
        <v>34</v>
      </c>
      <c r="MZ26" s="32" t="s">
        <v>34</v>
      </c>
      <c r="NA26" s="32" t="s">
        <v>34</v>
      </c>
      <c r="NB26" s="17" t="s">
        <v>34</v>
      </c>
      <c r="NC26" s="69"/>
      <c r="ND26" s="32" t="s">
        <v>34</v>
      </c>
      <c r="NE26" s="32" t="s">
        <v>34</v>
      </c>
      <c r="NF26" s="32" t="s">
        <v>34</v>
      </c>
      <c r="NG26" s="32" t="s">
        <v>34</v>
      </c>
      <c r="NH26" s="32" t="s">
        <v>34</v>
      </c>
      <c r="NI26" s="32" t="s">
        <v>34</v>
      </c>
      <c r="NJ26" s="32" t="s">
        <v>34</v>
      </c>
      <c r="NK26" s="32" t="s">
        <v>34</v>
      </c>
      <c r="NL26" s="32" t="s">
        <v>34</v>
      </c>
      <c r="NM26" s="32" t="s">
        <v>34</v>
      </c>
      <c r="NN26" s="32" t="s">
        <v>34</v>
      </c>
      <c r="NO26" s="32" t="s">
        <v>34</v>
      </c>
      <c r="NP26" s="32" t="s">
        <v>34</v>
      </c>
      <c r="NQ26" s="32" t="s">
        <v>34</v>
      </c>
      <c r="NR26" s="32" t="s">
        <v>34</v>
      </c>
      <c r="NS26" s="32" t="s">
        <v>34</v>
      </c>
      <c r="NT26" s="32" t="s">
        <v>34</v>
      </c>
      <c r="NU26" s="32" t="s">
        <v>34</v>
      </c>
      <c r="NV26" s="8" t="s">
        <v>34</v>
      </c>
      <c r="NW26" s="32" t="s">
        <v>34</v>
      </c>
      <c r="NX26" s="32" t="s">
        <v>34</v>
      </c>
      <c r="NY26" s="32" t="s">
        <v>34</v>
      </c>
      <c r="NZ26" s="32" t="s">
        <v>34</v>
      </c>
      <c r="OA26" s="32" t="s">
        <v>34</v>
      </c>
      <c r="OB26" s="32" t="s">
        <v>34</v>
      </c>
      <c r="OC26" s="32" t="s">
        <v>34</v>
      </c>
      <c r="OD26" s="32" t="s">
        <v>34</v>
      </c>
      <c r="OE26" s="32" t="s">
        <v>34</v>
      </c>
      <c r="OF26" s="32" t="s">
        <v>34</v>
      </c>
      <c r="OG26" s="32" t="s">
        <v>34</v>
      </c>
      <c r="OH26" s="32" t="s">
        <v>34</v>
      </c>
      <c r="OI26" s="32" t="s">
        <v>34</v>
      </c>
      <c r="OJ26" s="32" t="s">
        <v>34</v>
      </c>
      <c r="OK26" s="32" t="s">
        <v>34</v>
      </c>
      <c r="OL26" s="32" t="s">
        <v>34</v>
      </c>
      <c r="OM26" s="32" t="s">
        <v>34</v>
      </c>
      <c r="ON26" s="69"/>
      <c r="OO26" s="32" t="s">
        <v>34</v>
      </c>
      <c r="OP26" s="32" t="s">
        <v>34</v>
      </c>
      <c r="OQ26" s="32" t="s">
        <v>34</v>
      </c>
      <c r="OR26" s="32" t="s">
        <v>34</v>
      </c>
      <c r="OS26" s="32" t="s">
        <v>34</v>
      </c>
      <c r="OT26" s="32" t="s">
        <v>34</v>
      </c>
      <c r="OU26" s="32" t="s">
        <v>34</v>
      </c>
      <c r="OV26" s="32" t="s">
        <v>34</v>
      </c>
      <c r="OW26" s="32" t="s">
        <v>34</v>
      </c>
      <c r="OX26" s="32" t="s">
        <v>34</v>
      </c>
      <c r="OY26" s="32" t="s">
        <v>34</v>
      </c>
    </row>
    <row r="27" spans="1:415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9"/>
      <c r="K27" s="32">
        <v>1642.3235100000002</v>
      </c>
      <c r="L27" s="32">
        <v>17.471526702127662</v>
      </c>
      <c r="M27" s="32">
        <v>0.217</v>
      </c>
      <c r="N27" s="32">
        <v>851.35606526993865</v>
      </c>
      <c r="O27" s="32">
        <v>9.0569794177653051</v>
      </c>
      <c r="P27" s="32">
        <v>507.01170130368098</v>
      </c>
      <c r="Q27" s="32">
        <v>5.3937415032306486</v>
      </c>
      <c r="R27" s="32">
        <v>679.18388328680976</v>
      </c>
      <c r="S27" s="32">
        <v>7.225360460497976</v>
      </c>
      <c r="T27" s="32">
        <v>0.32500000000000001</v>
      </c>
      <c r="U27" s="32">
        <v>0.03</v>
      </c>
      <c r="V27" s="32">
        <v>38.095532650225934</v>
      </c>
      <c r="W27" s="32">
        <v>61.904467349774066</v>
      </c>
      <c r="X27" s="32">
        <v>95.407256332442643</v>
      </c>
      <c r="Y27" s="32">
        <v>73.699495602109977</v>
      </c>
      <c r="Z27" s="32">
        <v>0.45531190516556314</v>
      </c>
      <c r="AA27" s="32">
        <v>3.6070295798718663</v>
      </c>
      <c r="AB27" s="69"/>
      <c r="AC27" s="32">
        <v>547.85769200000004</v>
      </c>
      <c r="AD27" s="32">
        <v>5.8282733191489369</v>
      </c>
      <c r="AE27" s="32">
        <v>2.1000000000000001E-2</v>
      </c>
      <c r="AF27" s="32">
        <v>1915.606401</v>
      </c>
      <c r="AG27" s="32">
        <v>20.378791499999998</v>
      </c>
      <c r="AH27" s="32">
        <v>0.121</v>
      </c>
      <c r="AI27" s="32">
        <v>1038.163857261062</v>
      </c>
      <c r="AJ27" s="32">
        <v>11.044296353841085</v>
      </c>
      <c r="AK27" s="32">
        <v>406.1652821769913</v>
      </c>
      <c r="AL27" s="32">
        <v>4.3209072572020348</v>
      </c>
      <c r="AM27" s="32">
        <v>722.16456971902664</v>
      </c>
      <c r="AN27" s="32">
        <v>7.6826018055215597</v>
      </c>
      <c r="AO27" s="32">
        <v>0.22500000000000001</v>
      </c>
      <c r="AP27" s="32">
        <v>0.03</v>
      </c>
      <c r="AQ27" s="32">
        <v>31.483972617501795</v>
      </c>
      <c r="AR27" s="32">
        <v>68.516027382498194</v>
      </c>
      <c r="AS27" s="32">
        <v>61.448242182475823</v>
      </c>
      <c r="AT27" s="32">
        <v>98.643860688792287</v>
      </c>
      <c r="AU27" s="32">
        <v>0.28919250007416969</v>
      </c>
      <c r="AV27" s="32">
        <v>6.6239836804505696</v>
      </c>
      <c r="AW27" s="69"/>
      <c r="AX27" s="32">
        <v>-19.773042852164846</v>
      </c>
      <c r="AY27" s="32">
        <v>-15.36190413167472</v>
      </c>
      <c r="AZ27" s="32">
        <v>56.80473372781065</v>
      </c>
      <c r="BA27" s="32">
        <v>36.363636363636367</v>
      </c>
      <c r="BB27" s="32">
        <v>19.004331828127281</v>
      </c>
      <c r="BC27" s="69"/>
      <c r="BD27" s="32">
        <v>2429.1522750000004</v>
      </c>
      <c r="BE27" s="32">
        <v>25.84204547872341</v>
      </c>
      <c r="BF27" s="32">
        <v>3.6999999999999998E-2</v>
      </c>
      <c r="BG27" s="32">
        <v>2429.1522750000004</v>
      </c>
      <c r="BH27" s="32">
        <v>25.84204547872341</v>
      </c>
      <c r="BI27" s="32">
        <v>3.6999999999999998E-2</v>
      </c>
      <c r="BJ27" s="32">
        <v>1459.6563250454549</v>
      </c>
      <c r="BK27" s="32">
        <v>15.528258777079307</v>
      </c>
      <c r="BL27" s="32">
        <v>212.83356905194807</v>
      </c>
      <c r="BM27" s="32">
        <v>2.2641869048079584</v>
      </c>
      <c r="BN27" s="32">
        <v>836.24494704870153</v>
      </c>
      <c r="BO27" s="32">
        <v>8.8962228409436328</v>
      </c>
      <c r="BP27" s="32">
        <v>359.6522725798319</v>
      </c>
      <c r="BQ27" s="32">
        <v>3.8260880061684244</v>
      </c>
      <c r="BR27" s="32">
        <v>1443.5174773277311</v>
      </c>
      <c r="BS27" s="32">
        <v>15.356568907741821</v>
      </c>
      <c r="BT27" s="32">
        <v>0.1</v>
      </c>
      <c r="BU27" s="32">
        <v>-286.35002294285721</v>
      </c>
      <c r="BV27" s="8">
        <v>-3.0462768398176299</v>
      </c>
      <c r="BW27" s="32">
        <v>1514.5284072857141</v>
      </c>
      <c r="BX27" s="32" t="s">
        <v>34</v>
      </c>
      <c r="BY27" s="32">
        <v>5.2999999999999999E-2</v>
      </c>
      <c r="BZ27" s="32">
        <v>51960.3724115</v>
      </c>
      <c r="CA27" s="32">
        <v>170885.81841549999</v>
      </c>
      <c r="CB27" s="32">
        <v>0.153</v>
      </c>
      <c r="CC27" s="32" t="s">
        <v>34</v>
      </c>
      <c r="CD27" s="32">
        <v>65.359477124183002</v>
      </c>
      <c r="CE27" s="32">
        <v>16.961775596169158</v>
      </c>
      <c r="CF27" s="32">
        <v>12.607071584943851</v>
      </c>
      <c r="CG27" s="32">
        <v>21.303791344094737</v>
      </c>
      <c r="CH27" s="32">
        <v>86.461885976138433</v>
      </c>
      <c r="CI27" s="32">
        <v>16.961775596169158</v>
      </c>
      <c r="CJ27" s="32">
        <v>35.889655046065116</v>
      </c>
      <c r="CK27" s="32">
        <v>21.303791344094737</v>
      </c>
      <c r="CL27" s="32">
        <v>24.89</v>
      </c>
      <c r="CM27" s="32" t="s">
        <v>34</v>
      </c>
      <c r="CN27" s="32" t="s">
        <v>34</v>
      </c>
      <c r="CO27" s="32" t="s">
        <v>34</v>
      </c>
      <c r="CP27" s="32" t="s">
        <v>34</v>
      </c>
      <c r="CQ27" s="17" t="s">
        <v>34</v>
      </c>
      <c r="CR27" s="69"/>
      <c r="CS27" s="32" t="s">
        <v>34</v>
      </c>
      <c r="CT27" s="32" t="s">
        <v>34</v>
      </c>
      <c r="CU27" s="32" t="s">
        <v>34</v>
      </c>
      <c r="CV27" s="32" t="s">
        <v>34</v>
      </c>
      <c r="CW27" s="32" t="s">
        <v>34</v>
      </c>
      <c r="CX27" s="32" t="s">
        <v>34</v>
      </c>
      <c r="CY27" s="32" t="s">
        <v>34</v>
      </c>
      <c r="CZ27" s="32" t="s">
        <v>34</v>
      </c>
      <c r="DA27" s="32" t="s">
        <v>34</v>
      </c>
      <c r="DB27" s="32" t="s">
        <v>34</v>
      </c>
      <c r="DC27" s="32" t="s">
        <v>34</v>
      </c>
      <c r="DD27" s="32" t="s">
        <v>34</v>
      </c>
      <c r="DE27" s="32" t="s">
        <v>34</v>
      </c>
      <c r="DF27" s="32" t="s">
        <v>34</v>
      </c>
      <c r="DG27" s="32" t="s">
        <v>34</v>
      </c>
      <c r="DH27" s="32" t="s">
        <v>34</v>
      </c>
      <c r="DI27" s="32" t="s">
        <v>34</v>
      </c>
      <c r="DJ27" s="32" t="s">
        <v>34</v>
      </c>
      <c r="DK27" s="8" t="s">
        <v>34</v>
      </c>
      <c r="DL27" s="32" t="s">
        <v>34</v>
      </c>
      <c r="DM27" s="32" t="s">
        <v>34</v>
      </c>
      <c r="DN27" s="32" t="s">
        <v>34</v>
      </c>
      <c r="DO27" s="32" t="s">
        <v>34</v>
      </c>
      <c r="DP27" s="32" t="s">
        <v>34</v>
      </c>
      <c r="DQ27" s="32" t="s">
        <v>34</v>
      </c>
      <c r="DR27" s="32" t="s">
        <v>34</v>
      </c>
      <c r="DS27" s="32" t="s">
        <v>34</v>
      </c>
      <c r="DT27" s="32" t="s">
        <v>34</v>
      </c>
      <c r="DU27" s="32" t="s">
        <v>34</v>
      </c>
      <c r="DV27" s="32" t="s">
        <v>34</v>
      </c>
      <c r="DW27" s="32" t="s">
        <v>34</v>
      </c>
      <c r="DX27" s="32" t="s">
        <v>34</v>
      </c>
      <c r="DY27" s="32" t="s">
        <v>34</v>
      </c>
      <c r="DZ27" s="32" t="s">
        <v>34</v>
      </c>
      <c r="EA27" s="32" t="s">
        <v>34</v>
      </c>
      <c r="EB27" s="32" t="s">
        <v>34</v>
      </c>
      <c r="EC27" s="69"/>
      <c r="ED27" s="32" t="s">
        <v>34</v>
      </c>
      <c r="EE27" s="32" t="s">
        <v>34</v>
      </c>
      <c r="EF27" s="32" t="s">
        <v>34</v>
      </c>
      <c r="EG27" s="32" t="s">
        <v>34</v>
      </c>
      <c r="EH27" s="32" t="s">
        <v>34</v>
      </c>
      <c r="EI27" s="32" t="s">
        <v>34</v>
      </c>
      <c r="EJ27" s="32" t="s">
        <v>34</v>
      </c>
      <c r="EK27" s="32" t="s">
        <v>34</v>
      </c>
      <c r="EL27" s="32" t="s">
        <v>34</v>
      </c>
      <c r="EM27" s="32" t="s">
        <v>34</v>
      </c>
      <c r="EN27" s="32" t="s">
        <v>34</v>
      </c>
      <c r="EO27" s="69"/>
      <c r="EP27" s="32">
        <v>1874.9763930000004</v>
      </c>
      <c r="EQ27" s="32">
        <v>19.946557372340429</v>
      </c>
      <c r="ER27" s="32">
        <v>0.22700000000000001</v>
      </c>
      <c r="ES27" s="32">
        <v>844.4172110845484</v>
      </c>
      <c r="ET27" s="32">
        <v>8.9831618200483874</v>
      </c>
      <c r="EU27" s="32">
        <v>409.93116078134108</v>
      </c>
      <c r="EV27" s="32">
        <v>4.3609697955461817</v>
      </c>
      <c r="EW27" s="32">
        <v>627.17418593294474</v>
      </c>
      <c r="EX27" s="32">
        <v>6.6720658077972841</v>
      </c>
      <c r="EY27" s="32">
        <v>0.34200000000000003</v>
      </c>
      <c r="EZ27" s="32">
        <v>6.4000000000000001E-2</v>
      </c>
      <c r="FA27" s="32">
        <v>33.422055573344558</v>
      </c>
      <c r="FB27" s="32">
        <v>66.577944426655449</v>
      </c>
      <c r="FC27" s="32">
        <v>88.571333135550262</v>
      </c>
      <c r="FD27" s="32">
        <v>79.305174891292708</v>
      </c>
      <c r="FE27" s="32">
        <v>0.46226473608999719</v>
      </c>
      <c r="FF27" s="32">
        <v>4.05606624649596</v>
      </c>
      <c r="FG27" s="69"/>
      <c r="FH27" s="32">
        <v>2.7707910000000311</v>
      </c>
      <c r="FI27" s="32">
        <v>2.9476500000000332E-2</v>
      </c>
      <c r="FJ27" s="32">
        <v>2E-3</v>
      </c>
      <c r="FK27" s="32">
        <v>1675.4333710000005</v>
      </c>
      <c r="FL27" s="32">
        <v>17.823759265957452</v>
      </c>
      <c r="FM27" s="32">
        <v>0.10199999999999999</v>
      </c>
      <c r="FN27" s="32">
        <v>942.59675177528106</v>
      </c>
      <c r="FO27" s="32">
        <v>10.027625018885969</v>
      </c>
      <c r="FP27" s="32">
        <v>407.49188367415724</v>
      </c>
      <c r="FQ27" s="32">
        <v>4.3350200390867792</v>
      </c>
      <c r="FR27" s="32">
        <v>675.04431772471912</v>
      </c>
      <c r="FS27" s="32">
        <v>7.1813225289863736</v>
      </c>
      <c r="FT27" s="32">
        <v>0.17699999999999999</v>
      </c>
      <c r="FU27" s="32">
        <v>6.4000000000000001E-2</v>
      </c>
      <c r="FV27" s="32">
        <v>32.819878689479452</v>
      </c>
      <c r="FW27" s="32">
        <v>67.180121310520533</v>
      </c>
      <c r="FX27" s="32">
        <v>96.1390040749381</v>
      </c>
      <c r="FY27" s="32">
        <v>98.991823107376888</v>
      </c>
      <c r="FZ27" s="32">
        <v>0.15855685250381488</v>
      </c>
      <c r="GA27" s="32">
        <v>10.56676734270876</v>
      </c>
      <c r="GB27" s="69"/>
      <c r="GC27" s="32">
        <v>-10.988111199043129</v>
      </c>
      <c r="GD27" s="32">
        <v>11.240562935765956</v>
      </c>
      <c r="GE27" s="32">
        <v>75.98784194528875</v>
      </c>
      <c r="GF27" s="32">
        <v>63.583815028901746</v>
      </c>
      <c r="GG27" s="32">
        <v>1.8181138294539705</v>
      </c>
      <c r="GH27" s="69"/>
      <c r="GI27" s="32">
        <v>872.1759400000002</v>
      </c>
      <c r="GJ27" s="32">
        <v>9.2784674468085129</v>
      </c>
      <c r="GK27" s="32">
        <v>1.2E-2</v>
      </c>
      <c r="GL27" s="32">
        <v>3051.7841829999998</v>
      </c>
      <c r="GM27" s="32">
        <v>32.465789180851061</v>
      </c>
      <c r="GN27" s="32">
        <v>6.0999999999999999E-2</v>
      </c>
      <c r="GO27" s="32">
        <v>1602.561289</v>
      </c>
      <c r="GP27" s="32">
        <v>17.048524351063829</v>
      </c>
      <c r="GQ27" s="32">
        <v>198.72780652903225</v>
      </c>
      <c r="GR27" s="32">
        <v>2.1141256013726837</v>
      </c>
      <c r="GS27" s="32">
        <v>900.64454776451612</v>
      </c>
      <c r="GT27" s="32">
        <v>9.5813249762182569</v>
      </c>
      <c r="GU27" s="32">
        <v>340.75458019266046</v>
      </c>
      <c r="GV27" s="32">
        <v>3.6250487254538348</v>
      </c>
      <c r="GW27" s="32">
        <v>1710.4772174403668</v>
      </c>
      <c r="GX27" s="32">
        <v>18.196566142982626</v>
      </c>
      <c r="GY27" s="32">
        <v>0.109</v>
      </c>
      <c r="GZ27" s="32">
        <v>-137.81389628260871</v>
      </c>
      <c r="HA27" s="8">
        <v>-1.4661052796022203</v>
      </c>
      <c r="HB27" s="32">
        <v>1346.8474585652175</v>
      </c>
      <c r="HC27" s="32">
        <v>-1.2387473903792783</v>
      </c>
      <c r="HD27" s="32">
        <v>0.154</v>
      </c>
      <c r="HE27" s="32">
        <v>61930.319370500001</v>
      </c>
      <c r="HF27" s="32">
        <v>185047.81896349997</v>
      </c>
      <c r="HG27" s="32">
        <v>0.154</v>
      </c>
      <c r="HH27" s="32" t="s">
        <v>34</v>
      </c>
      <c r="HI27" s="32">
        <v>70.779220779220779</v>
      </c>
      <c r="HJ27" s="32">
        <v>7.3931042524141386</v>
      </c>
      <c r="HK27" s="32">
        <v>10.660865349237852</v>
      </c>
      <c r="HL27" s="32">
        <v>18.279971786632267</v>
      </c>
      <c r="HM27" s="32">
        <v>85.970304882493309</v>
      </c>
      <c r="HN27" s="32">
        <v>7.3931042524141386</v>
      </c>
      <c r="HO27" s="32">
        <v>31.558239055323877</v>
      </c>
      <c r="HP27" s="32">
        <v>18.279971786632267</v>
      </c>
      <c r="HQ27" s="32">
        <v>24.779004623968923</v>
      </c>
      <c r="HR27" s="32">
        <v>70.779220779220779</v>
      </c>
      <c r="HS27" s="32" t="s">
        <v>34</v>
      </c>
      <c r="HT27" s="32" t="s">
        <v>34</v>
      </c>
      <c r="HU27" s="32" t="s">
        <v>34</v>
      </c>
      <c r="HV27" s="32" t="s">
        <v>34</v>
      </c>
      <c r="HW27" s="17" t="s">
        <v>34</v>
      </c>
      <c r="HX27" s="69"/>
      <c r="HY27" s="32" t="s">
        <v>34</v>
      </c>
      <c r="HZ27" s="32" t="s">
        <v>34</v>
      </c>
      <c r="IA27" s="32" t="s">
        <v>34</v>
      </c>
      <c r="IB27" s="32" t="s">
        <v>34</v>
      </c>
      <c r="IC27" s="32" t="s">
        <v>34</v>
      </c>
      <c r="ID27" s="32" t="s">
        <v>34</v>
      </c>
      <c r="IE27" s="32" t="s">
        <v>34</v>
      </c>
      <c r="IF27" s="32" t="s">
        <v>34</v>
      </c>
      <c r="IG27" s="32" t="s">
        <v>34</v>
      </c>
      <c r="IH27" s="32" t="s">
        <v>34</v>
      </c>
      <c r="II27" s="32" t="s">
        <v>34</v>
      </c>
      <c r="IJ27" s="32" t="s">
        <v>34</v>
      </c>
      <c r="IK27" s="32" t="s">
        <v>34</v>
      </c>
      <c r="IL27" s="32" t="s">
        <v>34</v>
      </c>
      <c r="IM27" s="32" t="s">
        <v>34</v>
      </c>
      <c r="IN27" s="32" t="s">
        <v>34</v>
      </c>
      <c r="IO27" s="32" t="s">
        <v>34</v>
      </c>
      <c r="IP27" s="32" t="s">
        <v>34</v>
      </c>
      <c r="IQ27" s="8" t="s">
        <v>34</v>
      </c>
      <c r="IR27" s="32" t="s">
        <v>34</v>
      </c>
      <c r="IS27" s="32" t="s">
        <v>34</v>
      </c>
      <c r="IT27" s="32" t="s">
        <v>34</v>
      </c>
      <c r="IU27" s="32" t="s">
        <v>34</v>
      </c>
      <c r="IV27" s="32" t="s">
        <v>34</v>
      </c>
      <c r="IW27" s="32" t="s">
        <v>34</v>
      </c>
      <c r="IX27" s="32" t="s">
        <v>34</v>
      </c>
      <c r="IY27" s="32" t="s">
        <v>34</v>
      </c>
      <c r="IZ27" s="32" t="s">
        <v>34</v>
      </c>
      <c r="JA27" s="32" t="s">
        <v>34</v>
      </c>
      <c r="JB27" s="32" t="s">
        <v>34</v>
      </c>
      <c r="JC27" s="32" t="s">
        <v>34</v>
      </c>
      <c r="JD27" s="32" t="s">
        <v>34</v>
      </c>
      <c r="JE27" s="32" t="s">
        <v>34</v>
      </c>
      <c r="JF27" s="32" t="s">
        <v>34</v>
      </c>
      <c r="JG27" s="32" t="s">
        <v>34</v>
      </c>
      <c r="JH27" s="32" t="s">
        <v>34</v>
      </c>
      <c r="JI27" s="69"/>
      <c r="JJ27" s="32" t="s">
        <v>34</v>
      </c>
      <c r="JK27" s="32" t="s">
        <v>34</v>
      </c>
      <c r="JL27" s="32" t="s">
        <v>34</v>
      </c>
      <c r="JM27" s="32" t="s">
        <v>34</v>
      </c>
      <c r="JN27" s="32" t="s">
        <v>34</v>
      </c>
      <c r="JO27" s="32" t="s">
        <v>34</v>
      </c>
      <c r="JP27" s="32" t="s">
        <v>34</v>
      </c>
      <c r="JQ27" s="32" t="s">
        <v>34</v>
      </c>
      <c r="JR27" s="32" t="s">
        <v>34</v>
      </c>
      <c r="JS27" s="32" t="s">
        <v>34</v>
      </c>
      <c r="JT27" s="32" t="s">
        <v>34</v>
      </c>
      <c r="JU27" s="69"/>
      <c r="JV27" s="32">
        <v>1801.8677580000003</v>
      </c>
      <c r="JW27" s="32">
        <v>19.168805936170216</v>
      </c>
      <c r="JX27" s="32">
        <v>0.374</v>
      </c>
      <c r="JY27" s="32">
        <v>627.1069972101011</v>
      </c>
      <c r="JZ27" s="32">
        <v>6.6713510341500113</v>
      </c>
      <c r="KA27" s="32">
        <v>297.24379226262624</v>
      </c>
      <c r="KB27" s="32">
        <v>3.1621680027938961</v>
      </c>
      <c r="KC27" s="32">
        <v>462.17539473636367</v>
      </c>
      <c r="KD27" s="32">
        <v>4.9167595184719541</v>
      </c>
      <c r="KE27" s="32">
        <v>0.49399999999999999</v>
      </c>
      <c r="KF27" s="32">
        <v>0.05</v>
      </c>
      <c r="KG27" s="32">
        <v>34.313864781575589</v>
      </c>
      <c r="KH27" s="32">
        <v>65.686135218424425</v>
      </c>
      <c r="KI27" s="32">
        <v>96.822613704997721</v>
      </c>
      <c r="KJ27" s="32">
        <v>84.891188230550227</v>
      </c>
      <c r="KK27" s="32">
        <v>0.57041440491542827</v>
      </c>
      <c r="KL27" s="32">
        <v>3.158874920536328</v>
      </c>
      <c r="KM27" s="69"/>
      <c r="KN27" s="32" t="s">
        <v>34</v>
      </c>
      <c r="KO27" s="32" t="s">
        <v>34</v>
      </c>
      <c r="KP27" s="32" t="s">
        <v>34</v>
      </c>
      <c r="KQ27" s="32" t="s">
        <v>34</v>
      </c>
      <c r="KR27" s="32" t="s">
        <v>34</v>
      </c>
      <c r="KS27" s="32" t="s">
        <v>34</v>
      </c>
      <c r="KT27" s="32" t="s">
        <v>34</v>
      </c>
      <c r="KU27" s="32" t="s">
        <v>34</v>
      </c>
      <c r="KV27" s="32" t="s">
        <v>34</v>
      </c>
      <c r="KW27" s="32" t="s">
        <v>34</v>
      </c>
      <c r="KX27" s="32" t="s">
        <v>34</v>
      </c>
      <c r="KY27" s="32" t="s">
        <v>34</v>
      </c>
      <c r="KZ27" s="32" t="s">
        <v>34</v>
      </c>
      <c r="LA27" s="32" t="s">
        <v>34</v>
      </c>
      <c r="LB27" s="32" t="s">
        <v>34</v>
      </c>
      <c r="LC27" s="32" t="s">
        <v>34</v>
      </c>
      <c r="LD27" s="32" t="s">
        <v>34</v>
      </c>
      <c r="LE27" s="32" t="s">
        <v>34</v>
      </c>
      <c r="LF27" s="32" t="s">
        <v>34</v>
      </c>
      <c r="LG27" s="32" t="s">
        <v>34</v>
      </c>
      <c r="LH27" s="69"/>
      <c r="LI27" s="32" t="s">
        <v>34</v>
      </c>
      <c r="LJ27" s="32" t="s">
        <v>34</v>
      </c>
      <c r="LK27" s="32" t="s">
        <v>34</v>
      </c>
      <c r="LL27" s="32" t="s">
        <v>34</v>
      </c>
      <c r="LM27" s="32" t="s">
        <v>34</v>
      </c>
      <c r="LN27" s="69"/>
      <c r="LO27" s="32">
        <v>1335.065118</v>
      </c>
      <c r="LP27" s="32">
        <v>14.202820404255318</v>
      </c>
      <c r="LQ27" s="32">
        <v>1.9E-2</v>
      </c>
      <c r="LR27" s="32">
        <v>2647.847131</v>
      </c>
      <c r="LS27" s="32">
        <v>28.1685865</v>
      </c>
      <c r="LT27" s="32">
        <v>4.3999999999999997E-2</v>
      </c>
      <c r="LU27" s="32">
        <v>1380.133696454023</v>
      </c>
      <c r="LV27" s="32">
        <v>14.68227336653216</v>
      </c>
      <c r="LW27" s="32">
        <v>137.87896397701149</v>
      </c>
      <c r="LX27" s="32">
        <v>1.4667974891171436</v>
      </c>
      <c r="LY27" s="32">
        <v>759.00633021551721</v>
      </c>
      <c r="LZ27" s="32">
        <v>8.0745354278246513</v>
      </c>
      <c r="MA27" s="32">
        <v>241.92526460431654</v>
      </c>
      <c r="MB27" s="32">
        <v>2.5736730277054951</v>
      </c>
      <c r="MC27" s="32">
        <v>1400.2697529568347</v>
      </c>
      <c r="MD27" s="32">
        <v>14.896486733583348</v>
      </c>
      <c r="ME27" s="32">
        <v>0.127</v>
      </c>
      <c r="MF27" s="32">
        <v>-275.33348708571424</v>
      </c>
      <c r="MG27" s="8">
        <v>-2.9290796498480236</v>
      </c>
      <c r="MH27" s="32">
        <v>1300.1647863428573</v>
      </c>
      <c r="MI27" s="32">
        <v>0.43091124346504567</v>
      </c>
      <c r="MJ27" s="32">
        <v>4.5999999999999999E-2</v>
      </c>
      <c r="MK27" s="32">
        <v>44219.997510500005</v>
      </c>
      <c r="ML27" s="32">
        <v>193936.64896999998</v>
      </c>
      <c r="MM27" s="32">
        <v>0.17299999999999999</v>
      </c>
      <c r="MN27" s="32">
        <v>0.111</v>
      </c>
      <c r="MO27" s="32">
        <v>73.410404624277461</v>
      </c>
      <c r="MP27" s="32">
        <v>17.689541207516964</v>
      </c>
      <c r="MQ27" s="32">
        <v>8.8584052769498403</v>
      </c>
      <c r="MR27" s="32">
        <v>15.543140003254429</v>
      </c>
      <c r="MS27" s="32">
        <v>88.670405310000774</v>
      </c>
      <c r="MT27" s="32">
        <v>17.689541207516964</v>
      </c>
      <c r="MU27" s="32">
        <v>30.319742123336518</v>
      </c>
      <c r="MV27" s="32">
        <v>15.543140003254429</v>
      </c>
      <c r="MW27" s="32">
        <v>23.894034687444616</v>
      </c>
      <c r="MX27" s="32" t="s">
        <v>34</v>
      </c>
      <c r="MY27" s="32" t="s">
        <v>34</v>
      </c>
      <c r="MZ27" s="32" t="s">
        <v>34</v>
      </c>
      <c r="NA27" s="32" t="s">
        <v>34</v>
      </c>
      <c r="NB27" s="17" t="s">
        <v>34</v>
      </c>
      <c r="NC27" s="69"/>
      <c r="ND27" s="32">
        <v>897.13457399999993</v>
      </c>
      <c r="NE27" s="32">
        <v>9.5439848297872327</v>
      </c>
      <c r="NF27" s="32">
        <v>1.2999999999999999E-2</v>
      </c>
      <c r="NG27" s="32">
        <v>2818.7885509999996</v>
      </c>
      <c r="NH27" s="32">
        <v>29.987112244680848</v>
      </c>
      <c r="NI27" s="32">
        <v>5.6000000000000001E-2</v>
      </c>
      <c r="NJ27" s="32">
        <v>1535.5708646826347</v>
      </c>
      <c r="NK27" s="32">
        <v>16.335860262581221</v>
      </c>
      <c r="NL27" s="32">
        <v>159.18650977844311</v>
      </c>
      <c r="NM27" s="32">
        <v>1.6934735082813097</v>
      </c>
      <c r="NN27" s="32">
        <v>847.37868723053884</v>
      </c>
      <c r="NO27" s="32">
        <v>9.0146668854312644</v>
      </c>
      <c r="NP27" s="32">
        <v>275.225870495935</v>
      </c>
      <c r="NQ27" s="32">
        <v>2.9279347925099466</v>
      </c>
      <c r="NR27" s="32">
        <v>1531.7280550975611</v>
      </c>
      <c r="NS27" s="32">
        <v>16.294979309548523</v>
      </c>
      <c r="NT27" s="32">
        <v>0.115</v>
      </c>
      <c r="NU27" s="32">
        <v>-165.19624859090911</v>
      </c>
      <c r="NV27" s="8">
        <v>-1.7574068999032884</v>
      </c>
      <c r="NW27" s="32">
        <v>1546.3132642045457</v>
      </c>
      <c r="NX27" s="32">
        <v>-0.2507921344294004</v>
      </c>
      <c r="NY27" s="32">
        <v>0.05</v>
      </c>
      <c r="NZ27" s="32">
        <v>66624.975129500002</v>
      </c>
      <c r="OA27" s="32">
        <v>188409.27473050001</v>
      </c>
      <c r="OB27" s="32">
        <v>0.16600000000000001</v>
      </c>
      <c r="OC27" s="32">
        <v>0.111</v>
      </c>
      <c r="OD27" s="32">
        <v>69.277108433734938</v>
      </c>
      <c r="OE27" s="32">
        <v>8.9339933667352582</v>
      </c>
      <c r="OF27" s="32">
        <v>9.2712767631807864</v>
      </c>
      <c r="OG27" s="32">
        <v>15.446447722152385</v>
      </c>
      <c r="OH27" s="32">
        <v>86.180543428714401</v>
      </c>
      <c r="OI27" s="32">
        <v>8.9339933667352582</v>
      </c>
      <c r="OJ27" s="32">
        <v>9.2712767631807864</v>
      </c>
      <c r="OK27" s="32">
        <v>15.446447722152385</v>
      </c>
      <c r="OL27" s="32">
        <v>0.26280130612189856</v>
      </c>
      <c r="OM27" s="32">
        <v>10.725930523695816</v>
      </c>
      <c r="ON27" s="69"/>
      <c r="OO27" s="32">
        <v>10.662065718209535</v>
      </c>
      <c r="OP27" s="32">
        <v>-50.002181271891629</v>
      </c>
      <c r="OQ27" s="32">
        <v>12.878481214263612</v>
      </c>
      <c r="OR27" s="32">
        <v>6.2539898374006793</v>
      </c>
      <c r="OS27" s="32">
        <v>24.000000000000007</v>
      </c>
      <c r="OT27" s="32">
        <v>-39.237577674569451</v>
      </c>
      <c r="OU27" s="32">
        <v>-4.129793510324471</v>
      </c>
      <c r="OV27" s="32">
        <v>129.87095524924831</v>
      </c>
      <c r="OW27" s="32">
        <v>-0.84966722361794444</v>
      </c>
      <c r="OX27" s="32">
        <v>-62.448138283382434</v>
      </c>
      <c r="OY27" s="32">
        <v>-0.62403076774571409</v>
      </c>
    </row>
    <row r="28" spans="1:415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9"/>
      <c r="K28" s="32">
        <v>1348.1460000000004</v>
      </c>
      <c r="L28" s="32">
        <v>15.495931034482764</v>
      </c>
      <c r="M28" s="32">
        <v>0.25800000000000001</v>
      </c>
      <c r="N28" s="32">
        <v>744.12640349444439</v>
      </c>
      <c r="O28" s="32">
        <v>8.5531770516602812</v>
      </c>
      <c r="P28" s="32">
        <v>352.65469728888883</v>
      </c>
      <c r="Q28" s="32">
        <v>4.0535022676883772</v>
      </c>
      <c r="R28" s="32">
        <v>548.39055039166658</v>
      </c>
      <c r="S28" s="32">
        <v>6.3033396596743287</v>
      </c>
      <c r="T28" s="32">
        <v>0.35899999999999999</v>
      </c>
      <c r="U28" s="32">
        <v>0.06</v>
      </c>
      <c r="V28" s="32">
        <v>33.925028879563421</v>
      </c>
      <c r="W28" s="32">
        <v>66.074971120436587</v>
      </c>
      <c r="X28" s="32">
        <v>58.479543921222273</v>
      </c>
      <c r="Y28" s="32">
        <v>77.665298882203572</v>
      </c>
      <c r="Z28" s="32">
        <v>0.49570408736431459</v>
      </c>
      <c r="AA28" s="32">
        <v>2.719658833495131</v>
      </c>
      <c r="AB28" s="69"/>
      <c r="AC28" s="32" t="s">
        <v>34</v>
      </c>
      <c r="AD28" s="32" t="s">
        <v>34</v>
      </c>
      <c r="AE28" s="32" t="s">
        <v>34</v>
      </c>
      <c r="AF28" s="32" t="s">
        <v>34</v>
      </c>
      <c r="AG28" s="32" t="s">
        <v>34</v>
      </c>
      <c r="AH28" s="32" t="s">
        <v>34</v>
      </c>
      <c r="AI28" s="32" t="s">
        <v>34</v>
      </c>
      <c r="AJ28" s="32" t="s">
        <v>34</v>
      </c>
      <c r="AK28" s="32" t="s">
        <v>34</v>
      </c>
      <c r="AL28" s="32" t="s">
        <v>34</v>
      </c>
      <c r="AM28" s="32" t="s">
        <v>34</v>
      </c>
      <c r="AN28" s="32" t="s">
        <v>34</v>
      </c>
      <c r="AO28" s="32" t="s">
        <v>34</v>
      </c>
      <c r="AP28" s="32" t="s">
        <v>34</v>
      </c>
      <c r="AQ28" s="32" t="s">
        <v>34</v>
      </c>
      <c r="AR28" s="32" t="s">
        <v>34</v>
      </c>
      <c r="AS28" s="32" t="s">
        <v>34</v>
      </c>
      <c r="AT28" s="32" t="s">
        <v>34</v>
      </c>
      <c r="AU28" s="32" t="s">
        <v>34</v>
      </c>
      <c r="AV28" s="32" t="s">
        <v>34</v>
      </c>
      <c r="AW28" s="69"/>
      <c r="AX28" s="32" t="s">
        <v>34</v>
      </c>
      <c r="AY28" s="32" t="s">
        <v>34</v>
      </c>
      <c r="AZ28" s="32" t="s">
        <v>34</v>
      </c>
      <c r="BA28" s="32" t="s">
        <v>34</v>
      </c>
      <c r="BB28" s="32" t="s">
        <v>34</v>
      </c>
      <c r="BC28" s="69"/>
      <c r="BD28" s="32">
        <v>2006.773136</v>
      </c>
      <c r="BE28" s="32">
        <v>23.066357885057471</v>
      </c>
      <c r="BF28" s="32">
        <v>4.9000000000000002E-2</v>
      </c>
      <c r="BG28" s="32">
        <v>2006.773136</v>
      </c>
      <c r="BH28" s="32">
        <v>23.066357885057471</v>
      </c>
      <c r="BI28" s="32">
        <v>4.9000000000000002E-2</v>
      </c>
      <c r="BJ28" s="32">
        <v>1268.0826663571429</v>
      </c>
      <c r="BK28" s="32">
        <v>14.575662831691298</v>
      </c>
      <c r="BL28" s="32">
        <v>211.82559055194807</v>
      </c>
      <c r="BM28" s="32">
        <v>2.4347769028959547</v>
      </c>
      <c r="BN28" s="32">
        <v>739.95412845454553</v>
      </c>
      <c r="BO28" s="32">
        <v>8.5052198672936274</v>
      </c>
      <c r="BP28" s="32">
        <v>282.82727514285716</v>
      </c>
      <c r="BQ28" s="32">
        <v>3.2508882200328411</v>
      </c>
      <c r="BR28" s="32">
        <v>1353.8713773157895</v>
      </c>
      <c r="BS28" s="32">
        <v>15.561739969147006</v>
      </c>
      <c r="BT28" s="32">
        <v>0.13300000000000001</v>
      </c>
      <c r="BU28" s="32">
        <v>-237.85174519047609</v>
      </c>
      <c r="BV28" s="8">
        <v>-2.7339281056376561</v>
      </c>
      <c r="BW28" s="32">
        <v>724.75416361904763</v>
      </c>
      <c r="BX28" s="32" t="s">
        <v>34</v>
      </c>
      <c r="BY28" s="32">
        <v>0.02</v>
      </c>
      <c r="BZ28" s="32">
        <v>14544.826693999999</v>
      </c>
      <c r="CA28" s="32">
        <v>179392.31697599997</v>
      </c>
      <c r="CB28" s="32">
        <v>0.153</v>
      </c>
      <c r="CC28" s="32">
        <v>8.6999999999999994E-2</v>
      </c>
      <c r="CD28" s="32">
        <v>86.928104575163403</v>
      </c>
      <c r="CE28" s="32">
        <v>14.687489757331832</v>
      </c>
      <c r="CF28" s="32">
        <v>13.08035889785466</v>
      </c>
      <c r="CG28" s="32">
        <v>17.464756053936739</v>
      </c>
      <c r="CH28" s="32">
        <v>78.304874991164624</v>
      </c>
      <c r="CI28" s="32">
        <v>14.687489757331832</v>
      </c>
      <c r="CJ28" s="32">
        <v>34.695088382529136</v>
      </c>
      <c r="CK28" s="32">
        <v>17.464756053936739</v>
      </c>
      <c r="CL28" s="32">
        <v>25.826741311294516</v>
      </c>
      <c r="CM28" s="32" t="s">
        <v>34</v>
      </c>
      <c r="CN28" s="32" t="s">
        <v>34</v>
      </c>
      <c r="CO28" s="32" t="s">
        <v>34</v>
      </c>
      <c r="CP28" s="32" t="s">
        <v>34</v>
      </c>
      <c r="CQ28" s="17" t="s">
        <v>34</v>
      </c>
      <c r="CR28" s="69"/>
      <c r="CS28" s="32">
        <v>2882.7966399999996</v>
      </c>
      <c r="CT28" s="32">
        <v>33.135593563218386</v>
      </c>
      <c r="CU28" s="32">
        <v>0.02</v>
      </c>
      <c r="CV28" s="32">
        <v>2882.7966399999996</v>
      </c>
      <c r="CW28" s="32">
        <v>33.135593563218386</v>
      </c>
      <c r="CX28" s="32">
        <v>0.02</v>
      </c>
      <c r="CY28" s="32">
        <v>1399.8017449166671</v>
      </c>
      <c r="CZ28" s="32">
        <v>16.089675228927209</v>
      </c>
      <c r="DA28" s="32">
        <v>154.35073429761906</v>
      </c>
      <c r="DB28" s="32">
        <v>1.7741463712370007</v>
      </c>
      <c r="DC28" s="32">
        <v>777.07623960714307</v>
      </c>
      <c r="DD28" s="32">
        <v>8.9319108000821039</v>
      </c>
      <c r="DE28" s="32">
        <v>308.67802979310346</v>
      </c>
      <c r="DF28" s="32">
        <v>3.5480233309552123</v>
      </c>
      <c r="DG28" s="32">
        <v>1327.1770042672417</v>
      </c>
      <c r="DH28" s="32">
        <v>15.254908095025767</v>
      </c>
      <c r="DI28" s="32">
        <v>0.1</v>
      </c>
      <c r="DJ28" s="32">
        <v>-189.91784796153843</v>
      </c>
      <c r="DK28" s="8">
        <v>-2.1829637696728557</v>
      </c>
      <c r="DL28" s="32">
        <v>1561.8107817499999</v>
      </c>
      <c r="DM28" s="32">
        <v>0.62675111914235193</v>
      </c>
      <c r="DN28" s="32">
        <v>6.7000000000000004E-2</v>
      </c>
      <c r="DO28" s="32">
        <v>80334.873078499993</v>
      </c>
      <c r="DP28" s="32">
        <v>153705.01983200002</v>
      </c>
      <c r="DQ28" s="32">
        <v>0.16700000000000001</v>
      </c>
      <c r="DR28" s="32">
        <v>8.6999999999999994E-2</v>
      </c>
      <c r="DS28" s="32">
        <v>59.880239520958078</v>
      </c>
      <c r="DT28" s="32">
        <v>9.2330457469832758</v>
      </c>
      <c r="DU28" s="32">
        <v>11.360620902627918</v>
      </c>
      <c r="DV28" s="32">
        <v>18.46468941749864</v>
      </c>
      <c r="DW28" s="32">
        <v>83.734188932342278</v>
      </c>
      <c r="DX28" s="32">
        <v>9.2330457469832758</v>
      </c>
      <c r="DY28" s="32">
        <v>11.360620902627918</v>
      </c>
      <c r="DZ28" s="32">
        <v>18.46468941749864</v>
      </c>
      <c r="EA28" s="32">
        <v>0.2614965274051777</v>
      </c>
      <c r="EB28" s="32">
        <v>11.024225325689427</v>
      </c>
      <c r="EC28" s="69"/>
      <c r="ED28" s="32">
        <v>9.8744216955511579</v>
      </c>
      <c r="EE28" s="32">
        <v>-22.411082038691617</v>
      </c>
      <c r="EF28" s="32">
        <v>8.7406670521898491</v>
      </c>
      <c r="EG28" s="32">
        <v>35.832334709686727</v>
      </c>
      <c r="EH28" s="32">
        <v>-84.05797101449275</v>
      </c>
      <c r="EI28" s="32">
        <v>35.832334709686727</v>
      </c>
      <c r="EJ28" s="32">
        <v>8.7500000000000071</v>
      </c>
      <c r="EK28" s="32">
        <v>144.15705454444799</v>
      </c>
      <c r="EL28" s="32">
        <v>34.484321976937174</v>
      </c>
      <c r="EM28" s="32">
        <v>-25.544031950216343</v>
      </c>
      <c r="EN28" s="32">
        <v>5.5660940515036215</v>
      </c>
      <c r="EO28" s="69"/>
      <c r="EP28" s="32">
        <v>1285.911672</v>
      </c>
      <c r="EQ28" s="32">
        <v>14.780593931034483</v>
      </c>
      <c r="ER28" s="32">
        <v>0.29199999999999998</v>
      </c>
      <c r="ES28" s="32">
        <v>699.03030055276372</v>
      </c>
      <c r="ET28" s="32">
        <v>8.0348310408363641</v>
      </c>
      <c r="EU28" s="32">
        <v>291.88605328643223</v>
      </c>
      <c r="EV28" s="32">
        <v>3.3550121067406002</v>
      </c>
      <c r="EW28" s="32">
        <v>495.45817691959797</v>
      </c>
      <c r="EX28" s="32">
        <v>5.6949215737884824</v>
      </c>
      <c r="EY28" s="32">
        <v>0.39700000000000002</v>
      </c>
      <c r="EZ28" s="32">
        <v>0.05</v>
      </c>
      <c r="FA28" s="32">
        <v>29.391822183865319</v>
      </c>
      <c r="FB28" s="32">
        <v>70.608177816134685</v>
      </c>
      <c r="FC28" s="32">
        <v>64.343150665279339</v>
      </c>
      <c r="FD28" s="32">
        <v>83.503580457088106</v>
      </c>
      <c r="FE28" s="32">
        <v>0.58483294348441117</v>
      </c>
      <c r="FF28" s="32">
        <v>2.198767505022186</v>
      </c>
      <c r="FG28" s="69"/>
      <c r="FH28" s="32" t="s">
        <v>34</v>
      </c>
      <c r="FI28" s="32" t="s">
        <v>34</v>
      </c>
      <c r="FJ28" s="32" t="s">
        <v>34</v>
      </c>
      <c r="FK28" s="32" t="s">
        <v>34</v>
      </c>
      <c r="FL28" s="32" t="s">
        <v>34</v>
      </c>
      <c r="FM28" s="32" t="s">
        <v>34</v>
      </c>
      <c r="FN28" s="32" t="s">
        <v>34</v>
      </c>
      <c r="FO28" s="32" t="s">
        <v>34</v>
      </c>
      <c r="FP28" s="32" t="s">
        <v>34</v>
      </c>
      <c r="FQ28" s="32" t="s">
        <v>34</v>
      </c>
      <c r="FR28" s="32" t="s">
        <v>34</v>
      </c>
      <c r="FS28" s="32" t="s">
        <v>34</v>
      </c>
      <c r="FT28" s="32" t="s">
        <v>34</v>
      </c>
      <c r="FU28" s="32" t="s">
        <v>34</v>
      </c>
      <c r="FV28" s="32" t="s">
        <v>34</v>
      </c>
      <c r="FW28" s="32" t="s">
        <v>34</v>
      </c>
      <c r="FX28" s="32" t="s">
        <v>34</v>
      </c>
      <c r="FY28" s="32" t="s">
        <v>34</v>
      </c>
      <c r="FZ28" s="32" t="s">
        <v>34</v>
      </c>
      <c r="GA28" s="32" t="s">
        <v>34</v>
      </c>
      <c r="GB28" s="69"/>
      <c r="GC28" s="32" t="s">
        <v>34</v>
      </c>
      <c r="GD28" s="32" t="s">
        <v>34</v>
      </c>
      <c r="GE28" s="32" t="s">
        <v>34</v>
      </c>
      <c r="GF28" s="32" t="s">
        <v>34</v>
      </c>
      <c r="GG28" s="32" t="s">
        <v>34</v>
      </c>
      <c r="GH28" s="69"/>
      <c r="GI28" s="32">
        <v>1689.956952</v>
      </c>
      <c r="GJ28" s="32">
        <v>19.424792551724138</v>
      </c>
      <c r="GK28" s="32">
        <v>2.3E-2</v>
      </c>
      <c r="GL28" s="32">
        <v>1755.1307839999999</v>
      </c>
      <c r="GM28" s="32">
        <v>20.173917057471265</v>
      </c>
      <c r="GN28" s="32">
        <v>0.09</v>
      </c>
      <c r="GO28" s="32">
        <v>1156.0129424331551</v>
      </c>
      <c r="GP28" s="32">
        <v>13.287505085438564</v>
      </c>
      <c r="GQ28" s="32">
        <v>125.21653112299465</v>
      </c>
      <c r="GR28" s="32">
        <v>1.4392704726780994</v>
      </c>
      <c r="GS28" s="32">
        <v>640.61473677807487</v>
      </c>
      <c r="GT28" s="32">
        <v>7.363387779058332</v>
      </c>
      <c r="GU28" s="32">
        <v>257.46329302362204</v>
      </c>
      <c r="GV28" s="32">
        <v>2.9593481956738166</v>
      </c>
      <c r="GW28" s="32">
        <v>1141.7803115511813</v>
      </c>
      <c r="GX28" s="32">
        <v>13.123911627025072</v>
      </c>
      <c r="GY28" s="32">
        <v>0.113</v>
      </c>
      <c r="GZ28" s="32">
        <v>-154.70578156666664</v>
      </c>
      <c r="HA28" s="8">
        <v>-1.7782273743295016</v>
      </c>
      <c r="HB28" s="32">
        <v>1186.1386778000001</v>
      </c>
      <c r="HC28" s="32">
        <v>-0.76047323697318003</v>
      </c>
      <c r="HD28" s="32">
        <v>7.2999999999999995E-2</v>
      </c>
      <c r="HE28" s="32">
        <v>70366.686220999996</v>
      </c>
      <c r="HF28" s="32">
        <v>144265.0674075</v>
      </c>
      <c r="HG28" s="32">
        <v>0.186</v>
      </c>
      <c r="HH28" s="32">
        <v>8.8999999999999996E-2</v>
      </c>
      <c r="HI28" s="32">
        <v>60.752688172043015</v>
      </c>
      <c r="HJ28" s="32">
        <v>11.44692463655876</v>
      </c>
      <c r="HK28" s="32">
        <v>9.2649685131422821</v>
      </c>
      <c r="HL28" s="32">
        <v>19.050114883079782</v>
      </c>
      <c r="HM28" s="32">
        <v>85.535219801830863</v>
      </c>
      <c r="HN28" s="32">
        <v>11.44692463655876</v>
      </c>
      <c r="HO28" s="32">
        <v>35.73235955186211</v>
      </c>
      <c r="HP28" s="32">
        <v>19.050114883079782</v>
      </c>
      <c r="HQ28" s="32">
        <v>22.545978292885884</v>
      </c>
      <c r="HR28" s="32">
        <v>60.752688172043015</v>
      </c>
      <c r="HS28" s="32" t="s">
        <v>34</v>
      </c>
      <c r="HT28" s="32" t="s">
        <v>34</v>
      </c>
      <c r="HU28" s="32" t="s">
        <v>34</v>
      </c>
      <c r="HV28" s="32" t="s">
        <v>34</v>
      </c>
      <c r="HW28" s="17" t="s">
        <v>34</v>
      </c>
      <c r="HX28" s="69"/>
      <c r="HY28" s="32">
        <v>2527.4603990000001</v>
      </c>
      <c r="HZ28" s="32">
        <v>29.051268954022991</v>
      </c>
      <c r="IA28" s="32">
        <v>2.1999999999999999E-2</v>
      </c>
      <c r="IB28" s="32">
        <v>2527.4603990000001</v>
      </c>
      <c r="IC28" s="32">
        <v>29.051268954022991</v>
      </c>
      <c r="ID28" s="32">
        <v>2.1999999999999999E-2</v>
      </c>
      <c r="IE28" s="32">
        <v>1221.4735560732984</v>
      </c>
      <c r="IF28" s="32">
        <v>14.039925931876994</v>
      </c>
      <c r="IG28" s="32">
        <v>90.928039445026158</v>
      </c>
      <c r="IH28" s="32">
        <v>1.0451498786784617</v>
      </c>
      <c r="II28" s="32">
        <v>656.20079775916224</v>
      </c>
      <c r="IJ28" s="32">
        <v>7.5425379052777268</v>
      </c>
      <c r="IK28" s="32">
        <v>257.36228647321428</v>
      </c>
      <c r="IL28" s="32">
        <v>2.9581872008415435</v>
      </c>
      <c r="IM28" s="32">
        <v>1164.0390702857144</v>
      </c>
      <c r="IN28" s="32">
        <v>13.379759428571429</v>
      </c>
      <c r="IO28" s="32">
        <v>9.5000000000000001E-2</v>
      </c>
      <c r="IP28" s="32">
        <v>-145.02937406329116</v>
      </c>
      <c r="IQ28" s="8">
        <v>-1.6670042995780592</v>
      </c>
      <c r="IR28" s="32">
        <v>1302.8996625063294</v>
      </c>
      <c r="IS28" s="32">
        <v>-0.41486976982394885</v>
      </c>
      <c r="IT28" s="32">
        <v>0.19</v>
      </c>
      <c r="IU28" s="32">
        <v>102932.41859100002</v>
      </c>
      <c r="IV28" s="32">
        <v>130209.865099</v>
      </c>
      <c r="IW28" s="32">
        <v>0.19</v>
      </c>
      <c r="IX28" s="32">
        <v>8.8999999999999996E-2</v>
      </c>
      <c r="IY28" s="32">
        <v>50</v>
      </c>
      <c r="IZ28" s="32">
        <v>6.3480675259290162</v>
      </c>
      <c r="JA28" s="32">
        <v>10.125108441974124</v>
      </c>
      <c r="JB28" s="32">
        <v>17.967539860432126</v>
      </c>
      <c r="JC28" s="32">
        <v>85.276188317882983</v>
      </c>
      <c r="JD28" s="32">
        <v>6.3480675259290162</v>
      </c>
      <c r="JE28" s="32">
        <v>10.125108441974124</v>
      </c>
      <c r="JF28" s="32">
        <v>17.967539860432126</v>
      </c>
      <c r="JG28" s="32">
        <v>0.30555596212237579</v>
      </c>
      <c r="JH28" s="32">
        <v>8.2716775723975129</v>
      </c>
      <c r="JI28" s="69"/>
      <c r="JJ28" s="32">
        <v>5.5067074981301385</v>
      </c>
      <c r="JK28" s="32">
        <v>-6.4566383499716187</v>
      </c>
      <c r="JL28" s="32">
        <v>-3.9239134351668661E-2</v>
      </c>
      <c r="JM28" s="32">
        <v>36.068332558372987</v>
      </c>
      <c r="JN28" s="32">
        <v>-121.42857142857144</v>
      </c>
      <c r="JO28" s="32">
        <v>39.71641302236393</v>
      </c>
      <c r="JP28" s="32">
        <v>2.1276595744680873</v>
      </c>
      <c r="JQ28" s="32">
        <v>138.91821824236382</v>
      </c>
      <c r="JR28" s="32">
        <v>37.364942730085062</v>
      </c>
      <c r="JS28" s="32">
        <v>-12.25490606075534</v>
      </c>
      <c r="JT28" s="32">
        <v>-5.8489660144523308</v>
      </c>
      <c r="JU28" s="69"/>
      <c r="JV28" s="32">
        <v>1373.5194749999998</v>
      </c>
      <c r="JW28" s="32">
        <v>15.787580172413792</v>
      </c>
      <c r="JX28" s="32">
        <v>0.311</v>
      </c>
      <c r="JY28" s="32">
        <v>622.211768208134</v>
      </c>
      <c r="JZ28" s="32">
        <v>7.1518594046911952</v>
      </c>
      <c r="KA28" s="32">
        <v>288.59901638995211</v>
      </c>
      <c r="KB28" s="32">
        <v>3.3172300734477256</v>
      </c>
      <c r="KC28" s="32">
        <v>455.40539229904306</v>
      </c>
      <c r="KD28" s="32">
        <v>5.2345447390694604</v>
      </c>
      <c r="KE28" s="32">
        <v>0.41699999999999998</v>
      </c>
      <c r="KF28" s="32">
        <v>0.06</v>
      </c>
      <c r="KG28" s="32">
        <v>34.109910216341369</v>
      </c>
      <c r="KH28" s="32">
        <v>65.890089783658638</v>
      </c>
      <c r="KI28" s="32">
        <v>70.134222942722459</v>
      </c>
      <c r="KJ28" s="32">
        <v>76.300126373396893</v>
      </c>
      <c r="KK28" s="32">
        <v>0.48126368174839307</v>
      </c>
      <c r="KL28" s="32">
        <v>2.8539853038777241</v>
      </c>
      <c r="KM28" s="69"/>
      <c r="KN28" s="32" t="s">
        <v>34</v>
      </c>
      <c r="KO28" s="32" t="s">
        <v>34</v>
      </c>
      <c r="KP28" s="32" t="s">
        <v>34</v>
      </c>
      <c r="KQ28" s="32" t="s">
        <v>34</v>
      </c>
      <c r="KR28" s="32" t="s">
        <v>34</v>
      </c>
      <c r="KS28" s="32" t="s">
        <v>34</v>
      </c>
      <c r="KT28" s="32" t="s">
        <v>34</v>
      </c>
      <c r="KU28" s="32" t="s">
        <v>34</v>
      </c>
      <c r="KV28" s="32" t="s">
        <v>34</v>
      </c>
      <c r="KW28" s="32" t="s">
        <v>34</v>
      </c>
      <c r="KX28" s="32" t="s">
        <v>34</v>
      </c>
      <c r="KY28" s="32" t="s">
        <v>34</v>
      </c>
      <c r="KZ28" s="32" t="s">
        <v>34</v>
      </c>
      <c r="LA28" s="32" t="s">
        <v>34</v>
      </c>
      <c r="LB28" s="32" t="s">
        <v>34</v>
      </c>
      <c r="LC28" s="32" t="s">
        <v>34</v>
      </c>
      <c r="LD28" s="32" t="s">
        <v>34</v>
      </c>
      <c r="LE28" s="32" t="s">
        <v>34</v>
      </c>
      <c r="LF28" s="32" t="s">
        <v>34</v>
      </c>
      <c r="LG28" s="32" t="s">
        <v>34</v>
      </c>
      <c r="LH28" s="69"/>
      <c r="LI28" s="32" t="s">
        <v>34</v>
      </c>
      <c r="LJ28" s="32" t="s">
        <v>34</v>
      </c>
      <c r="LK28" s="32" t="s">
        <v>34</v>
      </c>
      <c r="LL28" s="32" t="s">
        <v>34</v>
      </c>
      <c r="LM28" s="32" t="s">
        <v>34</v>
      </c>
      <c r="LN28" s="69"/>
      <c r="LO28" s="32">
        <v>1766.8706689999999</v>
      </c>
      <c r="LP28" s="32">
        <v>20.308858264367814</v>
      </c>
      <c r="LQ28" s="32">
        <v>3.9E-2</v>
      </c>
      <c r="LR28" s="32">
        <v>1857.580291</v>
      </c>
      <c r="LS28" s="32">
        <v>21.351497597701151</v>
      </c>
      <c r="LT28" s="32">
        <v>8.2000000000000003E-2</v>
      </c>
      <c r="LU28" s="32">
        <v>1245.7559278670519</v>
      </c>
      <c r="LV28" s="32">
        <v>14.319033653644276</v>
      </c>
      <c r="LW28" s="32">
        <v>144.66276842196532</v>
      </c>
      <c r="LX28" s="32">
        <v>1.6627904416317854</v>
      </c>
      <c r="LY28" s="32">
        <v>695.20934814450857</v>
      </c>
      <c r="LZ28" s="32">
        <v>7.9909120476380293</v>
      </c>
      <c r="MA28" s="32">
        <v>248.05739392063492</v>
      </c>
      <c r="MB28" s="32">
        <v>2.8512344128808613</v>
      </c>
      <c r="MC28" s="32">
        <v>1195.7229554999999</v>
      </c>
      <c r="MD28" s="32">
        <v>13.743942017241379</v>
      </c>
      <c r="ME28" s="32">
        <v>0.109</v>
      </c>
      <c r="MF28" s="32">
        <v>-132.52282334042553</v>
      </c>
      <c r="MG28" s="8">
        <v>-1.5232508429933969</v>
      </c>
      <c r="MH28" s="32">
        <v>1379.8868750638298</v>
      </c>
      <c r="MI28" s="32">
        <v>0.26193201834189278</v>
      </c>
      <c r="MJ28" s="32">
        <v>6.3E-2</v>
      </c>
      <c r="MK28" s="32">
        <v>63957.154440500002</v>
      </c>
      <c r="ML28" s="32">
        <v>149853.1732055</v>
      </c>
      <c r="MM28" s="32">
        <v>0.17199999999999999</v>
      </c>
      <c r="MN28" s="32">
        <v>8.8999999999999996E-2</v>
      </c>
      <c r="MO28" s="32">
        <v>63.372093023255815</v>
      </c>
      <c r="MP28" s="32">
        <v>8.8379248276262494</v>
      </c>
      <c r="MQ28" s="32">
        <v>9.6475357258678862</v>
      </c>
      <c r="MR28" s="32">
        <v>16.542905932329983</v>
      </c>
      <c r="MS28" s="32">
        <v>83.079253569602088</v>
      </c>
      <c r="MT28" s="32">
        <v>8.8379248276262494</v>
      </c>
      <c r="MU28" s="32">
        <v>31.999309068036673</v>
      </c>
      <c r="MV28" s="32">
        <v>16.542905932329983</v>
      </c>
      <c r="MW28" s="32">
        <v>24.041709768449376</v>
      </c>
      <c r="MX28" s="32" t="s">
        <v>34</v>
      </c>
      <c r="MY28" s="32" t="s">
        <v>34</v>
      </c>
      <c r="MZ28" s="32" t="s">
        <v>34</v>
      </c>
      <c r="NA28" s="32" t="s">
        <v>34</v>
      </c>
      <c r="NB28" s="17" t="s">
        <v>34</v>
      </c>
      <c r="NC28" s="69"/>
      <c r="ND28" s="32">
        <v>2643.4171179999998</v>
      </c>
      <c r="NE28" s="32">
        <v>30.384104804597701</v>
      </c>
      <c r="NF28" s="32">
        <v>2.1999999999999999E-2</v>
      </c>
      <c r="NG28" s="32">
        <v>2643.4171179999998</v>
      </c>
      <c r="NH28" s="32">
        <v>30.384104804597701</v>
      </c>
      <c r="NI28" s="32">
        <v>2.1999999999999999E-2</v>
      </c>
      <c r="NJ28" s="32">
        <v>1194.36947515625</v>
      </c>
      <c r="NK28" s="32">
        <v>13.728384771910919</v>
      </c>
      <c r="NL28" s="32">
        <v>110.07879585937498</v>
      </c>
      <c r="NM28" s="32">
        <v>1.2652735156249997</v>
      </c>
      <c r="NN28" s="32">
        <v>652.22413550781255</v>
      </c>
      <c r="NO28" s="32">
        <v>7.4968291437679602</v>
      </c>
      <c r="NP28" s="32">
        <v>246.56028366141732</v>
      </c>
      <c r="NQ28" s="32">
        <v>2.8340262489818082</v>
      </c>
      <c r="NR28" s="32">
        <v>1158.6358689921262</v>
      </c>
      <c r="NS28" s="32">
        <v>13.317653666576163</v>
      </c>
      <c r="NT28" s="32">
        <v>0.10299999999999999</v>
      </c>
      <c r="NU28" s="32">
        <v>-156.58503415384615</v>
      </c>
      <c r="NV28" s="8">
        <v>-1.7998279787798408</v>
      </c>
      <c r="NW28" s="32">
        <v>1264.1874441230768</v>
      </c>
      <c r="NX28" s="32">
        <v>0.17074144367816091</v>
      </c>
      <c r="NY28" s="32">
        <v>0.191</v>
      </c>
      <c r="NZ28" s="32">
        <v>82175.384851499999</v>
      </c>
      <c r="OA28" s="32">
        <v>147115.70131500001</v>
      </c>
      <c r="OB28" s="32">
        <v>0.191</v>
      </c>
      <c r="OC28" s="32">
        <v>8.8999999999999996E-2</v>
      </c>
      <c r="OD28" s="32">
        <v>53.926701570680621</v>
      </c>
      <c r="OE28" s="32">
        <v>7.8044087170157743</v>
      </c>
      <c r="OF28" s="32">
        <v>11.101625848684392</v>
      </c>
      <c r="OG28" s="32">
        <v>17.480725620720587</v>
      </c>
      <c r="OH28" s="32">
        <v>84.678865447937497</v>
      </c>
      <c r="OI28" s="32">
        <v>7.8044087170157743</v>
      </c>
      <c r="OJ28" s="32">
        <v>11.101625848684392</v>
      </c>
      <c r="OK28" s="32">
        <v>17.480725620720587</v>
      </c>
      <c r="OL28" s="32">
        <v>0.30975146088451383</v>
      </c>
      <c r="OM28" s="32">
        <v>8.5339940300896853</v>
      </c>
      <c r="ON28" s="69"/>
      <c r="OO28" s="32">
        <v>-4.211787857061311</v>
      </c>
      <c r="OP28" s="32">
        <v>16.64583662441439</v>
      </c>
      <c r="OQ28" s="32">
        <v>-0.60536059549519461</v>
      </c>
      <c r="OR28" s="32">
        <v>34.918341673722118</v>
      </c>
      <c r="OS28" s="32">
        <v>-115.38461538461537</v>
      </c>
      <c r="OT28" s="32">
        <v>39.750079420384097</v>
      </c>
      <c r="OU28" s="32">
        <v>10.468319559228661</v>
      </c>
      <c r="OV28" s="32">
        <v>137.08174961594358</v>
      </c>
      <c r="OW28" s="32">
        <v>21.122311211616072</v>
      </c>
      <c r="OX28" s="32">
        <v>22.705637231309858</v>
      </c>
      <c r="OY28" s="32">
        <v>5.5127547859100829</v>
      </c>
    </row>
    <row r="29" spans="1:415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9"/>
      <c r="K29" s="32">
        <v>1314.4590559999999</v>
      </c>
      <c r="L29" s="32">
        <v>17.762960216216214</v>
      </c>
      <c r="M29" s="32">
        <v>0.19600000000000001</v>
      </c>
      <c r="N29" s="32">
        <v>803.62693219104483</v>
      </c>
      <c r="O29" s="32">
        <v>10.859823407987092</v>
      </c>
      <c r="P29" s="32">
        <v>468.04635492835814</v>
      </c>
      <c r="Q29" s="32">
        <v>6.3249507422751101</v>
      </c>
      <c r="R29" s="32">
        <v>635.83664355970154</v>
      </c>
      <c r="S29" s="32">
        <v>8.5923870751311018</v>
      </c>
      <c r="T29" s="32">
        <v>0.33400000000000002</v>
      </c>
      <c r="U29" s="32">
        <v>2.3E-2</v>
      </c>
      <c r="V29" s="32">
        <v>35.914039402312461</v>
      </c>
      <c r="W29" s="32">
        <v>64.021168705935864</v>
      </c>
      <c r="X29" s="32">
        <v>68.00009759516638</v>
      </c>
      <c r="Y29" s="32">
        <v>93.917785245188199</v>
      </c>
      <c r="Z29" s="32">
        <v>0.5942694425188022</v>
      </c>
      <c r="AA29" s="32">
        <v>2.2118907047091043</v>
      </c>
      <c r="AB29" s="69"/>
      <c r="AC29" s="32">
        <v>62.504838999999997</v>
      </c>
      <c r="AD29" s="32">
        <v>0.84465998648648644</v>
      </c>
      <c r="AE29" s="32">
        <v>6.0000000000000001E-3</v>
      </c>
      <c r="AF29" s="32">
        <v>1251.0164489999997</v>
      </c>
      <c r="AG29" s="32">
        <v>16.905627689189185</v>
      </c>
      <c r="AH29" s="32">
        <v>0.14099999999999999</v>
      </c>
      <c r="AI29" s="32">
        <v>737.55615074476998</v>
      </c>
      <c r="AJ29" s="32">
        <v>9.9669750100644592</v>
      </c>
      <c r="AK29" s="32">
        <v>351.43474050627611</v>
      </c>
      <c r="AL29" s="32">
        <v>4.7491181149496775</v>
      </c>
      <c r="AM29" s="32">
        <v>544.49544562552308</v>
      </c>
      <c r="AN29" s="32">
        <v>7.3580465625070683</v>
      </c>
      <c r="AO29" s="32">
        <v>0.23799999999999999</v>
      </c>
      <c r="AP29" s="32">
        <v>2.3E-2</v>
      </c>
      <c r="AQ29" s="32">
        <v>32.386530279761793</v>
      </c>
      <c r="AR29" s="32">
        <v>67.6134697202382</v>
      </c>
      <c r="AS29" s="32">
        <v>96.153788733505792</v>
      </c>
      <c r="AT29" s="32">
        <v>99.129683702770535</v>
      </c>
      <c r="AU29" s="32">
        <v>0.28677353376234982</v>
      </c>
      <c r="AV29" s="32">
        <v>4.3623846056753663</v>
      </c>
      <c r="AW29" s="69"/>
      <c r="AX29" s="32">
        <v>8.5740340882039749</v>
      </c>
      <c r="AY29" s="32">
        <v>4.94587509226678</v>
      </c>
      <c r="AZ29" s="32">
        <v>32.64094955489616</v>
      </c>
      <c r="BA29" s="32">
        <v>33.566433566433574</v>
      </c>
      <c r="BB29" s="32">
        <v>10.329369546902848</v>
      </c>
      <c r="BC29" s="69"/>
      <c r="BD29" s="32">
        <v>696.42575999999997</v>
      </c>
      <c r="BE29" s="32">
        <v>9.4111589189189182</v>
      </c>
      <c r="BF29" s="32">
        <v>1.4E-2</v>
      </c>
      <c r="BG29" s="32">
        <v>1736.3396720000001</v>
      </c>
      <c r="BH29" s="32">
        <v>23.464049621621623</v>
      </c>
      <c r="BI29" s="32">
        <v>7.5999999999999998E-2</v>
      </c>
      <c r="BJ29" s="32">
        <v>1073.709022616883</v>
      </c>
      <c r="BK29" s="32">
        <v>14.509581386714634</v>
      </c>
      <c r="BL29" s="32">
        <v>188.97172666233766</v>
      </c>
      <c r="BM29" s="32">
        <v>2.5536719819234817</v>
      </c>
      <c r="BN29" s="32">
        <v>631.34037463961033</v>
      </c>
      <c r="BO29" s="32">
        <v>8.5316266843190594</v>
      </c>
      <c r="BP29" s="32">
        <v>288.15154683760682</v>
      </c>
      <c r="BQ29" s="32">
        <v>3.893939822129822</v>
      </c>
      <c r="BR29" s="32">
        <v>1155.7124618974358</v>
      </c>
      <c r="BS29" s="32">
        <v>15.617735971586971</v>
      </c>
      <c r="BT29" s="32">
        <v>0.107</v>
      </c>
      <c r="BU29" s="32">
        <v>-124.65094794594596</v>
      </c>
      <c r="BV29" s="8">
        <v>-1.6844722695398102</v>
      </c>
      <c r="BW29" s="32">
        <v>814.40084975675677</v>
      </c>
      <c r="BX29" s="32" t="s">
        <v>34</v>
      </c>
      <c r="BY29" s="32">
        <v>4.5999999999999999E-2</v>
      </c>
      <c r="BZ29" s="32">
        <v>29300.160992000001</v>
      </c>
      <c r="CA29" s="32">
        <v>134721.096544</v>
      </c>
      <c r="CB29" s="32">
        <v>0.153</v>
      </c>
      <c r="CC29" s="32" t="s">
        <v>34</v>
      </c>
      <c r="CD29" s="32">
        <v>69.93464052287581</v>
      </c>
      <c r="CE29" s="32">
        <v>9.6254298709440462</v>
      </c>
      <c r="CF29" s="32">
        <v>14.592220376601603</v>
      </c>
      <c r="CG29" s="32">
        <v>22.250793531808348</v>
      </c>
      <c r="CH29" s="32">
        <v>82.910808696620165</v>
      </c>
      <c r="CI29" s="32">
        <v>9.6254298709440462</v>
      </c>
      <c r="CJ29" s="32">
        <v>40.59272109588801</v>
      </c>
      <c r="CK29" s="32">
        <v>22.250793531808348</v>
      </c>
      <c r="CL29" s="32">
        <v>26.03868072574901</v>
      </c>
      <c r="CM29" s="32" t="s">
        <v>34</v>
      </c>
      <c r="CN29" s="32" t="s">
        <v>34</v>
      </c>
      <c r="CO29" s="32" t="s">
        <v>34</v>
      </c>
      <c r="CP29" s="32" t="s">
        <v>34</v>
      </c>
      <c r="CQ29" s="17" t="s">
        <v>34</v>
      </c>
      <c r="CR29" s="69"/>
      <c r="CS29" s="32" t="s">
        <v>34</v>
      </c>
      <c r="CT29" s="32" t="s">
        <v>34</v>
      </c>
      <c r="CU29" s="32" t="s">
        <v>34</v>
      </c>
      <c r="CV29" s="32" t="s">
        <v>34</v>
      </c>
      <c r="CW29" s="32" t="s">
        <v>34</v>
      </c>
      <c r="CX29" s="32" t="s">
        <v>34</v>
      </c>
      <c r="CY29" s="32" t="s">
        <v>34</v>
      </c>
      <c r="CZ29" s="32" t="s">
        <v>34</v>
      </c>
      <c r="DA29" s="32" t="s">
        <v>34</v>
      </c>
      <c r="DB29" s="32" t="s">
        <v>34</v>
      </c>
      <c r="DC29" s="32" t="s">
        <v>34</v>
      </c>
      <c r="DD29" s="32" t="s">
        <v>34</v>
      </c>
      <c r="DE29" s="32" t="s">
        <v>34</v>
      </c>
      <c r="DF29" s="32" t="s">
        <v>34</v>
      </c>
      <c r="DG29" s="32" t="s">
        <v>34</v>
      </c>
      <c r="DH29" s="32" t="s">
        <v>34</v>
      </c>
      <c r="DI29" s="32" t="s">
        <v>34</v>
      </c>
      <c r="DJ29" s="32" t="s">
        <v>34</v>
      </c>
      <c r="DK29" s="8" t="s">
        <v>34</v>
      </c>
      <c r="DL29" s="32" t="s">
        <v>34</v>
      </c>
      <c r="DM29" s="32" t="s">
        <v>34</v>
      </c>
      <c r="DN29" s="32" t="s">
        <v>34</v>
      </c>
      <c r="DO29" s="32" t="s">
        <v>34</v>
      </c>
      <c r="DP29" s="32" t="s">
        <v>34</v>
      </c>
      <c r="DQ29" s="32" t="s">
        <v>34</v>
      </c>
      <c r="DR29" s="32" t="s">
        <v>34</v>
      </c>
      <c r="DS29" s="32" t="s">
        <v>34</v>
      </c>
      <c r="DT29" s="32" t="s">
        <v>34</v>
      </c>
      <c r="DU29" s="32" t="s">
        <v>34</v>
      </c>
      <c r="DV29" s="32" t="s">
        <v>34</v>
      </c>
      <c r="DW29" s="32" t="s">
        <v>34</v>
      </c>
      <c r="DX29" s="32" t="s">
        <v>34</v>
      </c>
      <c r="DY29" s="32" t="s">
        <v>34</v>
      </c>
      <c r="DZ29" s="32" t="s">
        <v>34</v>
      </c>
      <c r="EA29" s="32" t="s">
        <v>34</v>
      </c>
      <c r="EB29" s="32" t="s">
        <v>34</v>
      </c>
      <c r="EC29" s="69"/>
      <c r="ED29" s="32" t="s">
        <v>34</v>
      </c>
      <c r="EE29" s="32" t="s">
        <v>34</v>
      </c>
      <c r="EF29" s="32" t="s">
        <v>34</v>
      </c>
      <c r="EG29" s="32" t="s">
        <v>34</v>
      </c>
      <c r="EH29" s="32" t="s">
        <v>34</v>
      </c>
      <c r="EI29" s="32" t="s">
        <v>34</v>
      </c>
      <c r="EJ29" s="32" t="s">
        <v>34</v>
      </c>
      <c r="EK29" s="32" t="s">
        <v>34</v>
      </c>
      <c r="EL29" s="32" t="s">
        <v>34</v>
      </c>
      <c r="EM29" s="32" t="s">
        <v>34</v>
      </c>
      <c r="EN29" s="32" t="s">
        <v>34</v>
      </c>
      <c r="EO29" s="69"/>
      <c r="EP29" s="32">
        <v>1208.9257590000002</v>
      </c>
      <c r="EQ29" s="32">
        <v>16.336834581081085</v>
      </c>
      <c r="ER29" s="32">
        <v>0.26</v>
      </c>
      <c r="ES29" s="32">
        <v>707.62260414621403</v>
      </c>
      <c r="ET29" s="32">
        <v>9.5624676235974864</v>
      </c>
      <c r="EU29" s="32">
        <v>329.97153826892946</v>
      </c>
      <c r="EV29" s="32">
        <v>4.4590748414720194</v>
      </c>
      <c r="EW29" s="32">
        <v>518.79707120757178</v>
      </c>
      <c r="EX29" s="32">
        <v>7.0107712325347533</v>
      </c>
      <c r="EY29" s="32">
        <v>0.38200000000000001</v>
      </c>
      <c r="EZ29" s="32">
        <v>0.05</v>
      </c>
      <c r="FA29" s="32">
        <v>31.868877349166183</v>
      </c>
      <c r="FB29" s="32">
        <v>68.080587926363208</v>
      </c>
      <c r="FC29" s="32">
        <v>68.055578018633327</v>
      </c>
      <c r="FD29" s="32">
        <v>91.49619113594656</v>
      </c>
      <c r="FE29" s="32">
        <v>0.65124579450943931</v>
      </c>
      <c r="FF29" s="32">
        <v>1.8563279320838328</v>
      </c>
      <c r="FG29" s="69"/>
      <c r="FH29" s="32">
        <v>183.97989899999999</v>
      </c>
      <c r="FI29" s="32">
        <v>2.4862148513513511</v>
      </c>
      <c r="FJ29" s="32">
        <v>1.6E-2</v>
      </c>
      <c r="FK29" s="32">
        <v>1443.2737890000001</v>
      </c>
      <c r="FL29" s="32">
        <v>19.503699851351353</v>
      </c>
      <c r="FM29" s="32">
        <v>0.128</v>
      </c>
      <c r="FN29" s="32">
        <v>791.52220689285707</v>
      </c>
      <c r="FO29" s="32">
        <v>10.696246039092664</v>
      </c>
      <c r="FP29" s="32">
        <v>325.30992404017854</v>
      </c>
      <c r="FQ29" s="32">
        <v>4.3960800545970073</v>
      </c>
      <c r="FR29" s="32">
        <v>558.41606546651781</v>
      </c>
      <c r="FS29" s="32">
        <v>7.5461630468448355</v>
      </c>
      <c r="FT29" s="32">
        <v>0.223</v>
      </c>
      <c r="FU29" s="32">
        <v>0.05</v>
      </c>
      <c r="FV29" s="32">
        <v>29.698588870405537</v>
      </c>
      <c r="FW29" s="32">
        <v>70.301411129594456</v>
      </c>
      <c r="FX29" s="32">
        <v>78.571513446357827</v>
      </c>
      <c r="FY29" s="32">
        <v>99.366904253508054</v>
      </c>
      <c r="FZ29" s="32">
        <v>0.26431331149417697</v>
      </c>
      <c r="GA29" s="32">
        <v>5.4604657663327583</v>
      </c>
      <c r="GB29" s="69"/>
      <c r="GC29" s="32">
        <v>-11.192995116794814</v>
      </c>
      <c r="GD29" s="32">
        <v>-17.671975713646404</v>
      </c>
      <c r="GE29" s="32">
        <v>68.041237113402062</v>
      </c>
      <c r="GF29" s="32">
        <v>52.561983471074377</v>
      </c>
      <c r="GG29" s="32">
        <v>7.050114653153396</v>
      </c>
      <c r="GH29" s="69"/>
      <c r="GI29" s="32">
        <v>1814.1370160000001</v>
      </c>
      <c r="GJ29" s="32">
        <v>24.515365081081082</v>
      </c>
      <c r="GK29" s="32">
        <v>4.5999999999999999E-2</v>
      </c>
      <c r="GL29" s="32">
        <v>1905.766419</v>
      </c>
      <c r="GM29" s="32">
        <v>25.753600256756759</v>
      </c>
      <c r="GN29" s="32">
        <v>8.1000000000000003E-2</v>
      </c>
      <c r="GO29" s="32">
        <v>1199.2789398545453</v>
      </c>
      <c r="GP29" s="32">
        <v>16.206472160196558</v>
      </c>
      <c r="GQ29" s="32">
        <v>170.3281669212121</v>
      </c>
      <c r="GR29" s="32">
        <v>2.3017319854217853</v>
      </c>
      <c r="GS29" s="32">
        <v>684.80355338787876</v>
      </c>
      <c r="GT29" s="32">
        <v>9.2541020728091716</v>
      </c>
      <c r="GU29" s="32">
        <v>311.60429602803742</v>
      </c>
      <c r="GV29" s="32">
        <v>4.2108688652437491</v>
      </c>
      <c r="GW29" s="32">
        <v>1232.1555504205605</v>
      </c>
      <c r="GX29" s="32">
        <v>16.650750681358925</v>
      </c>
      <c r="GY29" s="32">
        <v>0.107</v>
      </c>
      <c r="GZ29" s="32">
        <v>-90.301933327586212</v>
      </c>
      <c r="HA29" s="8">
        <v>-1.2202963963187325</v>
      </c>
      <c r="HB29" s="32">
        <v>1138.6272617413792</v>
      </c>
      <c r="HC29" s="32">
        <v>-0.14435791752096927</v>
      </c>
      <c r="HD29" s="32">
        <v>5.7000000000000002E-2</v>
      </c>
      <c r="HE29" s="32">
        <v>65107.533460499995</v>
      </c>
      <c r="HF29" s="32">
        <v>130925.37904200002</v>
      </c>
      <c r="HG29" s="32">
        <v>0.16400000000000001</v>
      </c>
      <c r="HH29" s="32">
        <v>0.10299999999999999</v>
      </c>
      <c r="HI29" s="32">
        <v>65.243902439024382</v>
      </c>
      <c r="HJ29" s="32">
        <v>6.3533107453959907</v>
      </c>
      <c r="HK29" s="32">
        <v>11.983661182739651</v>
      </c>
      <c r="HL29" s="32">
        <v>21.923328209205703</v>
      </c>
      <c r="HM29" s="32">
        <v>84.376839947205852</v>
      </c>
      <c r="HN29" s="32">
        <v>6.3533107453959907</v>
      </c>
      <c r="HO29" s="32">
        <v>37.297211016758844</v>
      </c>
      <c r="HP29" s="32">
        <v>21.923328209205703</v>
      </c>
      <c r="HQ29" s="32">
        <v>24.755920231086481</v>
      </c>
      <c r="HR29" s="32">
        <v>65.243902439024382</v>
      </c>
      <c r="HS29" s="32" t="s">
        <v>34</v>
      </c>
      <c r="HT29" s="32" t="s">
        <v>34</v>
      </c>
      <c r="HU29" s="32" t="s">
        <v>34</v>
      </c>
      <c r="HV29" s="32" t="s">
        <v>34</v>
      </c>
      <c r="HW29" s="17" t="s">
        <v>34</v>
      </c>
      <c r="HX29" s="69"/>
      <c r="HY29" s="32">
        <v>977.93198799999993</v>
      </c>
      <c r="HZ29" s="32">
        <v>13.215297135135135</v>
      </c>
      <c r="IA29" s="32">
        <v>2.3E-2</v>
      </c>
      <c r="IB29" s="32">
        <v>1829.4296770000001</v>
      </c>
      <c r="IC29" s="32">
        <v>24.722022662162164</v>
      </c>
      <c r="ID29" s="32">
        <v>7.1999999999999995E-2</v>
      </c>
      <c r="IE29" s="32">
        <v>1135.4833241069184</v>
      </c>
      <c r="IF29" s="32">
        <v>15.344369244688087</v>
      </c>
      <c r="IG29" s="32">
        <v>141.41864799999999</v>
      </c>
      <c r="IH29" s="32">
        <v>1.9110628108108108</v>
      </c>
      <c r="II29" s="32">
        <v>638.45098605345925</v>
      </c>
      <c r="IJ29" s="32">
        <v>8.6277160277494485</v>
      </c>
      <c r="IK29" s="32">
        <v>280.46822496153851</v>
      </c>
      <c r="IL29" s="32">
        <v>3.7901111481288989</v>
      </c>
      <c r="IM29" s="32">
        <v>1139.392472855769</v>
      </c>
      <c r="IN29" s="32">
        <v>15.397195579132013</v>
      </c>
      <c r="IO29" s="32">
        <v>0.104</v>
      </c>
      <c r="IP29" s="32">
        <v>-121.51146116363635</v>
      </c>
      <c r="IQ29" s="8">
        <v>-1.6420467724815724</v>
      </c>
      <c r="IR29" s="32">
        <v>1128.0914792000001</v>
      </c>
      <c r="IS29" s="32">
        <v>0.30142437272727274</v>
      </c>
      <c r="IT29" s="32">
        <v>5.3999999999999999E-2</v>
      </c>
      <c r="IU29" s="32">
        <v>61140.866237000002</v>
      </c>
      <c r="IV29" s="32">
        <v>117590.29866550001</v>
      </c>
      <c r="IW29" s="32">
        <v>0.158</v>
      </c>
      <c r="IX29" s="32">
        <v>0.10299999999999999</v>
      </c>
      <c r="IY29" s="32">
        <v>65.822784810126578</v>
      </c>
      <c r="IZ29" s="32">
        <v>10.391045443201927</v>
      </c>
      <c r="JA29" s="32">
        <v>8.9283212127810145</v>
      </c>
      <c r="JB29" s="32">
        <v>20.608018193962142</v>
      </c>
      <c r="JC29" s="32">
        <v>83.43212856053448</v>
      </c>
      <c r="JD29" s="32">
        <v>10.391045443201927</v>
      </c>
      <c r="JE29" s="32">
        <v>8.9283212127810145</v>
      </c>
      <c r="JF29" s="32">
        <v>20.608018193962142</v>
      </c>
      <c r="JG29" s="32">
        <v>0.215862992324765</v>
      </c>
      <c r="JH29" s="32">
        <v>8.4749574593482446</v>
      </c>
      <c r="JI29" s="69"/>
      <c r="JJ29" s="32">
        <v>5.4648489683384653</v>
      </c>
      <c r="JK29" s="32">
        <v>-29.468889737606702</v>
      </c>
      <c r="JL29" s="32">
        <v>10.517654497614187</v>
      </c>
      <c r="JM29" s="32">
        <v>4.0874288812707071</v>
      </c>
      <c r="JN29" s="32">
        <v>11.764705882352953</v>
      </c>
      <c r="JO29" s="32">
        <v>59.898593251243312</v>
      </c>
      <c r="JP29" s="32">
        <v>3.7267080745341645</v>
      </c>
      <c r="JQ29" s="32">
        <v>-134.45731124706285</v>
      </c>
      <c r="JR29" s="32">
        <v>14.235858071016857</v>
      </c>
      <c r="JS29" s="32">
        <v>-33.700726132292026</v>
      </c>
      <c r="JT29" s="32">
        <v>6.1851322682114462</v>
      </c>
      <c r="JU29" s="69"/>
      <c r="JV29" s="32">
        <v>1422.6793019999998</v>
      </c>
      <c r="JW29" s="32">
        <v>19.225395972972969</v>
      </c>
      <c r="JX29" s="32">
        <v>0.191</v>
      </c>
      <c r="JY29" s="32">
        <v>754.14606234545465</v>
      </c>
      <c r="JZ29" s="32">
        <v>10.191163004668306</v>
      </c>
      <c r="KA29" s="32">
        <v>397.61323513939402</v>
      </c>
      <c r="KB29" s="32">
        <v>5.3731518262080273</v>
      </c>
      <c r="KC29" s="32">
        <v>575.87964874242437</v>
      </c>
      <c r="KD29" s="32">
        <v>7.7821574154381672</v>
      </c>
      <c r="KE29" s="32">
        <v>0.32900000000000001</v>
      </c>
      <c r="KF29" s="32">
        <v>0.04</v>
      </c>
      <c r="KG29" s="32">
        <v>34.295782000464939</v>
      </c>
      <c r="KH29" s="32">
        <v>65.696909859772248</v>
      </c>
      <c r="KI29" s="32">
        <v>60.869579193876845</v>
      </c>
      <c r="KJ29" s="32">
        <v>99.810716050888615</v>
      </c>
      <c r="KK29" s="32">
        <v>0.50964980273776406</v>
      </c>
      <c r="KL29" s="32">
        <v>2.7914840628949036</v>
      </c>
      <c r="KM29" s="69"/>
      <c r="KN29" s="32">
        <v>179.038668</v>
      </c>
      <c r="KO29" s="32">
        <v>2.4194414594594593</v>
      </c>
      <c r="KP29" s="32">
        <v>1.9E-2</v>
      </c>
      <c r="KQ29" s="32">
        <v>1338.6242170000003</v>
      </c>
      <c r="KR29" s="32">
        <v>18.08951644594595</v>
      </c>
      <c r="KS29" s="32">
        <v>0.13500000000000001</v>
      </c>
      <c r="KT29" s="32">
        <v>783.15486244915246</v>
      </c>
      <c r="KU29" s="32">
        <v>10.583173816880439</v>
      </c>
      <c r="KV29" s="32">
        <v>335.21616932203386</v>
      </c>
      <c r="KW29" s="32">
        <v>4.5299482340815391</v>
      </c>
      <c r="KX29" s="32">
        <v>559.18551588559319</v>
      </c>
      <c r="KY29" s="32">
        <v>7.5565610254809892</v>
      </c>
      <c r="KZ29" s="32">
        <v>0.23499999999999999</v>
      </c>
      <c r="LA29" s="32">
        <v>0.04</v>
      </c>
      <c r="LB29" s="32">
        <v>30.773961761321754</v>
      </c>
      <c r="LC29" s="32">
        <v>69.226038238678242</v>
      </c>
      <c r="LD29" s="32">
        <v>60.16259521181312</v>
      </c>
      <c r="LE29" s="32">
        <v>98.122074222253872</v>
      </c>
      <c r="LF29" s="32">
        <v>0.29766480623107011</v>
      </c>
      <c r="LG29" s="32">
        <v>4.4970859469387801</v>
      </c>
      <c r="LH29" s="69"/>
      <c r="LI29" s="32">
        <v>-3.7739911081590702</v>
      </c>
      <c r="LJ29" s="32">
        <v>6.0880728555649597</v>
      </c>
      <c r="LK29" s="32">
        <v>34.355828220858889</v>
      </c>
      <c r="LL29" s="32">
        <v>33.333333333333343</v>
      </c>
      <c r="LM29" s="32">
        <v>10.82475521045907</v>
      </c>
      <c r="LN29" s="69"/>
      <c r="LO29" s="32">
        <v>1968.379367</v>
      </c>
      <c r="LP29" s="32">
        <v>26.599721175675676</v>
      </c>
      <c r="LQ29" s="32">
        <v>7.8E-2</v>
      </c>
      <c r="LR29" s="32">
        <v>1968.379367</v>
      </c>
      <c r="LS29" s="32">
        <v>26.599721175675676</v>
      </c>
      <c r="LT29" s="32">
        <v>7.8E-2</v>
      </c>
      <c r="LU29" s="32">
        <v>1202.5007312559521</v>
      </c>
      <c r="LV29" s="32">
        <v>16.25000988183719</v>
      </c>
      <c r="LW29" s="32">
        <v>155.05147136309523</v>
      </c>
      <c r="LX29" s="32">
        <v>2.0952901535553408</v>
      </c>
      <c r="LY29" s="32">
        <v>678.77610130952371</v>
      </c>
      <c r="LZ29" s="32">
        <v>9.1726500176962666</v>
      </c>
      <c r="MA29" s="32">
        <v>306.3381052761905</v>
      </c>
      <c r="MB29" s="32">
        <v>4.1397041253539255</v>
      </c>
      <c r="MC29" s="32">
        <v>1204.325808790476</v>
      </c>
      <c r="MD29" s="32">
        <v>16.274673091763191</v>
      </c>
      <c r="ME29" s="32">
        <v>0.105</v>
      </c>
      <c r="MF29" s="32">
        <v>-97.092918492063475</v>
      </c>
      <c r="MG29" s="8">
        <v>-1.3120664661089658</v>
      </c>
      <c r="MH29" s="32">
        <v>1199.4589353650795</v>
      </c>
      <c r="MI29" s="32">
        <v>-0.91262872114972104</v>
      </c>
      <c r="MJ29" s="32">
        <v>6.2E-2</v>
      </c>
      <c r="MK29" s="32">
        <v>74574.239258500005</v>
      </c>
      <c r="ML29" s="32">
        <v>125479.66826399999</v>
      </c>
      <c r="MM29" s="32">
        <v>0.16700000000000001</v>
      </c>
      <c r="MN29" s="32">
        <v>0.10299999999999999</v>
      </c>
      <c r="MO29" s="32">
        <v>62.874251497005986</v>
      </c>
      <c r="MP29" s="32">
        <v>7.1301022684152411</v>
      </c>
      <c r="MQ29" s="32">
        <v>11.38633862136397</v>
      </c>
      <c r="MR29" s="32">
        <v>22.496203155231498</v>
      </c>
      <c r="MS29" s="32">
        <v>88.306679054043471</v>
      </c>
      <c r="MT29" s="32">
        <v>7.1301022684152411</v>
      </c>
      <c r="MU29" s="32">
        <v>38.204012270780453</v>
      </c>
      <c r="MV29" s="32">
        <v>22.496203155231498</v>
      </c>
      <c r="MW29" s="32">
        <v>23.731166437502559</v>
      </c>
      <c r="MX29" s="32" t="s">
        <v>34</v>
      </c>
      <c r="MY29" s="32" t="s">
        <v>34</v>
      </c>
      <c r="MZ29" s="32" t="s">
        <v>34</v>
      </c>
      <c r="NA29" s="32" t="s">
        <v>34</v>
      </c>
      <c r="NB29" s="17" t="s">
        <v>34</v>
      </c>
      <c r="NC29" s="69"/>
      <c r="ND29" s="32">
        <v>1896.1363350000001</v>
      </c>
      <c r="NE29" s="32">
        <v>25.623463986486488</v>
      </c>
      <c r="NF29" s="32">
        <v>8.2000000000000003E-2</v>
      </c>
      <c r="NG29" s="32">
        <v>1896.1363350000001</v>
      </c>
      <c r="NH29" s="32">
        <v>25.623463986486488</v>
      </c>
      <c r="NI29" s="32">
        <v>8.2000000000000003E-2</v>
      </c>
      <c r="NJ29" s="32">
        <v>1141.3338907804878</v>
      </c>
      <c r="NK29" s="32">
        <v>15.423430956493078</v>
      </c>
      <c r="NL29" s="32">
        <v>146.41304768292684</v>
      </c>
      <c r="NM29" s="32">
        <v>1.9785546984179303</v>
      </c>
      <c r="NN29" s="32">
        <v>643.8734692317073</v>
      </c>
      <c r="NO29" s="32">
        <v>8.7009928274555044</v>
      </c>
      <c r="NP29" s="32">
        <v>271.68593935779813</v>
      </c>
      <c r="NQ29" s="32">
        <v>3.6714316129432181</v>
      </c>
      <c r="NR29" s="32">
        <v>1168.4526708623853</v>
      </c>
      <c r="NS29" s="32">
        <v>15.789900957599802</v>
      </c>
      <c r="NT29" s="32">
        <v>0.106</v>
      </c>
      <c r="NU29" s="32">
        <v>-101.85504672727271</v>
      </c>
      <c r="NV29" s="8">
        <v>-1.3764195503685501</v>
      </c>
      <c r="NW29" s="32">
        <v>1087.5893993454547</v>
      </c>
      <c r="NX29" s="32">
        <v>-5.9905579852579521E-3</v>
      </c>
      <c r="NY29" s="32">
        <v>5.7000000000000002E-2</v>
      </c>
      <c r="NZ29" s="32">
        <v>58905.046547999998</v>
      </c>
      <c r="OA29" s="32">
        <v>126705.23871549999</v>
      </c>
      <c r="OB29" s="32">
        <v>0.16300000000000001</v>
      </c>
      <c r="OC29" s="32">
        <v>0.10299999999999999</v>
      </c>
      <c r="OD29" s="32">
        <v>65.030674846625757</v>
      </c>
      <c r="OE29" s="32">
        <v>10.796910037098565</v>
      </c>
      <c r="OF29" s="32">
        <v>7.5110776924772109</v>
      </c>
      <c r="OG29" s="32">
        <v>20.034885496976244</v>
      </c>
      <c r="OH29" s="32">
        <v>84.165171998435014</v>
      </c>
      <c r="OI29" s="32">
        <v>10.796910037098565</v>
      </c>
      <c r="OJ29" s="32">
        <v>7.5110776924772109</v>
      </c>
      <c r="OK29" s="32">
        <v>20.034885496976244</v>
      </c>
      <c r="OL29" s="32">
        <v>0.22846601883237988</v>
      </c>
      <c r="OM29" s="32">
        <v>8.2994238910914397</v>
      </c>
      <c r="ON29" s="69"/>
      <c r="OO29" s="32">
        <v>5.2193819393553946</v>
      </c>
      <c r="OP29" s="32">
        <v>-4.7873103200217004</v>
      </c>
      <c r="OQ29" s="32">
        <v>11.989870054742969</v>
      </c>
      <c r="OR29" s="32">
        <v>3.7387883797502477</v>
      </c>
      <c r="OS29" s="32">
        <v>-5.0000000000000044</v>
      </c>
      <c r="OT29" s="32">
        <v>3.7387883797502477</v>
      </c>
      <c r="OU29" s="32">
        <v>2.4242424242424265</v>
      </c>
      <c r="OV29" s="32">
        <v>-130.01911734683262</v>
      </c>
      <c r="OW29" s="32">
        <v>5.314177317672077</v>
      </c>
      <c r="OX29" s="32">
        <v>-5.2041628486171208</v>
      </c>
      <c r="OY29" s="32">
        <v>11.574204828765838</v>
      </c>
    </row>
    <row r="30" spans="1:415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9"/>
      <c r="K30" s="32">
        <v>1733.2558299999998</v>
      </c>
      <c r="L30" s="32">
        <v>18.244798210526316</v>
      </c>
      <c r="M30" s="32">
        <v>0.29399999999999998</v>
      </c>
      <c r="N30" s="32">
        <v>824.00193528325144</v>
      </c>
      <c r="O30" s="32">
        <v>8.6737045819289627</v>
      </c>
      <c r="P30" s="32">
        <v>371.16096686699507</v>
      </c>
      <c r="Q30" s="32">
        <v>3.906957545968369</v>
      </c>
      <c r="R30" s="32">
        <v>597.58145107512325</v>
      </c>
      <c r="S30" s="32">
        <v>6.290331063948666</v>
      </c>
      <c r="T30" s="32">
        <v>0.40500000000000003</v>
      </c>
      <c r="U30" s="32">
        <v>7.9000000000000001E-2</v>
      </c>
      <c r="V30" s="32">
        <v>27.544840350215601</v>
      </c>
      <c r="W30" s="32">
        <v>68.842694860786608</v>
      </c>
      <c r="X30" s="32">
        <v>81.830597160327244</v>
      </c>
      <c r="Y30" s="32">
        <v>99.344430602212569</v>
      </c>
      <c r="Z30" s="32">
        <v>0.59241416910296263</v>
      </c>
      <c r="AA30" s="32">
        <v>2.9257501261735639</v>
      </c>
      <c r="AB30" s="69"/>
      <c r="AC30" s="32">
        <v>59.511241999999982</v>
      </c>
      <c r="AD30" s="32">
        <v>0.62643412631578932</v>
      </c>
      <c r="AE30" s="32">
        <v>3.0000000000000001E-3</v>
      </c>
      <c r="AF30" s="32">
        <v>1902.195653</v>
      </c>
      <c r="AG30" s="32">
        <v>20.023112136842105</v>
      </c>
      <c r="AH30" s="32">
        <v>0.11</v>
      </c>
      <c r="AI30" s="32">
        <v>1109.2959969009435</v>
      </c>
      <c r="AJ30" s="32">
        <v>11.676799967378352</v>
      </c>
      <c r="AK30" s="32">
        <v>480.54331779245285</v>
      </c>
      <c r="AL30" s="32">
        <v>5.0583507136047672</v>
      </c>
      <c r="AM30" s="32">
        <v>794.91965734669816</v>
      </c>
      <c r="AN30" s="32">
        <v>8.3675753404915589</v>
      </c>
      <c r="AO30" s="32">
        <v>0.21099999999999999</v>
      </c>
      <c r="AP30" s="32">
        <v>7.9000000000000001E-2</v>
      </c>
      <c r="AQ30" s="32">
        <v>31.446854024811167</v>
      </c>
      <c r="AR30" s="32">
        <v>68.553145975188841</v>
      </c>
      <c r="AS30" s="32">
        <v>95.532631707321727</v>
      </c>
      <c r="AT30" s="32">
        <v>99.886575354028253</v>
      </c>
      <c r="AU30" s="32">
        <v>0.27121899788017106</v>
      </c>
      <c r="AV30" s="32">
        <v>7.0135044663811525</v>
      </c>
      <c r="AW30" s="69"/>
      <c r="AX30" s="32">
        <v>29.51371921195544</v>
      </c>
      <c r="AY30" s="32">
        <v>9.2940215975920459</v>
      </c>
      <c r="AZ30" s="32">
        <v>-91.089108910891099</v>
      </c>
      <c r="BA30" s="32">
        <v>-62.987012987013003</v>
      </c>
      <c r="BB30" s="32">
        <v>13.229027292518058</v>
      </c>
      <c r="BC30" s="69"/>
      <c r="BD30" s="32">
        <v>1571.8541500000001</v>
      </c>
      <c r="BE30" s="32">
        <v>16.545833157894737</v>
      </c>
      <c r="BF30" s="32">
        <v>1.7000000000000001E-2</v>
      </c>
      <c r="BG30" s="32">
        <v>2243.3934339999996</v>
      </c>
      <c r="BH30" s="32">
        <v>23.614667726315787</v>
      </c>
      <c r="BI30" s="32">
        <v>7.9000000000000001E-2</v>
      </c>
      <c r="BJ30" s="32">
        <v>1448.1605688736263</v>
      </c>
      <c r="BK30" s="32">
        <v>15.243795461827645</v>
      </c>
      <c r="BL30" s="32">
        <v>155.59177243956043</v>
      </c>
      <c r="BM30" s="32">
        <v>1.6378081309427415</v>
      </c>
      <c r="BN30" s="32">
        <v>801.87617065659333</v>
      </c>
      <c r="BO30" s="32">
        <v>8.4408017963851929</v>
      </c>
      <c r="BP30" s="32">
        <v>309.25714280740743</v>
      </c>
      <c r="BQ30" s="32">
        <v>3.2553383453411309</v>
      </c>
      <c r="BR30" s="32">
        <v>1395.1227578222222</v>
      </c>
      <c r="BS30" s="32">
        <v>14.685502713918128</v>
      </c>
      <c r="BT30" s="32">
        <v>0.12</v>
      </c>
      <c r="BU30" s="32">
        <v>-285.78748287234038</v>
      </c>
      <c r="BV30" s="8">
        <v>-3.0082892933930565</v>
      </c>
      <c r="BW30" s="32">
        <v>1600.5032176382979</v>
      </c>
      <c r="BX30" s="32" t="s">
        <v>34</v>
      </c>
      <c r="BY30" s="32">
        <v>0.06</v>
      </c>
      <c r="BZ30" s="32">
        <v>74138.048990999989</v>
      </c>
      <c r="CA30" s="32">
        <v>188339.24595750001</v>
      </c>
      <c r="CB30" s="32">
        <v>0.18099999999999999</v>
      </c>
      <c r="CC30" s="32" t="s">
        <v>34</v>
      </c>
      <c r="CD30" s="32">
        <v>66.298342541436455</v>
      </c>
      <c r="CE30" s="32">
        <v>16.245836980855476</v>
      </c>
      <c r="CF30" s="32">
        <v>8.8447490604218579</v>
      </c>
      <c r="CG30" s="32">
        <v>17.57999012664434</v>
      </c>
      <c r="CH30" s="32">
        <v>82.321941771442269</v>
      </c>
      <c r="CI30" s="32">
        <v>16.245836980855476</v>
      </c>
      <c r="CJ30" s="32">
        <v>31.001314412398006</v>
      </c>
      <c r="CK30" s="32">
        <v>17.57999012664434</v>
      </c>
      <c r="CL30" s="32">
        <v>24.53329060932268</v>
      </c>
      <c r="CM30" s="32" t="s">
        <v>34</v>
      </c>
      <c r="CN30" s="32" t="s">
        <v>34</v>
      </c>
      <c r="CO30" s="32" t="s">
        <v>34</v>
      </c>
      <c r="CP30" s="32" t="s">
        <v>34</v>
      </c>
      <c r="CQ30" s="17" t="s">
        <v>34</v>
      </c>
      <c r="CR30" s="69"/>
      <c r="CS30" s="32" t="s">
        <v>34</v>
      </c>
      <c r="CT30" s="32" t="s">
        <v>34</v>
      </c>
      <c r="CU30" s="32" t="s">
        <v>34</v>
      </c>
      <c r="CV30" s="32" t="s">
        <v>34</v>
      </c>
      <c r="CW30" s="32" t="s">
        <v>34</v>
      </c>
      <c r="CX30" s="32" t="s">
        <v>34</v>
      </c>
      <c r="CY30" s="32" t="s">
        <v>34</v>
      </c>
      <c r="CZ30" s="32" t="s">
        <v>34</v>
      </c>
      <c r="DA30" s="32" t="s">
        <v>34</v>
      </c>
      <c r="DB30" s="32" t="s">
        <v>34</v>
      </c>
      <c r="DC30" s="32" t="s">
        <v>34</v>
      </c>
      <c r="DD30" s="32" t="s">
        <v>34</v>
      </c>
      <c r="DE30" s="32" t="s">
        <v>34</v>
      </c>
      <c r="DF30" s="32" t="s">
        <v>34</v>
      </c>
      <c r="DG30" s="32" t="s">
        <v>34</v>
      </c>
      <c r="DH30" s="32" t="s">
        <v>34</v>
      </c>
      <c r="DI30" s="32" t="s">
        <v>34</v>
      </c>
      <c r="DJ30" s="32" t="s">
        <v>34</v>
      </c>
      <c r="DK30" s="8" t="s">
        <v>34</v>
      </c>
      <c r="DL30" s="32" t="s">
        <v>34</v>
      </c>
      <c r="DM30" s="32" t="s">
        <v>34</v>
      </c>
      <c r="DN30" s="32" t="s">
        <v>34</v>
      </c>
      <c r="DO30" s="32" t="s">
        <v>34</v>
      </c>
      <c r="DP30" s="32" t="s">
        <v>34</v>
      </c>
      <c r="DQ30" s="32" t="s">
        <v>34</v>
      </c>
      <c r="DR30" s="32" t="s">
        <v>34</v>
      </c>
      <c r="DS30" s="32" t="s">
        <v>34</v>
      </c>
      <c r="DT30" s="32" t="s">
        <v>34</v>
      </c>
      <c r="DU30" s="32" t="s">
        <v>34</v>
      </c>
      <c r="DV30" s="32" t="s">
        <v>34</v>
      </c>
      <c r="DW30" s="32" t="s">
        <v>34</v>
      </c>
      <c r="DX30" s="32" t="s">
        <v>34</v>
      </c>
      <c r="DY30" s="32" t="s">
        <v>34</v>
      </c>
      <c r="DZ30" s="32" t="s">
        <v>34</v>
      </c>
      <c r="EA30" s="32" t="s">
        <v>34</v>
      </c>
      <c r="EB30" s="32" t="s">
        <v>34</v>
      </c>
      <c r="EC30" s="69"/>
      <c r="ED30" s="32" t="s">
        <v>34</v>
      </c>
      <c r="EE30" s="32" t="s">
        <v>34</v>
      </c>
      <c r="EF30" s="32" t="s">
        <v>34</v>
      </c>
      <c r="EG30" s="32" t="s">
        <v>34</v>
      </c>
      <c r="EH30" s="32" t="s">
        <v>34</v>
      </c>
      <c r="EI30" s="32" t="s">
        <v>34</v>
      </c>
      <c r="EJ30" s="32" t="s">
        <v>34</v>
      </c>
      <c r="EK30" s="32" t="s">
        <v>34</v>
      </c>
      <c r="EL30" s="32" t="s">
        <v>34</v>
      </c>
      <c r="EM30" s="32" t="s">
        <v>34</v>
      </c>
      <c r="EN30" s="32" t="s">
        <v>34</v>
      </c>
      <c r="EO30" s="69"/>
      <c r="EP30" s="32">
        <v>1555.0828450000001</v>
      </c>
      <c r="EQ30" s="32">
        <v>16.369293105263161</v>
      </c>
      <c r="ER30" s="32">
        <v>0.221</v>
      </c>
      <c r="ES30" s="32">
        <v>844.70636237278109</v>
      </c>
      <c r="ET30" s="32">
        <v>8.8916459197134845</v>
      </c>
      <c r="EU30" s="32">
        <v>369.75928254142019</v>
      </c>
      <c r="EV30" s="32">
        <v>3.8922029741202127</v>
      </c>
      <c r="EW30" s="32">
        <v>607.23282245710061</v>
      </c>
      <c r="EX30" s="32">
        <v>6.3919244469168488</v>
      </c>
      <c r="EY30" s="32">
        <v>0.33700000000000002</v>
      </c>
      <c r="EZ30" s="32">
        <v>8.3000000000000004E-2</v>
      </c>
      <c r="FA30" s="32">
        <v>32.749872568423072</v>
      </c>
      <c r="FB30" s="32">
        <v>67.250127431576914</v>
      </c>
      <c r="FC30" s="32">
        <v>86.336327197650249</v>
      </c>
      <c r="FD30" s="32">
        <v>81.15937011552559</v>
      </c>
      <c r="FE30" s="32">
        <v>0.48562883030289106</v>
      </c>
      <c r="FF30" s="32">
        <v>3.2022045396894598</v>
      </c>
      <c r="FG30" s="69"/>
      <c r="FH30" s="32">
        <v>2002.5351609999998</v>
      </c>
      <c r="FI30" s="32">
        <v>21.079317484210524</v>
      </c>
      <c r="FJ30" s="32">
        <v>0.11700000000000001</v>
      </c>
      <c r="FK30" s="32">
        <v>2002.5351609999998</v>
      </c>
      <c r="FL30" s="32">
        <v>21.079317484210524</v>
      </c>
      <c r="FM30" s="32">
        <v>0.11700000000000001</v>
      </c>
      <c r="FN30" s="32">
        <v>1155.3339668786607</v>
      </c>
      <c r="FO30" s="32">
        <v>12.161410177670113</v>
      </c>
      <c r="FP30" s="32">
        <v>382.07552165271971</v>
      </c>
      <c r="FQ30" s="32">
        <v>4.0218475963444185</v>
      </c>
      <c r="FR30" s="32">
        <v>768.70474426569024</v>
      </c>
      <c r="FS30" s="32">
        <v>8.0916288870072659</v>
      </c>
      <c r="FT30" s="32">
        <v>0.23799999999999999</v>
      </c>
      <c r="FU30" s="32">
        <v>8.3000000000000004E-2</v>
      </c>
      <c r="FV30" s="32">
        <v>28.903152733036684</v>
      </c>
      <c r="FW30" s="32">
        <v>71.096847266963309</v>
      </c>
      <c r="FX30" s="32">
        <v>98.076891803303155</v>
      </c>
      <c r="FY30" s="32">
        <v>99.442397322887885</v>
      </c>
      <c r="FZ30" s="32">
        <v>0.36940189670636342</v>
      </c>
      <c r="GA30" s="32">
        <v>5.4210202461191193</v>
      </c>
      <c r="GB30" s="69"/>
      <c r="GC30" s="32">
        <v>31.062134094279859</v>
      </c>
      <c r="GD30" s="32">
        <v>25.154601491523916</v>
      </c>
      <c r="GE30" s="32">
        <v>-61.538461538461533</v>
      </c>
      <c r="GF30" s="32">
        <v>-34.43478260869567</v>
      </c>
      <c r="GG30" s="32">
        <v>-12.478608524325924</v>
      </c>
      <c r="GH30" s="69"/>
      <c r="GI30" s="32">
        <v>1633.9982869999999</v>
      </c>
      <c r="GJ30" s="32">
        <v>17.199981968421053</v>
      </c>
      <c r="GK30" s="32">
        <v>2.1000000000000001E-2</v>
      </c>
      <c r="GL30" s="32">
        <v>2353.8679630000001</v>
      </c>
      <c r="GM30" s="32">
        <v>24.777557505263161</v>
      </c>
      <c r="GN30" s="32">
        <v>8.5000000000000006E-2</v>
      </c>
      <c r="GO30" s="32">
        <v>1459.4250550703521</v>
      </c>
      <c r="GP30" s="32">
        <v>15.362369000740548</v>
      </c>
      <c r="GQ30" s="32">
        <v>74.116551964824112</v>
      </c>
      <c r="GR30" s="32">
        <v>0.78017423120867491</v>
      </c>
      <c r="GS30" s="32">
        <v>766.77080351758809</v>
      </c>
      <c r="GT30" s="32">
        <v>8.0712716159746112</v>
      </c>
      <c r="GU30" s="32">
        <v>266.33199296581193</v>
      </c>
      <c r="GV30" s="32">
        <v>2.8034946627980202</v>
      </c>
      <c r="GW30" s="32">
        <v>1226.2077743931625</v>
      </c>
      <c r="GX30" s="32">
        <v>12.907450256770131</v>
      </c>
      <c r="GY30" s="32">
        <v>0.113</v>
      </c>
      <c r="GZ30" s="32">
        <v>-200.14206507317076</v>
      </c>
      <c r="HA30" s="8">
        <v>-2.106758579717587</v>
      </c>
      <c r="HB30" s="32">
        <v>1792.1862970121949</v>
      </c>
      <c r="HC30" s="32">
        <v>0.75126488177150197</v>
      </c>
      <c r="HD30" s="32">
        <v>8.5000000000000006E-2</v>
      </c>
      <c r="HE30" s="32">
        <v>145761.28806300001</v>
      </c>
      <c r="HF30" s="32">
        <v>142702.25738900003</v>
      </c>
      <c r="HG30" s="32">
        <v>0.19800000000000001</v>
      </c>
      <c r="HH30" s="32" t="s">
        <v>34</v>
      </c>
      <c r="HI30" s="32">
        <v>57.070707070707073</v>
      </c>
      <c r="HJ30" s="32">
        <v>11.341659964419504</v>
      </c>
      <c r="HK30" s="32">
        <v>14.200040255470199</v>
      </c>
      <c r="HL30" s="32">
        <v>15.092513913854519</v>
      </c>
      <c r="HM30" s="32">
        <v>82.702767717074934</v>
      </c>
      <c r="HN30" s="32">
        <v>11.341659964419504</v>
      </c>
      <c r="HO30" s="32">
        <v>25.315376112733141</v>
      </c>
      <c r="HP30" s="32">
        <v>15.092513913854519</v>
      </c>
      <c r="HQ30" s="32">
        <v>21.959048827887948</v>
      </c>
      <c r="HR30" s="32">
        <v>57.070707070707073</v>
      </c>
      <c r="HS30" s="32" t="s">
        <v>34</v>
      </c>
      <c r="HT30" s="32" t="s">
        <v>34</v>
      </c>
      <c r="HU30" s="32" t="s">
        <v>34</v>
      </c>
      <c r="HV30" s="32" t="s">
        <v>34</v>
      </c>
      <c r="HW30" s="17" t="s">
        <v>34</v>
      </c>
      <c r="HX30" s="69"/>
      <c r="HY30" s="32" t="s">
        <v>34</v>
      </c>
      <c r="HZ30" s="32" t="s">
        <v>34</v>
      </c>
      <c r="IA30" s="32" t="s">
        <v>34</v>
      </c>
      <c r="IB30" s="32" t="s">
        <v>34</v>
      </c>
      <c r="IC30" s="32" t="s">
        <v>34</v>
      </c>
      <c r="ID30" s="32" t="s">
        <v>34</v>
      </c>
      <c r="IE30" s="32" t="s">
        <v>34</v>
      </c>
      <c r="IF30" s="32" t="s">
        <v>34</v>
      </c>
      <c r="IG30" s="32" t="s">
        <v>34</v>
      </c>
      <c r="IH30" s="32" t="s">
        <v>34</v>
      </c>
      <c r="II30" s="32" t="s">
        <v>34</v>
      </c>
      <c r="IJ30" s="32" t="s">
        <v>34</v>
      </c>
      <c r="IK30" s="32" t="s">
        <v>34</v>
      </c>
      <c r="IL30" s="32" t="s">
        <v>34</v>
      </c>
      <c r="IM30" s="32" t="s">
        <v>34</v>
      </c>
      <c r="IN30" s="32" t="s">
        <v>34</v>
      </c>
      <c r="IO30" s="32" t="s">
        <v>34</v>
      </c>
      <c r="IP30" s="32" t="s">
        <v>34</v>
      </c>
      <c r="IQ30" s="8" t="s">
        <v>34</v>
      </c>
      <c r="IR30" s="32" t="s">
        <v>34</v>
      </c>
      <c r="IS30" s="32" t="s">
        <v>34</v>
      </c>
      <c r="IT30" s="32" t="s">
        <v>34</v>
      </c>
      <c r="IU30" s="32" t="s">
        <v>34</v>
      </c>
      <c r="IV30" s="32" t="s">
        <v>34</v>
      </c>
      <c r="IW30" s="32" t="s">
        <v>34</v>
      </c>
      <c r="IX30" s="32" t="s">
        <v>34</v>
      </c>
      <c r="IY30" s="32" t="s">
        <v>34</v>
      </c>
      <c r="IZ30" s="32" t="s">
        <v>34</v>
      </c>
      <c r="JA30" s="32" t="s">
        <v>34</v>
      </c>
      <c r="JB30" s="32" t="s">
        <v>34</v>
      </c>
      <c r="JC30" s="32" t="s">
        <v>34</v>
      </c>
      <c r="JD30" s="32" t="s">
        <v>34</v>
      </c>
      <c r="JE30" s="32" t="s">
        <v>34</v>
      </c>
      <c r="JF30" s="32" t="s">
        <v>34</v>
      </c>
      <c r="JG30" s="32" t="s">
        <v>34</v>
      </c>
      <c r="JH30" s="32" t="s">
        <v>34</v>
      </c>
      <c r="JI30" s="69"/>
      <c r="JJ30" s="32" t="s">
        <v>34</v>
      </c>
      <c r="JK30" s="32" t="s">
        <v>34</v>
      </c>
      <c r="JL30" s="32" t="s">
        <v>34</v>
      </c>
      <c r="JM30" s="32" t="s">
        <v>34</v>
      </c>
      <c r="JN30" s="32" t="s">
        <v>34</v>
      </c>
      <c r="JO30" s="32" t="s">
        <v>34</v>
      </c>
      <c r="JP30" s="32" t="s">
        <v>34</v>
      </c>
      <c r="JQ30" s="32" t="s">
        <v>34</v>
      </c>
      <c r="JR30" s="32" t="s">
        <v>34</v>
      </c>
      <c r="JS30" s="32" t="s">
        <v>34</v>
      </c>
      <c r="JT30" s="32" t="s">
        <v>34</v>
      </c>
      <c r="JU30" s="69"/>
      <c r="JV30" s="32">
        <v>1675.457872</v>
      </c>
      <c r="JW30" s="32">
        <v>17.636398652631577</v>
      </c>
      <c r="JX30" s="32">
        <v>0.185</v>
      </c>
      <c r="JY30" s="32">
        <v>951.79895881639345</v>
      </c>
      <c r="JZ30" s="32">
        <v>10.018936408593616</v>
      </c>
      <c r="KA30" s="32">
        <v>420.91298516393442</v>
      </c>
      <c r="KB30" s="32">
        <v>4.4306630017256259</v>
      </c>
      <c r="KC30" s="32">
        <v>686.35597199016388</v>
      </c>
      <c r="KD30" s="32">
        <v>7.2247997051596196</v>
      </c>
      <c r="KE30" s="32">
        <v>0.30399999999999999</v>
      </c>
      <c r="KF30" s="32">
        <v>8.5000000000000006E-2</v>
      </c>
      <c r="KG30" s="32">
        <v>34.266516268267992</v>
      </c>
      <c r="KH30" s="32">
        <v>65.733483731732008</v>
      </c>
      <c r="KI30" s="32">
        <v>92.391295257651151</v>
      </c>
      <c r="KJ30" s="32">
        <v>81.642864906833523</v>
      </c>
      <c r="KK30" s="32">
        <v>0.46147503518034472</v>
      </c>
      <c r="KL30" s="32">
        <v>3.6306576613515618</v>
      </c>
      <c r="KM30" s="69"/>
      <c r="KN30" s="32">
        <v>1295.9384129999999</v>
      </c>
      <c r="KO30" s="32">
        <v>13.641456978947367</v>
      </c>
      <c r="KP30" s="32">
        <v>7.8E-2</v>
      </c>
      <c r="KQ30" s="32">
        <v>1295.9384129999999</v>
      </c>
      <c r="KR30" s="32">
        <v>13.641456978947367</v>
      </c>
      <c r="KS30" s="32">
        <v>7.8E-2</v>
      </c>
      <c r="KT30" s="32">
        <v>761.52802556277072</v>
      </c>
      <c r="KU30" s="32">
        <v>8.0160844796081125</v>
      </c>
      <c r="KV30" s="32">
        <v>311.76746996103907</v>
      </c>
      <c r="KW30" s="32">
        <v>3.2817628416951483</v>
      </c>
      <c r="KX30" s="32">
        <v>536.64774776190484</v>
      </c>
      <c r="KY30" s="32">
        <v>5.6489236606516302</v>
      </c>
      <c r="KZ30" s="32">
        <v>0.23</v>
      </c>
      <c r="LA30" s="32">
        <v>8.5000000000000006E-2</v>
      </c>
      <c r="LB30" s="32">
        <v>34.899465638310339</v>
      </c>
      <c r="LC30" s="32">
        <v>65.100534361689682</v>
      </c>
      <c r="LD30" s="32">
        <v>97.346952424807199</v>
      </c>
      <c r="LE30" s="32">
        <v>97.945506559968578</v>
      </c>
      <c r="LF30" s="32">
        <v>0.23945730913569183</v>
      </c>
      <c r="LG30" s="32">
        <v>5.4119810235804424</v>
      </c>
      <c r="LH30" s="69"/>
      <c r="LI30" s="32">
        <v>-22.210697080985824</v>
      </c>
      <c r="LJ30" s="32">
        <v>-25.544856531985609</v>
      </c>
      <c r="LK30" s="32">
        <v>-81.368821292775664</v>
      </c>
      <c r="LL30" s="32">
        <v>-27.715355805243437</v>
      </c>
      <c r="LM30" s="32">
        <v>1.8302331654808692</v>
      </c>
      <c r="LN30" s="69"/>
      <c r="LO30" s="32">
        <v>1423.8515799999998</v>
      </c>
      <c r="LP30" s="32">
        <v>14.987911368421051</v>
      </c>
      <c r="LQ30" s="32">
        <v>3.1E-2</v>
      </c>
      <c r="LR30" s="32">
        <v>2210.0311320000001</v>
      </c>
      <c r="LS30" s="32">
        <v>23.263485599999999</v>
      </c>
      <c r="LT30" s="32">
        <v>0.112</v>
      </c>
      <c r="LU30" s="32">
        <v>1359.4744596863634</v>
      </c>
      <c r="LV30" s="32">
        <v>14.310257470382773</v>
      </c>
      <c r="LW30" s="32">
        <v>98.505695027272736</v>
      </c>
      <c r="LX30" s="32">
        <v>1.0369020529186603</v>
      </c>
      <c r="LY30" s="32">
        <v>728.99007735681812</v>
      </c>
      <c r="LZ30" s="32">
        <v>7.6735797616507169</v>
      </c>
      <c r="MA30" s="32">
        <v>288.61162279389305</v>
      </c>
      <c r="MB30" s="32">
        <v>3.0380170820409793</v>
      </c>
      <c r="MC30" s="32">
        <v>1238.3360002519087</v>
      </c>
      <c r="MD30" s="32">
        <v>13.035115792125355</v>
      </c>
      <c r="ME30" s="32">
        <v>0.126</v>
      </c>
      <c r="MF30" s="32">
        <v>-181.31314247191014</v>
      </c>
      <c r="MG30" s="8">
        <v>-1.9085593944411594</v>
      </c>
      <c r="MH30" s="32">
        <v>1537.7793831235958</v>
      </c>
      <c r="MI30" s="32">
        <v>1.1803366748669428</v>
      </c>
      <c r="MJ30" s="32">
        <v>9.2999999999999999E-2</v>
      </c>
      <c r="MK30" s="32">
        <v>135758.20614299999</v>
      </c>
      <c r="ML30" s="32">
        <v>161489.20723549998</v>
      </c>
      <c r="MM30" s="32">
        <v>0.219</v>
      </c>
      <c r="MN30" s="32" t="s">
        <v>34</v>
      </c>
      <c r="MO30" s="32">
        <v>57.534246575342465</v>
      </c>
      <c r="MP30" s="32">
        <v>10.520281049714926</v>
      </c>
      <c r="MQ30" s="32">
        <v>5.7155680087832845</v>
      </c>
      <c r="MR30" s="32">
        <v>16.74603034623626</v>
      </c>
      <c r="MS30" s="32">
        <v>78.880401060974563</v>
      </c>
      <c r="MT30" s="32">
        <v>10.520281049714926</v>
      </c>
      <c r="MU30" s="32">
        <v>28.141981861538646</v>
      </c>
      <c r="MV30" s="32">
        <v>16.74603034623626</v>
      </c>
      <c r="MW30" s="32">
        <v>20.166630054933798</v>
      </c>
      <c r="MX30" s="32" t="s">
        <v>34</v>
      </c>
      <c r="MY30" s="32" t="s">
        <v>34</v>
      </c>
      <c r="MZ30" s="32" t="s">
        <v>34</v>
      </c>
      <c r="NA30" s="32" t="s">
        <v>34</v>
      </c>
      <c r="NB30" s="17" t="s">
        <v>34</v>
      </c>
      <c r="NC30" s="69"/>
      <c r="ND30" s="32" t="s">
        <v>34</v>
      </c>
      <c r="NE30" s="32" t="s">
        <v>34</v>
      </c>
      <c r="NF30" s="32" t="s">
        <v>34</v>
      </c>
      <c r="NG30" s="32" t="s">
        <v>34</v>
      </c>
      <c r="NH30" s="32" t="s">
        <v>34</v>
      </c>
      <c r="NI30" s="32" t="s">
        <v>34</v>
      </c>
      <c r="NJ30" s="32" t="s">
        <v>34</v>
      </c>
      <c r="NK30" s="32" t="s">
        <v>34</v>
      </c>
      <c r="NL30" s="32" t="s">
        <v>34</v>
      </c>
      <c r="NM30" s="32" t="s">
        <v>34</v>
      </c>
      <c r="NN30" s="32" t="s">
        <v>34</v>
      </c>
      <c r="NO30" s="32" t="s">
        <v>34</v>
      </c>
      <c r="NP30" s="32" t="s">
        <v>34</v>
      </c>
      <c r="NQ30" s="32" t="s">
        <v>34</v>
      </c>
      <c r="NR30" s="32" t="s">
        <v>34</v>
      </c>
      <c r="NS30" s="32" t="s">
        <v>34</v>
      </c>
      <c r="NT30" s="32" t="s">
        <v>34</v>
      </c>
      <c r="NU30" s="32" t="s">
        <v>34</v>
      </c>
      <c r="NV30" s="8" t="s">
        <v>34</v>
      </c>
      <c r="NW30" s="32" t="s">
        <v>34</v>
      </c>
      <c r="NX30" s="32" t="s">
        <v>34</v>
      </c>
      <c r="NY30" s="32" t="s">
        <v>34</v>
      </c>
      <c r="NZ30" s="32" t="s">
        <v>34</v>
      </c>
      <c r="OA30" s="32" t="s">
        <v>34</v>
      </c>
      <c r="OB30" s="32" t="s">
        <v>34</v>
      </c>
      <c r="OC30" s="32" t="s">
        <v>34</v>
      </c>
      <c r="OD30" s="32" t="s">
        <v>34</v>
      </c>
      <c r="OE30" s="32" t="s">
        <v>34</v>
      </c>
      <c r="OF30" s="32" t="s">
        <v>34</v>
      </c>
      <c r="OG30" s="32" t="s">
        <v>34</v>
      </c>
      <c r="OH30" s="32" t="s">
        <v>34</v>
      </c>
      <c r="OI30" s="32" t="s">
        <v>34</v>
      </c>
      <c r="OJ30" s="32" t="s">
        <v>34</v>
      </c>
      <c r="OK30" s="32" t="s">
        <v>34</v>
      </c>
      <c r="OL30" s="32" t="s">
        <v>34</v>
      </c>
      <c r="OM30" s="32" t="s">
        <v>34</v>
      </c>
      <c r="ON30" s="69"/>
      <c r="OO30" s="32" t="s">
        <v>34</v>
      </c>
      <c r="OP30" s="32" t="s">
        <v>34</v>
      </c>
      <c r="OQ30" s="32" t="s">
        <v>34</v>
      </c>
      <c r="OR30" s="32" t="s">
        <v>34</v>
      </c>
      <c r="OS30" s="32" t="s">
        <v>34</v>
      </c>
      <c r="OT30" s="32" t="s">
        <v>34</v>
      </c>
      <c r="OU30" s="32" t="s">
        <v>34</v>
      </c>
      <c r="OV30" s="32" t="s">
        <v>34</v>
      </c>
      <c r="OW30" s="32" t="s">
        <v>34</v>
      </c>
      <c r="OX30" s="32" t="s">
        <v>34</v>
      </c>
      <c r="OY30" s="32" t="s">
        <v>34</v>
      </c>
    </row>
    <row r="31" spans="1:415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9"/>
      <c r="K31" s="32">
        <v>1603.5935300000001</v>
      </c>
      <c r="L31" s="32">
        <v>16.704099270833336</v>
      </c>
      <c r="M31" s="32">
        <v>0.23799999999999999</v>
      </c>
      <c r="N31" s="32">
        <v>828.21608314759055</v>
      </c>
      <c r="O31" s="32">
        <v>8.6272508661207343</v>
      </c>
      <c r="P31" s="32">
        <v>441.63918627108444</v>
      </c>
      <c r="Q31" s="32">
        <v>4.6004081903237966</v>
      </c>
      <c r="R31" s="32">
        <v>634.92763470933755</v>
      </c>
      <c r="S31" s="32">
        <v>6.6138295282222659</v>
      </c>
      <c r="T31" s="32">
        <v>0.33100000000000002</v>
      </c>
      <c r="U31" s="32">
        <v>5.1999999999999998E-2</v>
      </c>
      <c r="V31" s="32">
        <v>35.092654335003111</v>
      </c>
      <c r="W31" s="32">
        <v>64.907345664996882</v>
      </c>
      <c r="X31" s="32">
        <v>87.150828527949358</v>
      </c>
      <c r="Y31" s="32">
        <v>82.556880079868051</v>
      </c>
      <c r="Z31" s="32">
        <v>0.42508050840348094</v>
      </c>
      <c r="AA31" s="32">
        <v>3.772446626693807</v>
      </c>
      <c r="AB31" s="69"/>
      <c r="AC31" s="32">
        <v>785.18770600000005</v>
      </c>
      <c r="AD31" s="32">
        <v>8.1790386041666672</v>
      </c>
      <c r="AE31" s="32">
        <v>1.2999999999999999E-2</v>
      </c>
      <c r="AF31" s="32">
        <v>1968.5777589999996</v>
      </c>
      <c r="AG31" s="32">
        <v>20.506018322916663</v>
      </c>
      <c r="AH31" s="32">
        <v>0.123</v>
      </c>
      <c r="AI31" s="32">
        <v>879.07047494333358</v>
      </c>
      <c r="AJ31" s="32">
        <v>9.1569841139930581</v>
      </c>
      <c r="AK31" s="32">
        <v>309.4833392066667</v>
      </c>
      <c r="AL31" s="32">
        <v>3.223784783402778</v>
      </c>
      <c r="AM31" s="32">
        <v>594.27690707500017</v>
      </c>
      <c r="AN31" s="32">
        <v>6.1903844486979187</v>
      </c>
      <c r="AO31" s="32">
        <v>0.29899999999999999</v>
      </c>
      <c r="AP31" s="32">
        <v>5.1999999999999998E-2</v>
      </c>
      <c r="AQ31" s="32">
        <v>36.427911103789029</v>
      </c>
      <c r="AR31" s="32">
        <v>63.572088896210978</v>
      </c>
      <c r="AS31" s="32">
        <v>82.105312618929219</v>
      </c>
      <c r="AT31" s="32">
        <v>99.248100917195913</v>
      </c>
      <c r="AU31" s="32">
        <v>0.53507417497925636</v>
      </c>
      <c r="AV31" s="32">
        <v>3.6790745116344232</v>
      </c>
      <c r="AW31" s="69"/>
      <c r="AX31" s="32">
        <v>5.9573352293721618</v>
      </c>
      <c r="AY31" s="32">
        <v>20.434867170223171</v>
      </c>
      <c r="AZ31" s="32">
        <v>-63.711911357340725</v>
      </c>
      <c r="BA31" s="32">
        <v>-10.158730158730167</v>
      </c>
      <c r="BB31" s="32">
        <v>3.733909989648057</v>
      </c>
      <c r="BC31" s="69"/>
      <c r="BD31" s="32">
        <v>1129.7036460000002</v>
      </c>
      <c r="BE31" s="32">
        <v>11.767746312500002</v>
      </c>
      <c r="BF31" s="32">
        <v>1.9E-2</v>
      </c>
      <c r="BG31" s="32">
        <v>2464.0538430000001</v>
      </c>
      <c r="BH31" s="32">
        <v>25.667227531250003</v>
      </c>
      <c r="BI31" s="32">
        <v>8.4000000000000005E-2</v>
      </c>
      <c r="BJ31" s="32">
        <v>1375.4790303017751</v>
      </c>
      <c r="BK31" s="32">
        <v>14.32790656564349</v>
      </c>
      <c r="BL31" s="32">
        <v>98.98084385207099</v>
      </c>
      <c r="BM31" s="32">
        <v>1.0310504567924061</v>
      </c>
      <c r="BN31" s="32">
        <v>737.22993707692308</v>
      </c>
      <c r="BO31" s="32">
        <v>7.6794785112179484</v>
      </c>
      <c r="BP31" s="32">
        <v>345.1068121386138</v>
      </c>
      <c r="BQ31" s="32">
        <v>3.5948626264438936</v>
      </c>
      <c r="BR31" s="32">
        <v>1391.8411477722773</v>
      </c>
      <c r="BS31" s="32">
        <v>14.498345289294555</v>
      </c>
      <c r="BT31" s="32">
        <v>0.10100000000000001</v>
      </c>
      <c r="BU31" s="32">
        <v>-266.58860904411767</v>
      </c>
      <c r="BV31" s="8">
        <v>-2.7769646775428924</v>
      </c>
      <c r="BW31" s="32">
        <v>1351.1764734705882</v>
      </c>
      <c r="BX31" s="32" t="s">
        <v>34</v>
      </c>
      <c r="BY31" s="32">
        <v>6.7000000000000004E-2</v>
      </c>
      <c r="BZ31" s="32">
        <v>90713.543769000011</v>
      </c>
      <c r="CA31" s="32">
        <v>139418.12869399998</v>
      </c>
      <c r="CB31" s="32">
        <v>0.16800000000000001</v>
      </c>
      <c r="CC31" s="32">
        <v>8.6999999999999994E-2</v>
      </c>
      <c r="CD31" s="32">
        <v>60.119047619047613</v>
      </c>
      <c r="CE31" s="32">
        <v>16.187461378952701</v>
      </c>
      <c r="CF31" s="32">
        <v>6.0101914813861832</v>
      </c>
      <c r="CG31" s="32">
        <v>20.95514588240642</v>
      </c>
      <c r="CH31" s="32">
        <v>83.52012398580986</v>
      </c>
      <c r="CI31" s="32">
        <v>16.187461378952701</v>
      </c>
      <c r="CJ31" s="32">
        <v>38.896221839661798</v>
      </c>
      <c r="CK31" s="32">
        <v>20.95514588240642</v>
      </c>
      <c r="CL31" s="32">
        <v>24.821771719506579</v>
      </c>
      <c r="CM31" s="32" t="s">
        <v>34</v>
      </c>
      <c r="CN31" s="32" t="s">
        <v>34</v>
      </c>
      <c r="CO31" s="32" t="s">
        <v>34</v>
      </c>
      <c r="CP31" s="32" t="s">
        <v>34</v>
      </c>
      <c r="CQ31" s="17" t="s">
        <v>34</v>
      </c>
      <c r="CR31" s="69"/>
      <c r="CS31" s="32">
        <v>1085.034208</v>
      </c>
      <c r="CT31" s="32">
        <v>11.302439666666666</v>
      </c>
      <c r="CU31" s="32">
        <v>2.5999999999999999E-2</v>
      </c>
      <c r="CV31" s="32">
        <v>2608.1251910000001</v>
      </c>
      <c r="CW31" s="32">
        <v>27.167970739583335</v>
      </c>
      <c r="CX31" s="32">
        <v>8.5999999999999993E-2</v>
      </c>
      <c r="CY31" s="32">
        <v>1292.4823107842108</v>
      </c>
      <c r="CZ31" s="32">
        <v>13.463357404002195</v>
      </c>
      <c r="DA31" s="32">
        <v>129.85865251578952</v>
      </c>
      <c r="DB31" s="32">
        <v>1.3526942970394742</v>
      </c>
      <c r="DC31" s="32">
        <v>711.17048165000017</v>
      </c>
      <c r="DD31" s="32">
        <v>7.4080258505208354</v>
      </c>
      <c r="DE31" s="32">
        <v>318.86665240157481</v>
      </c>
      <c r="DF31" s="32">
        <v>3.3215276291830711</v>
      </c>
      <c r="DG31" s="32">
        <v>1270.9958178188976</v>
      </c>
      <c r="DH31" s="32">
        <v>13.23953976894685</v>
      </c>
      <c r="DI31" s="32">
        <v>0.12</v>
      </c>
      <c r="DJ31" s="32">
        <v>-251.1574742380952</v>
      </c>
      <c r="DK31" s="8">
        <v>-2.6162236899801585</v>
      </c>
      <c r="DL31" s="32">
        <v>1335.7963521587303</v>
      </c>
      <c r="DM31" s="32">
        <v>1.2997509697420637</v>
      </c>
      <c r="DN31" s="32">
        <v>6.7000000000000004E-2</v>
      </c>
      <c r="DO31" s="32">
        <v>82956.4334715</v>
      </c>
      <c r="DP31" s="32">
        <v>161418.12796350001</v>
      </c>
      <c r="DQ31" s="32">
        <v>0.189</v>
      </c>
      <c r="DR31" s="32">
        <v>8.6999999999999994E-2</v>
      </c>
      <c r="DS31" s="32">
        <v>63.492063492063487</v>
      </c>
      <c r="DT31" s="32">
        <v>8.1728751914368321</v>
      </c>
      <c r="DU31" s="32">
        <v>15.807022871232073</v>
      </c>
      <c r="DV31" s="32">
        <v>20.06841517528046</v>
      </c>
      <c r="DW31" s="32">
        <v>81.344572799219776</v>
      </c>
      <c r="DX31" s="32">
        <v>8.1728751914368321</v>
      </c>
      <c r="DY31" s="32">
        <v>15.807022871232073</v>
      </c>
      <c r="DZ31" s="32">
        <v>20.06841517528046</v>
      </c>
      <c r="EA31" s="32">
        <v>0.27705791208335018</v>
      </c>
      <c r="EB31" s="32">
        <v>9.4136463073300405</v>
      </c>
      <c r="EC31" s="69"/>
      <c r="ED31" s="32">
        <v>-6.2217332942148822</v>
      </c>
      <c r="EE31" s="32">
        <v>-5.9608890551901172</v>
      </c>
      <c r="EF31" s="32">
        <v>-7.9039784384186769</v>
      </c>
      <c r="EG31" s="32">
        <v>5.6808463200630754</v>
      </c>
      <c r="EH31" s="32">
        <v>2.3529411764705745</v>
      </c>
      <c r="EI31" s="32">
        <v>-4.0338352387234835</v>
      </c>
      <c r="EJ31" s="32">
        <v>11.764705882352937</v>
      </c>
      <c r="EK31" s="32">
        <v>126.17741302026076</v>
      </c>
      <c r="EL31" s="32">
        <v>-30.496700889021284</v>
      </c>
      <c r="EM31" s="32">
        <v>-2.3781505883685621</v>
      </c>
      <c r="EN31" s="32">
        <v>-4.323031371552795</v>
      </c>
      <c r="EO31" s="69"/>
      <c r="EP31" s="32">
        <v>1693.8342069999999</v>
      </c>
      <c r="EQ31" s="32">
        <v>17.644106322916667</v>
      </c>
      <c r="ER31" s="32">
        <v>0.22800000000000001</v>
      </c>
      <c r="ES31" s="32">
        <v>839.82946447734162</v>
      </c>
      <c r="ET31" s="32">
        <v>8.7482235883056418</v>
      </c>
      <c r="EU31" s="32">
        <v>455.75705592145016</v>
      </c>
      <c r="EV31" s="32">
        <v>4.7474693325151058</v>
      </c>
      <c r="EW31" s="32">
        <v>647.79326019939595</v>
      </c>
      <c r="EX31" s="32">
        <v>6.7478464604103747</v>
      </c>
      <c r="EY31" s="32">
        <v>0.33</v>
      </c>
      <c r="EZ31" s="32">
        <v>3.4000000000000002E-2</v>
      </c>
      <c r="FA31" s="32">
        <v>36.837042377915786</v>
      </c>
      <c r="FB31" s="32">
        <v>63.162957622084207</v>
      </c>
      <c r="FC31" s="32">
        <v>90.429694480539808</v>
      </c>
      <c r="FD31" s="32">
        <v>73.418447771847667</v>
      </c>
      <c r="FE31" s="32">
        <v>0.41277391558164483</v>
      </c>
      <c r="FF31" s="32">
        <v>4.1035398387836528</v>
      </c>
      <c r="FG31" s="69"/>
      <c r="FH31" s="32">
        <v>684.81209999999987</v>
      </c>
      <c r="FI31" s="32">
        <v>7.1334593749999984</v>
      </c>
      <c r="FJ31" s="32">
        <v>2.7E-2</v>
      </c>
      <c r="FK31" s="32">
        <v>1805.913646</v>
      </c>
      <c r="FL31" s="32">
        <v>18.811600479166668</v>
      </c>
      <c r="FM31" s="32">
        <v>0.14199999999999999</v>
      </c>
      <c r="FN31" s="32">
        <v>1136.6621148237707</v>
      </c>
      <c r="FO31" s="32">
        <v>11.840230362747612</v>
      </c>
      <c r="FP31" s="32">
        <v>392.33798109836067</v>
      </c>
      <c r="FQ31" s="32">
        <v>4.08685396977459</v>
      </c>
      <c r="FR31" s="32">
        <v>764.50004796106566</v>
      </c>
      <c r="FS31" s="32">
        <v>7.9635421662611003</v>
      </c>
      <c r="FT31" s="32">
        <v>0.24299999999999999</v>
      </c>
      <c r="FU31" s="32">
        <v>3.4000000000000002E-2</v>
      </c>
      <c r="FV31" s="32">
        <v>28.745977857375408</v>
      </c>
      <c r="FW31" s="32">
        <v>71.254022142624606</v>
      </c>
      <c r="FX31" s="32">
        <v>82.986092793013086</v>
      </c>
      <c r="FY31" s="32">
        <v>99.24537575842453</v>
      </c>
      <c r="FZ31" s="32">
        <v>0.36618653286106484</v>
      </c>
      <c r="GA31" s="32">
        <v>4.9316768475622323</v>
      </c>
      <c r="GB31" s="69"/>
      <c r="GC31" s="32">
        <v>30.036318237327293</v>
      </c>
      <c r="GD31" s="32">
        <v>6.4050008004962464</v>
      </c>
      <c r="GE31" s="32">
        <v>-46.486486486486498</v>
      </c>
      <c r="GF31" s="32">
        <v>-30.366492146596869</v>
      </c>
      <c r="GG31" s="32">
        <v>-24.674266270483393</v>
      </c>
      <c r="GH31" s="69"/>
      <c r="GI31" s="32">
        <v>1430.650249</v>
      </c>
      <c r="GJ31" s="32">
        <v>14.902606760416667</v>
      </c>
      <c r="GK31" s="32">
        <v>2.3E-2</v>
      </c>
      <c r="GL31" s="32">
        <v>2753.476846</v>
      </c>
      <c r="GM31" s="32">
        <v>28.682050479166666</v>
      </c>
      <c r="GN31" s="32">
        <v>7.0999999999999994E-2</v>
      </c>
      <c r="GO31" s="32">
        <v>1623.5086929554141</v>
      </c>
      <c r="GP31" s="32">
        <v>16.911548884952229</v>
      </c>
      <c r="GQ31" s="32">
        <v>199.10352313375796</v>
      </c>
      <c r="GR31" s="32">
        <v>2.0739950326433121</v>
      </c>
      <c r="GS31" s="32">
        <v>911.30610804458604</v>
      </c>
      <c r="GT31" s="32">
        <v>9.4927719587977712</v>
      </c>
      <c r="GU31" s="32">
        <v>372.50966605785129</v>
      </c>
      <c r="GV31" s="32">
        <v>3.8803090214359508</v>
      </c>
      <c r="GW31" s="32">
        <v>1683.1844617107436</v>
      </c>
      <c r="GX31" s="32">
        <v>17.53317147615358</v>
      </c>
      <c r="GY31" s="32">
        <v>0.104</v>
      </c>
      <c r="GZ31" s="32">
        <v>-383.73379058333336</v>
      </c>
      <c r="HA31" s="8">
        <v>-3.997226985243056</v>
      </c>
      <c r="HB31" s="32">
        <v>1422.9318035277777</v>
      </c>
      <c r="HC31" s="32">
        <v>-1.8991280494791667</v>
      </c>
      <c r="HD31" s="32">
        <v>5.1999999999999998E-2</v>
      </c>
      <c r="HE31" s="32">
        <v>49885.108320000007</v>
      </c>
      <c r="HF31" s="32">
        <v>202981.72505400001</v>
      </c>
      <c r="HG31" s="32">
        <v>0.156</v>
      </c>
      <c r="HH31" s="32">
        <v>0.09</v>
      </c>
      <c r="HI31" s="32">
        <v>66.666666666666657</v>
      </c>
      <c r="HJ31" s="32">
        <v>19.249820902412843</v>
      </c>
      <c r="HK31" s="32">
        <v>9.9879324037061181</v>
      </c>
      <c r="HL31" s="32">
        <v>18.686768098088621</v>
      </c>
      <c r="HM31" s="32">
        <v>81.442532140299505</v>
      </c>
      <c r="HN31" s="32">
        <v>19.249820902412843</v>
      </c>
      <c r="HO31" s="32">
        <v>35.451517170682408</v>
      </c>
      <c r="HP31" s="32">
        <v>18.686768098088621</v>
      </c>
      <c r="HQ31" s="32">
        <v>24.410437949655293</v>
      </c>
      <c r="HR31" s="32">
        <v>66.666666666666657</v>
      </c>
      <c r="HS31" s="32" t="s">
        <v>34</v>
      </c>
      <c r="HT31" s="32" t="s">
        <v>34</v>
      </c>
      <c r="HU31" s="32" t="s">
        <v>34</v>
      </c>
      <c r="HV31" s="32" t="s">
        <v>34</v>
      </c>
      <c r="HW31" s="17" t="s">
        <v>34</v>
      </c>
      <c r="HX31" s="69"/>
      <c r="HY31" s="32">
        <v>948.28458699999999</v>
      </c>
      <c r="HZ31" s="32">
        <v>9.8779644479166659</v>
      </c>
      <c r="IA31" s="32">
        <v>1.6E-2</v>
      </c>
      <c r="IB31" s="32">
        <v>2469.2657350000004</v>
      </c>
      <c r="IC31" s="32">
        <v>25.72151807291667</v>
      </c>
      <c r="ID31" s="32">
        <v>7.4999999999999997E-2</v>
      </c>
      <c r="IE31" s="32">
        <v>1407.6235659056601</v>
      </c>
      <c r="IF31" s="32">
        <v>14.662745478183959</v>
      </c>
      <c r="IG31" s="32">
        <v>156.69864343396227</v>
      </c>
      <c r="IH31" s="32">
        <v>1.6322775357704404</v>
      </c>
      <c r="II31" s="32">
        <v>782.16110466981127</v>
      </c>
      <c r="IJ31" s="32">
        <v>8.1475115069772013</v>
      </c>
      <c r="IK31" s="32">
        <v>378.39176542000001</v>
      </c>
      <c r="IL31" s="32">
        <v>3.9415808897916667</v>
      </c>
      <c r="IM31" s="32">
        <v>1452.6874234699999</v>
      </c>
      <c r="IN31" s="32">
        <v>15.132160661145832</v>
      </c>
      <c r="IO31" s="32">
        <v>9.9000000000000005E-2</v>
      </c>
      <c r="IP31" s="32">
        <v>-219.05241077966102</v>
      </c>
      <c r="IQ31" s="8">
        <v>-2.2817959456214689</v>
      </c>
      <c r="IR31" s="32">
        <v>1331.2441463050845</v>
      </c>
      <c r="IS31" s="32">
        <v>0.38505026165254236</v>
      </c>
      <c r="IT31" s="32">
        <v>5.8000000000000003E-2</v>
      </c>
      <c r="IU31" s="32">
        <v>77362.548339000001</v>
      </c>
      <c r="IV31" s="32">
        <v>145274.61231999999</v>
      </c>
      <c r="IW31" s="32">
        <v>0.158</v>
      </c>
      <c r="IX31" s="32">
        <v>0.09</v>
      </c>
      <c r="IY31" s="32">
        <v>62.658227848101269</v>
      </c>
      <c r="IZ31" s="32">
        <v>9.0740404552641838</v>
      </c>
      <c r="JA31" s="32">
        <v>12.684796713479315</v>
      </c>
      <c r="JB31" s="32">
        <v>21.911754384822846</v>
      </c>
      <c r="JC31" s="32">
        <v>81.512085254229163</v>
      </c>
      <c r="JD31" s="32">
        <v>9.0740404552641838</v>
      </c>
      <c r="JE31" s="32">
        <v>12.684796713479315</v>
      </c>
      <c r="JF31" s="32">
        <v>21.911754384822846</v>
      </c>
      <c r="JG31" s="32">
        <v>0.20013558066580006</v>
      </c>
      <c r="JH31" s="32">
        <v>12.337964727638047</v>
      </c>
      <c r="JI31" s="69"/>
      <c r="JJ31" s="32">
        <v>-14.244520437446775</v>
      </c>
      <c r="JK31" s="32">
        <v>-54.640062904990806</v>
      </c>
      <c r="JL31" s="32">
        <v>1.5666768274957596</v>
      </c>
      <c r="JM31" s="32">
        <v>-10.883596370762797</v>
      </c>
      <c r="JN31" s="32">
        <v>5.4794520547945256</v>
      </c>
      <c r="JO31" s="32">
        <v>-40.553079025154105</v>
      </c>
      <c r="JP31" s="32">
        <v>1.2738853503184724</v>
      </c>
      <c r="JQ31" s="32">
        <v>130.97570507205768</v>
      </c>
      <c r="JR31" s="32">
        <v>9.5886396985595272</v>
      </c>
      <c r="JS31" s="32">
        <v>-41.115408162372766</v>
      </c>
      <c r="JT31" s="32">
        <v>15.88721012244557</v>
      </c>
      <c r="JU31" s="69"/>
      <c r="JV31" s="32">
        <v>1552.449844</v>
      </c>
      <c r="JW31" s="32">
        <v>16.171352541666668</v>
      </c>
      <c r="JX31" s="32">
        <v>0.33600000000000002</v>
      </c>
      <c r="JY31" s="32">
        <v>773.94779467857131</v>
      </c>
      <c r="JZ31" s="32">
        <v>8.0619561945684506</v>
      </c>
      <c r="KA31" s="32">
        <v>305.61815822098208</v>
      </c>
      <c r="KB31" s="32">
        <v>3.1835224814685632</v>
      </c>
      <c r="KC31" s="32">
        <v>539.7829764497767</v>
      </c>
      <c r="KD31" s="32">
        <v>5.6227393380185076</v>
      </c>
      <c r="KE31" s="32">
        <v>0.44700000000000001</v>
      </c>
      <c r="KF31" s="32">
        <v>7.0000000000000007E-2</v>
      </c>
      <c r="KG31" s="32">
        <v>26.512220318062443</v>
      </c>
      <c r="KH31" s="32">
        <v>69.480925917431563</v>
      </c>
      <c r="KI31" s="32">
        <v>88.75192478937322</v>
      </c>
      <c r="KJ31" s="32">
        <v>99.931685780930295</v>
      </c>
      <c r="KK31" s="32">
        <v>0.6992177911452333</v>
      </c>
      <c r="KL31" s="32">
        <v>2.2202665087472626</v>
      </c>
      <c r="KM31" s="69"/>
      <c r="KN31" s="32" t="s">
        <v>34</v>
      </c>
      <c r="KO31" s="32" t="s">
        <v>34</v>
      </c>
      <c r="KP31" s="32" t="s">
        <v>34</v>
      </c>
      <c r="KQ31" s="32" t="s">
        <v>34</v>
      </c>
      <c r="KR31" s="32" t="s">
        <v>34</v>
      </c>
      <c r="KS31" s="32" t="s">
        <v>34</v>
      </c>
      <c r="KT31" s="32" t="s">
        <v>34</v>
      </c>
      <c r="KU31" s="32" t="s">
        <v>34</v>
      </c>
      <c r="KV31" s="32" t="s">
        <v>34</v>
      </c>
      <c r="KW31" s="32" t="s">
        <v>34</v>
      </c>
      <c r="KX31" s="32" t="s">
        <v>34</v>
      </c>
      <c r="KY31" s="32" t="s">
        <v>34</v>
      </c>
      <c r="KZ31" s="32" t="s">
        <v>34</v>
      </c>
      <c r="LA31" s="32" t="s">
        <v>34</v>
      </c>
      <c r="LB31" s="32" t="s">
        <v>34</v>
      </c>
      <c r="LC31" s="32" t="s">
        <v>34</v>
      </c>
      <c r="LD31" s="32" t="s">
        <v>34</v>
      </c>
      <c r="LE31" s="32" t="s">
        <v>34</v>
      </c>
      <c r="LF31" s="32" t="s">
        <v>34</v>
      </c>
      <c r="LG31" s="32" t="s">
        <v>34</v>
      </c>
      <c r="LH31" s="69"/>
      <c r="LI31" s="32" t="s">
        <v>34</v>
      </c>
      <c r="LJ31" s="32" t="s">
        <v>34</v>
      </c>
      <c r="LK31" s="32" t="s">
        <v>34</v>
      </c>
      <c r="LL31" s="32" t="s">
        <v>34</v>
      </c>
      <c r="LM31" s="32" t="s">
        <v>34</v>
      </c>
      <c r="LN31" s="69"/>
      <c r="LO31" s="32">
        <v>1182.6866939999998</v>
      </c>
      <c r="LP31" s="32">
        <v>12.319653062499997</v>
      </c>
      <c r="LQ31" s="32">
        <v>2.3E-2</v>
      </c>
      <c r="LR31" s="32">
        <v>2721.7195830000001</v>
      </c>
      <c r="LS31" s="32">
        <v>28.351245656250001</v>
      </c>
      <c r="LT31" s="32">
        <v>7.3999999999999996E-2</v>
      </c>
      <c r="LU31" s="32">
        <v>1556.9413072222223</v>
      </c>
      <c r="LV31" s="32">
        <v>16.218138616898148</v>
      </c>
      <c r="LW31" s="32">
        <v>203.17300130864194</v>
      </c>
      <c r="LX31" s="32">
        <v>2.1163854302983536</v>
      </c>
      <c r="LY31" s="32">
        <v>880.05715426543213</v>
      </c>
      <c r="LZ31" s="32">
        <v>9.1672620235982514</v>
      </c>
      <c r="MA31" s="32">
        <v>388.48775212389381</v>
      </c>
      <c r="MB31" s="32">
        <v>4.0467474179572269</v>
      </c>
      <c r="MC31" s="32">
        <v>1644.6779719115045</v>
      </c>
      <c r="MD31" s="32">
        <v>17.132062207411504</v>
      </c>
      <c r="ME31" s="32">
        <v>0.108</v>
      </c>
      <c r="MF31" s="32">
        <v>-224.18550567346941</v>
      </c>
      <c r="MG31" s="8">
        <v>-2.3352656840986397</v>
      </c>
      <c r="MH31" s="32">
        <v>1354.6098151836736</v>
      </c>
      <c r="MI31" s="32">
        <v>3.9375889668367338E-2</v>
      </c>
      <c r="MJ31" s="32">
        <v>5.2999999999999999E-2</v>
      </c>
      <c r="MK31" s="32">
        <v>65097.182728500004</v>
      </c>
      <c r="ML31" s="32">
        <v>185087.20956700004</v>
      </c>
      <c r="MM31" s="32">
        <v>0.161</v>
      </c>
      <c r="MN31" s="32">
        <v>8.6999999999999994E-2</v>
      </c>
      <c r="MO31" s="32">
        <v>67.0807453416149</v>
      </c>
      <c r="MP31" s="32">
        <v>10.905952155195612</v>
      </c>
      <c r="MQ31" s="32">
        <v>9.8837568684163468</v>
      </c>
      <c r="MR31" s="32">
        <v>18.898763436177283</v>
      </c>
      <c r="MS31" s="32">
        <v>75.74052280500625</v>
      </c>
      <c r="MT31" s="32">
        <v>10.905952155195612</v>
      </c>
      <c r="MU31" s="32">
        <v>34.3878510849202</v>
      </c>
      <c r="MV31" s="32">
        <v>18.898763436177283</v>
      </c>
      <c r="MW31" s="32">
        <v>23.592112718158774</v>
      </c>
      <c r="MX31" s="32" t="s">
        <v>34</v>
      </c>
      <c r="MY31" s="32" t="s">
        <v>34</v>
      </c>
      <c r="MZ31" s="32" t="s">
        <v>34</v>
      </c>
      <c r="NA31" s="32" t="s">
        <v>34</v>
      </c>
      <c r="NB31" s="17" t="s">
        <v>34</v>
      </c>
      <c r="NC31" s="69"/>
      <c r="ND31" s="32">
        <v>1043.7370209999999</v>
      </c>
      <c r="NE31" s="32">
        <v>10.872260635416666</v>
      </c>
      <c r="NF31" s="32">
        <v>1.7999999999999999E-2</v>
      </c>
      <c r="NG31" s="32">
        <v>2496.4965459999999</v>
      </c>
      <c r="NH31" s="32">
        <v>26.005172354166664</v>
      </c>
      <c r="NI31" s="32">
        <v>7.8E-2</v>
      </c>
      <c r="NJ31" s="32">
        <v>1471.5948402909089</v>
      </c>
      <c r="NK31" s="32">
        <v>15.329112919696968</v>
      </c>
      <c r="NL31" s="32">
        <v>152.7601623757576</v>
      </c>
      <c r="NM31" s="32">
        <v>1.5912516914141417</v>
      </c>
      <c r="NN31" s="32">
        <v>812.17750133333323</v>
      </c>
      <c r="NO31" s="32">
        <v>8.4601823055555538</v>
      </c>
      <c r="NP31" s="32">
        <v>361.52932664761903</v>
      </c>
      <c r="NQ31" s="32">
        <v>3.7659304859126981</v>
      </c>
      <c r="NR31" s="32">
        <v>1493.982556266667</v>
      </c>
      <c r="NS31" s="32">
        <v>15.562318294444447</v>
      </c>
      <c r="NT31" s="32">
        <v>0.104</v>
      </c>
      <c r="NU31" s="32">
        <v>-212.58587510000001</v>
      </c>
      <c r="NV31" s="8">
        <v>-2.2144361989583334</v>
      </c>
      <c r="NW31" s="32">
        <v>1432.4163373333333</v>
      </c>
      <c r="NX31" s="32">
        <v>0.85902448402777776</v>
      </c>
      <c r="NY31" s="32">
        <v>5.8999999999999997E-2</v>
      </c>
      <c r="NZ31" s="32">
        <v>84738.714435999995</v>
      </c>
      <c r="OA31" s="32">
        <v>156877.27543149999</v>
      </c>
      <c r="OB31" s="32">
        <v>0.16400000000000001</v>
      </c>
      <c r="OC31" s="32">
        <v>8.6999999999999994E-2</v>
      </c>
      <c r="OD31" s="32">
        <v>63.414634146341456</v>
      </c>
      <c r="OE31" s="32">
        <v>8.5870346908238169</v>
      </c>
      <c r="OF31" s="32">
        <v>11.949989158642943</v>
      </c>
      <c r="OG31" s="32">
        <v>20.322476890519102</v>
      </c>
      <c r="OH31" s="32">
        <v>82.722064102890428</v>
      </c>
      <c r="OI31" s="32">
        <v>8.5870346908238169</v>
      </c>
      <c r="OJ31" s="32">
        <v>11.949989158642943</v>
      </c>
      <c r="OK31" s="32">
        <v>20.322476890519102</v>
      </c>
      <c r="OL31" s="32">
        <v>0.22769920271929547</v>
      </c>
      <c r="OM31" s="32">
        <v>10.964010923998041</v>
      </c>
      <c r="ON31" s="69"/>
      <c r="OO31" s="32">
        <v>-5.6361530966962583</v>
      </c>
      <c r="OP31" s="32">
        <v>-5.3115341728333254</v>
      </c>
      <c r="OQ31" s="32">
        <v>-7.1887497603204498</v>
      </c>
      <c r="OR31" s="32">
        <v>-8.6321850775146451</v>
      </c>
      <c r="OS31" s="32">
        <v>5.2631578947368469</v>
      </c>
      <c r="OT31" s="32">
        <v>-12.481871448265618</v>
      </c>
      <c r="OU31" s="32">
        <v>1.8461538461538478</v>
      </c>
      <c r="OV31" s="32">
        <v>124.69444121555628</v>
      </c>
      <c r="OW31" s="32">
        <v>14.04078621572484</v>
      </c>
      <c r="OX31" s="32">
        <v>9.1358040267210434</v>
      </c>
      <c r="OY31" s="32">
        <v>7.2599104081507164</v>
      </c>
    </row>
    <row r="32" spans="1:415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9"/>
      <c r="K32" s="32">
        <v>1430.1993779999996</v>
      </c>
      <c r="L32" s="32">
        <v>18.335889461538457</v>
      </c>
      <c r="M32" s="32">
        <v>0.253</v>
      </c>
      <c r="N32" s="32">
        <v>783.68547301408455</v>
      </c>
      <c r="O32" s="32">
        <v>10.047249654026725</v>
      </c>
      <c r="P32" s="32">
        <v>378.25522523661971</v>
      </c>
      <c r="Q32" s="32">
        <v>4.8494259645720472</v>
      </c>
      <c r="R32" s="32">
        <v>580.97034912535219</v>
      </c>
      <c r="S32" s="32">
        <v>7.448337809299387</v>
      </c>
      <c r="T32" s="32">
        <v>0.35399999999999998</v>
      </c>
      <c r="U32" s="32">
        <v>5.2999999999999999E-2</v>
      </c>
      <c r="V32" s="32">
        <v>34.324211690141858</v>
      </c>
      <c r="W32" s="32">
        <v>65.503836334491282</v>
      </c>
      <c r="X32" s="32">
        <v>85.56700677319327</v>
      </c>
      <c r="Y32" s="32">
        <v>76.072564779082313</v>
      </c>
      <c r="Z32" s="32">
        <v>0.56466042335674305</v>
      </c>
      <c r="AA32" s="32">
        <v>2.5328486269639323</v>
      </c>
      <c r="AB32" s="69"/>
      <c r="AC32" s="32">
        <v>737.18198099999995</v>
      </c>
      <c r="AD32" s="32">
        <v>9.4510510384615376</v>
      </c>
      <c r="AE32" s="32">
        <v>1.6E-2</v>
      </c>
      <c r="AF32" s="32">
        <v>1660.129189</v>
      </c>
      <c r="AG32" s="32">
        <v>21.283707551282053</v>
      </c>
      <c r="AH32" s="32">
        <v>9.9000000000000005E-2</v>
      </c>
      <c r="AI32" s="32">
        <v>997.89922489899004</v>
      </c>
      <c r="AJ32" s="32">
        <v>12.793579806397307</v>
      </c>
      <c r="AK32" s="32">
        <v>375.04668894444438</v>
      </c>
      <c r="AL32" s="32">
        <v>4.8082908839031333</v>
      </c>
      <c r="AM32" s="32">
        <v>686.47295692171724</v>
      </c>
      <c r="AN32" s="32">
        <v>8.8009353451502204</v>
      </c>
      <c r="AO32" s="32">
        <v>0.19700000000000001</v>
      </c>
      <c r="AP32" s="32">
        <v>5.2999999999999999E-2</v>
      </c>
      <c r="AQ32" s="32">
        <v>32.505883426246633</v>
      </c>
      <c r="AR32" s="32">
        <v>67.494116573753359</v>
      </c>
      <c r="AS32" s="32">
        <v>72.620786694966782</v>
      </c>
      <c r="AT32" s="32">
        <v>99.931594024735261</v>
      </c>
      <c r="AU32" s="32">
        <v>0.26697026766598259</v>
      </c>
      <c r="AV32" s="32">
        <v>6.2184047816030787</v>
      </c>
      <c r="AW32" s="69"/>
      <c r="AX32" s="32">
        <v>-24.04755183807233</v>
      </c>
      <c r="AY32" s="32">
        <v>-14.880606124235493</v>
      </c>
      <c r="AZ32" s="32">
        <v>87.5</v>
      </c>
      <c r="BA32" s="32">
        <v>56.987295825771319</v>
      </c>
      <c r="BB32" s="32">
        <v>5.4416449975972672</v>
      </c>
      <c r="BC32" s="69"/>
      <c r="BD32" s="32">
        <v>1305.6044639999998</v>
      </c>
      <c r="BE32" s="32">
        <v>16.738518769230765</v>
      </c>
      <c r="BF32" s="32">
        <v>1.2E-2</v>
      </c>
      <c r="BG32" s="32">
        <v>2102.6402929999999</v>
      </c>
      <c r="BH32" s="32">
        <v>26.956926833333334</v>
      </c>
      <c r="BI32" s="32">
        <v>6.5000000000000002E-2</v>
      </c>
      <c r="BJ32" s="32">
        <v>1331.3131057533335</v>
      </c>
      <c r="BK32" s="32">
        <v>17.068116740427353</v>
      </c>
      <c r="BL32" s="32">
        <v>177.41346831999999</v>
      </c>
      <c r="BM32" s="32">
        <v>2.2745316451282052</v>
      </c>
      <c r="BN32" s="32">
        <v>754.36328703666675</v>
      </c>
      <c r="BO32" s="32">
        <v>9.671324192777778</v>
      </c>
      <c r="BP32" s="32">
        <v>289.14648471666663</v>
      </c>
      <c r="BQ32" s="32">
        <v>3.7070062143162388</v>
      </c>
      <c r="BR32" s="32">
        <v>1329.2618612666665</v>
      </c>
      <c r="BS32" s="32">
        <v>17.041818734188034</v>
      </c>
      <c r="BT32" s="32">
        <v>0.1</v>
      </c>
      <c r="BU32" s="32">
        <v>-269.51859726666663</v>
      </c>
      <c r="BV32" s="8">
        <v>-3.4553666316239311</v>
      </c>
      <c r="BW32" s="32">
        <v>1339.5180837</v>
      </c>
      <c r="BX32" s="32" t="s">
        <v>34</v>
      </c>
      <c r="BY32" s="32">
        <v>4.9000000000000002E-2</v>
      </c>
      <c r="BZ32" s="32">
        <v>39099.245980500011</v>
      </c>
      <c r="CA32" s="32">
        <v>158949.53805799998</v>
      </c>
      <c r="CB32" s="32">
        <v>0.14899999999999999</v>
      </c>
      <c r="CC32" s="32" t="s">
        <v>34</v>
      </c>
      <c r="CD32" s="32">
        <v>67.114093959731548</v>
      </c>
      <c r="CE32" s="32">
        <v>16.033834821579148</v>
      </c>
      <c r="CF32" s="32">
        <v>10.554441418941597</v>
      </c>
      <c r="CG32" s="32">
        <v>17.201510479071779</v>
      </c>
      <c r="CH32" s="32">
        <v>79.200673533976214</v>
      </c>
      <c r="CI32" s="32">
        <v>16.033834821579148</v>
      </c>
      <c r="CJ32" s="32">
        <v>32.543437288734204</v>
      </c>
      <c r="CK32" s="32">
        <v>17.201510479071779</v>
      </c>
      <c r="CL32" s="32">
        <v>24.090295216364421</v>
      </c>
      <c r="CM32" s="32" t="s">
        <v>34</v>
      </c>
      <c r="CN32" s="32" t="s">
        <v>34</v>
      </c>
      <c r="CO32" s="32" t="s">
        <v>34</v>
      </c>
      <c r="CP32" s="32" t="s">
        <v>34</v>
      </c>
      <c r="CQ32" s="17" t="s">
        <v>34</v>
      </c>
      <c r="CR32" s="69"/>
      <c r="CS32" s="32" t="s">
        <v>34</v>
      </c>
      <c r="CT32" s="32" t="s">
        <v>34</v>
      </c>
      <c r="CU32" s="32" t="s">
        <v>34</v>
      </c>
      <c r="CV32" s="32" t="s">
        <v>34</v>
      </c>
      <c r="CW32" s="32" t="s">
        <v>34</v>
      </c>
      <c r="CX32" s="32" t="s">
        <v>34</v>
      </c>
      <c r="CY32" s="32" t="s">
        <v>34</v>
      </c>
      <c r="CZ32" s="32" t="s">
        <v>34</v>
      </c>
      <c r="DA32" s="32" t="s">
        <v>34</v>
      </c>
      <c r="DB32" s="32" t="s">
        <v>34</v>
      </c>
      <c r="DC32" s="32" t="s">
        <v>34</v>
      </c>
      <c r="DD32" s="32" t="s">
        <v>34</v>
      </c>
      <c r="DE32" s="32" t="s">
        <v>34</v>
      </c>
      <c r="DF32" s="32" t="s">
        <v>34</v>
      </c>
      <c r="DG32" s="32" t="s">
        <v>34</v>
      </c>
      <c r="DH32" s="32" t="s">
        <v>34</v>
      </c>
      <c r="DI32" s="32" t="s">
        <v>34</v>
      </c>
      <c r="DJ32" s="32" t="s">
        <v>34</v>
      </c>
      <c r="DK32" s="8" t="s">
        <v>34</v>
      </c>
      <c r="DL32" s="32" t="s">
        <v>34</v>
      </c>
      <c r="DM32" s="32" t="s">
        <v>34</v>
      </c>
      <c r="DN32" s="32" t="s">
        <v>34</v>
      </c>
      <c r="DO32" s="32" t="s">
        <v>34</v>
      </c>
      <c r="DP32" s="32" t="s">
        <v>34</v>
      </c>
      <c r="DQ32" s="32" t="s">
        <v>34</v>
      </c>
      <c r="DR32" s="32" t="s">
        <v>34</v>
      </c>
      <c r="DS32" s="32" t="s">
        <v>34</v>
      </c>
      <c r="DT32" s="32" t="s">
        <v>34</v>
      </c>
      <c r="DU32" s="32" t="s">
        <v>34</v>
      </c>
      <c r="DV32" s="32" t="s">
        <v>34</v>
      </c>
      <c r="DW32" s="32" t="s">
        <v>34</v>
      </c>
      <c r="DX32" s="32" t="s">
        <v>34</v>
      </c>
      <c r="DY32" s="32" t="s">
        <v>34</v>
      </c>
      <c r="DZ32" s="32" t="s">
        <v>34</v>
      </c>
      <c r="EA32" s="32" t="s">
        <v>34</v>
      </c>
      <c r="EB32" s="32" t="s">
        <v>34</v>
      </c>
      <c r="EC32" s="69"/>
      <c r="ED32" s="32" t="s">
        <v>34</v>
      </c>
      <c r="EE32" s="32" t="s">
        <v>34</v>
      </c>
      <c r="EF32" s="32" t="s">
        <v>34</v>
      </c>
      <c r="EG32" s="32" t="s">
        <v>34</v>
      </c>
      <c r="EH32" s="32" t="s">
        <v>34</v>
      </c>
      <c r="EI32" s="32" t="s">
        <v>34</v>
      </c>
      <c r="EJ32" s="32" t="s">
        <v>34</v>
      </c>
      <c r="EK32" s="32" t="s">
        <v>34</v>
      </c>
      <c r="EL32" s="32" t="s">
        <v>34</v>
      </c>
      <c r="EM32" s="32" t="s">
        <v>34</v>
      </c>
      <c r="EN32" s="32" t="s">
        <v>34</v>
      </c>
      <c r="EO32" s="69"/>
      <c r="EP32" s="32">
        <v>1365.0436140000002</v>
      </c>
      <c r="EQ32" s="32">
        <v>17.500559153846154</v>
      </c>
      <c r="ER32" s="32">
        <v>0.25900000000000001</v>
      </c>
      <c r="ES32" s="32">
        <v>721.01871523626392</v>
      </c>
      <c r="ET32" s="32">
        <v>9.2438296825162034</v>
      </c>
      <c r="EU32" s="32">
        <v>335.27955294780224</v>
      </c>
      <c r="EV32" s="32">
        <v>4.2984558070231058</v>
      </c>
      <c r="EW32" s="32">
        <v>528.14913409203314</v>
      </c>
      <c r="EX32" s="32">
        <v>6.7711427447696559</v>
      </c>
      <c r="EY32" s="32">
        <v>0.36299999999999999</v>
      </c>
      <c r="EZ32" s="32">
        <v>6.2E-2</v>
      </c>
      <c r="FA32" s="32">
        <v>34.901614673475557</v>
      </c>
      <c r="FB32" s="32">
        <v>65.098385326524451</v>
      </c>
      <c r="FC32" s="32">
        <v>57.834505299848402</v>
      </c>
      <c r="FD32" s="32">
        <v>78.331294568214147</v>
      </c>
      <c r="FE32" s="32">
        <v>0.53242370643138348</v>
      </c>
      <c r="FF32" s="32">
        <v>2.5638295168134499</v>
      </c>
      <c r="FG32" s="69"/>
      <c r="FH32" s="32">
        <v>680.53809300000012</v>
      </c>
      <c r="FI32" s="32">
        <v>8.7248473461538474</v>
      </c>
      <c r="FJ32" s="32">
        <v>1.6E-2</v>
      </c>
      <c r="FK32" s="32">
        <v>1726.2407869999997</v>
      </c>
      <c r="FL32" s="32">
        <v>22.131292141025636</v>
      </c>
      <c r="FM32" s="32">
        <v>9.9000000000000005E-2</v>
      </c>
      <c r="FN32" s="32">
        <v>1025.496026</v>
      </c>
      <c r="FO32" s="32">
        <v>13.147384948717949</v>
      </c>
      <c r="FP32" s="32">
        <v>332.19955784834121</v>
      </c>
      <c r="FQ32" s="32">
        <v>4.258968690363349</v>
      </c>
      <c r="FR32" s="32">
        <v>678.84779192417068</v>
      </c>
      <c r="FS32" s="32">
        <v>8.7031768195406496</v>
      </c>
      <c r="FT32" s="32">
        <v>0.21</v>
      </c>
      <c r="FU32" s="32">
        <v>6.2E-2</v>
      </c>
      <c r="FV32" s="32">
        <v>30.176556048521235</v>
      </c>
      <c r="FW32" s="32">
        <v>69.823443951478751</v>
      </c>
      <c r="FX32" s="32">
        <v>76.243090368165468</v>
      </c>
      <c r="FY32" s="32">
        <v>99.795291783564679</v>
      </c>
      <c r="FZ32" s="32">
        <v>0.31818339157685688</v>
      </c>
      <c r="GA32" s="32">
        <v>5.4253013598386639</v>
      </c>
      <c r="GB32" s="69"/>
      <c r="GC32" s="32">
        <v>-34.866846935195404</v>
      </c>
      <c r="GD32" s="32">
        <v>-23.368744259386542</v>
      </c>
      <c r="GE32" s="32">
        <v>89.385474860335208</v>
      </c>
      <c r="GF32" s="32">
        <v>53.403141361256544</v>
      </c>
      <c r="GG32" s="32">
        <v>14.521178369130846</v>
      </c>
      <c r="GH32" s="69"/>
      <c r="GI32" s="32">
        <v>1626.4602159999999</v>
      </c>
      <c r="GJ32" s="32">
        <v>20.85205405128205</v>
      </c>
      <c r="GK32" s="32">
        <v>1.4E-2</v>
      </c>
      <c r="GL32" s="32">
        <v>2236.1438779999999</v>
      </c>
      <c r="GM32" s="32">
        <v>28.668511256410255</v>
      </c>
      <c r="GN32" s="32">
        <v>6.7000000000000004E-2</v>
      </c>
      <c r="GO32" s="32">
        <v>1416.8835080891718</v>
      </c>
      <c r="GP32" s="32">
        <v>18.165173180630408</v>
      </c>
      <c r="GQ32" s="32">
        <v>144.71557864331209</v>
      </c>
      <c r="GR32" s="32">
        <v>1.8553279313245139</v>
      </c>
      <c r="GS32" s="32">
        <v>780.79954336624189</v>
      </c>
      <c r="GT32" s="32">
        <v>10.010250555977461</v>
      </c>
      <c r="GU32" s="32">
        <v>271.45272159482755</v>
      </c>
      <c r="GV32" s="32">
        <v>3.4801630973695841</v>
      </c>
      <c r="GW32" s="32">
        <v>1319.5112804224141</v>
      </c>
      <c r="GX32" s="32">
        <v>16.916811287466846</v>
      </c>
      <c r="GY32" s="32">
        <v>0.10199999999999999</v>
      </c>
      <c r="GZ32" s="32">
        <v>-213.85780141463417</v>
      </c>
      <c r="HA32" s="8">
        <v>-2.741766684803002</v>
      </c>
      <c r="HB32" s="32">
        <v>1692.3756644146338</v>
      </c>
      <c r="HC32" s="32">
        <v>1.3406974471544713</v>
      </c>
      <c r="HD32" s="32">
        <v>5.3999999999999999E-2</v>
      </c>
      <c r="HE32" s="32">
        <v>68250.836729999995</v>
      </c>
      <c r="HF32" s="32">
        <v>152304.37789850001</v>
      </c>
      <c r="HG32" s="32">
        <v>0.156</v>
      </c>
      <c r="HH32" s="32" t="s">
        <v>34</v>
      </c>
      <c r="HI32" s="32">
        <v>65.384615384615387</v>
      </c>
      <c r="HJ32" s="32">
        <v>12.055784301279244</v>
      </c>
      <c r="HK32" s="32">
        <v>8.1580367403851817</v>
      </c>
      <c r="HL32" s="32">
        <v>15.302576936145885</v>
      </c>
      <c r="HM32" s="32">
        <v>79.873831305524746</v>
      </c>
      <c r="HN32" s="32">
        <v>12.055784301279244</v>
      </c>
      <c r="HO32" s="32">
        <v>27.274696131259908</v>
      </c>
      <c r="HP32" s="32">
        <v>15.302576936145885</v>
      </c>
      <c r="HQ32" s="32">
        <v>22.620603972019936</v>
      </c>
      <c r="HR32" s="32">
        <v>65.384615384615387</v>
      </c>
      <c r="HS32" s="32" t="s">
        <v>34</v>
      </c>
      <c r="HT32" s="32" t="s">
        <v>34</v>
      </c>
      <c r="HU32" s="32" t="s">
        <v>34</v>
      </c>
      <c r="HV32" s="32" t="s">
        <v>34</v>
      </c>
      <c r="HW32" s="17" t="s">
        <v>34</v>
      </c>
      <c r="HX32" s="69"/>
      <c r="HY32" s="32" t="s">
        <v>34</v>
      </c>
      <c r="HZ32" s="32" t="s">
        <v>34</v>
      </c>
      <c r="IA32" s="32" t="s">
        <v>34</v>
      </c>
      <c r="IB32" s="32" t="s">
        <v>34</v>
      </c>
      <c r="IC32" s="32" t="s">
        <v>34</v>
      </c>
      <c r="ID32" s="32" t="s">
        <v>34</v>
      </c>
      <c r="IE32" s="32" t="s">
        <v>34</v>
      </c>
      <c r="IF32" s="32" t="s">
        <v>34</v>
      </c>
      <c r="IG32" s="32" t="s">
        <v>34</v>
      </c>
      <c r="IH32" s="32" t="s">
        <v>34</v>
      </c>
      <c r="II32" s="32" t="s">
        <v>34</v>
      </c>
      <c r="IJ32" s="32" t="s">
        <v>34</v>
      </c>
      <c r="IK32" s="32" t="s">
        <v>34</v>
      </c>
      <c r="IL32" s="32" t="s">
        <v>34</v>
      </c>
      <c r="IM32" s="32" t="s">
        <v>34</v>
      </c>
      <c r="IN32" s="32" t="s">
        <v>34</v>
      </c>
      <c r="IO32" s="32" t="s">
        <v>34</v>
      </c>
      <c r="IP32" s="32" t="s">
        <v>34</v>
      </c>
      <c r="IQ32" s="8" t="s">
        <v>34</v>
      </c>
      <c r="IR32" s="32" t="s">
        <v>34</v>
      </c>
      <c r="IS32" s="32" t="s">
        <v>34</v>
      </c>
      <c r="IT32" s="32" t="s">
        <v>34</v>
      </c>
      <c r="IU32" s="32" t="s">
        <v>34</v>
      </c>
      <c r="IV32" s="32" t="s">
        <v>34</v>
      </c>
      <c r="IW32" s="32" t="s">
        <v>34</v>
      </c>
      <c r="IX32" s="32" t="s">
        <v>34</v>
      </c>
      <c r="IY32" s="32" t="s">
        <v>34</v>
      </c>
      <c r="IZ32" s="32" t="s">
        <v>34</v>
      </c>
      <c r="JA32" s="32" t="s">
        <v>34</v>
      </c>
      <c r="JB32" s="32" t="s">
        <v>34</v>
      </c>
      <c r="JC32" s="32" t="s">
        <v>34</v>
      </c>
      <c r="JD32" s="32" t="s">
        <v>34</v>
      </c>
      <c r="JE32" s="32" t="s">
        <v>34</v>
      </c>
      <c r="JF32" s="32" t="s">
        <v>34</v>
      </c>
      <c r="JG32" s="32" t="s">
        <v>34</v>
      </c>
      <c r="JH32" s="32" t="s">
        <v>34</v>
      </c>
      <c r="JI32" s="69"/>
      <c r="JJ32" s="32" t="s">
        <v>34</v>
      </c>
      <c r="JK32" s="32" t="s">
        <v>34</v>
      </c>
      <c r="JL32" s="32" t="s">
        <v>34</v>
      </c>
      <c r="JM32" s="32" t="s">
        <v>34</v>
      </c>
      <c r="JN32" s="32" t="s">
        <v>34</v>
      </c>
      <c r="JO32" s="32" t="s">
        <v>34</v>
      </c>
      <c r="JP32" s="32" t="s">
        <v>34</v>
      </c>
      <c r="JQ32" s="32" t="s">
        <v>34</v>
      </c>
      <c r="JR32" s="32" t="s">
        <v>34</v>
      </c>
      <c r="JS32" s="32" t="s">
        <v>34</v>
      </c>
      <c r="JT32" s="32" t="s">
        <v>34</v>
      </c>
      <c r="JU32" s="69"/>
      <c r="JV32" s="32">
        <v>1319.5445520000005</v>
      </c>
      <c r="JW32" s="32">
        <v>16.917237846153853</v>
      </c>
      <c r="JX32" s="32">
        <v>0.29399999999999998</v>
      </c>
      <c r="JY32" s="32">
        <v>680.14377223631845</v>
      </c>
      <c r="JZ32" s="32">
        <v>8.7197919517476716</v>
      </c>
      <c r="KA32" s="32">
        <v>277.42107474875621</v>
      </c>
      <c r="KB32" s="32">
        <v>3.5566804454968746</v>
      </c>
      <c r="KC32" s="32">
        <v>478.7824234925373</v>
      </c>
      <c r="KD32" s="32">
        <v>6.1382361986222733</v>
      </c>
      <c r="KE32" s="32">
        <v>0.40100000000000002</v>
      </c>
      <c r="KF32" s="32">
        <v>6.8000000000000005E-2</v>
      </c>
      <c r="KG32" s="32">
        <v>30.628388161464397</v>
      </c>
      <c r="KH32" s="32">
        <v>69.371611838535614</v>
      </c>
      <c r="KI32" s="32">
        <v>74.598077734004818</v>
      </c>
      <c r="KJ32" s="32">
        <v>80.886022556412058</v>
      </c>
      <c r="KK32" s="32">
        <v>0.59955414195597234</v>
      </c>
      <c r="KL32" s="32">
        <v>2.2008763840662451</v>
      </c>
      <c r="KM32" s="69"/>
      <c r="KN32" s="32">
        <v>542.18345900000008</v>
      </c>
      <c r="KO32" s="32">
        <v>6.9510699871794879</v>
      </c>
      <c r="KP32" s="32">
        <v>2.1000000000000001E-2</v>
      </c>
      <c r="KQ32" s="32">
        <v>1770.8922169999998</v>
      </c>
      <c r="KR32" s="32">
        <v>22.703746371794871</v>
      </c>
      <c r="KS32" s="32">
        <v>0.10199999999999999</v>
      </c>
      <c r="KT32" s="32">
        <v>1023.8078462844039</v>
      </c>
      <c r="KU32" s="32">
        <v>13.125741619030819</v>
      </c>
      <c r="KV32" s="32">
        <v>329.07126995871567</v>
      </c>
      <c r="KW32" s="32">
        <v>4.2188624353681501</v>
      </c>
      <c r="KX32" s="32">
        <v>676.4395581215598</v>
      </c>
      <c r="KY32" s="32">
        <v>8.6723020271994837</v>
      </c>
      <c r="KZ32" s="32">
        <v>0.217</v>
      </c>
      <c r="LA32" s="32">
        <v>6.8000000000000005E-2</v>
      </c>
      <c r="LB32" s="32">
        <v>27.989504176847397</v>
      </c>
      <c r="LC32" s="32">
        <v>72.010495823152596</v>
      </c>
      <c r="LD32" s="32">
        <v>77.844827594448816</v>
      </c>
      <c r="LE32" s="32">
        <v>97.856869155730323</v>
      </c>
      <c r="LF32" s="32">
        <v>0.33796188423314849</v>
      </c>
      <c r="LG32" s="32">
        <v>5.2399169835919164</v>
      </c>
      <c r="LH32" s="69"/>
      <c r="LI32" s="32">
        <v>-40.337304218348152</v>
      </c>
      <c r="LJ32" s="32">
        <v>-29.20931238764971</v>
      </c>
      <c r="LK32" s="32">
        <v>96.969696969696983</v>
      </c>
      <c r="LL32" s="32">
        <v>59.546925566343049</v>
      </c>
      <c r="LM32" s="32">
        <v>9.0036808876946388</v>
      </c>
      <c r="LN32" s="69"/>
      <c r="LO32" s="32">
        <v>1210.6930989999998</v>
      </c>
      <c r="LP32" s="32">
        <v>15.521706397435896</v>
      </c>
      <c r="LQ32" s="32">
        <v>1.4999999999999999E-2</v>
      </c>
      <c r="LR32" s="32">
        <v>2220.4545750000002</v>
      </c>
      <c r="LS32" s="32">
        <v>28.467366346153849</v>
      </c>
      <c r="LT32" s="32">
        <v>7.1999999999999995E-2</v>
      </c>
      <c r="LU32" s="32">
        <v>1318.9437779999998</v>
      </c>
      <c r="LV32" s="32">
        <v>16.909535615384613</v>
      </c>
      <c r="LW32" s="32">
        <v>143.95435117159761</v>
      </c>
      <c r="LX32" s="32">
        <v>1.8455686047640718</v>
      </c>
      <c r="LY32" s="32">
        <v>731.44906458579874</v>
      </c>
      <c r="LZ32" s="32">
        <v>9.3775521100743422</v>
      </c>
      <c r="MA32" s="32">
        <v>257.03849871999995</v>
      </c>
      <c r="MB32" s="32">
        <v>3.2953653682051276</v>
      </c>
      <c r="MC32" s="32">
        <v>1266.5877673359998</v>
      </c>
      <c r="MD32" s="32">
        <v>16.238304709435894</v>
      </c>
      <c r="ME32" s="32">
        <v>0.111</v>
      </c>
      <c r="MF32" s="32">
        <v>-177.30743163636365</v>
      </c>
      <c r="MG32" s="8">
        <v>-2.2731722004662007</v>
      </c>
      <c r="MH32" s="32">
        <v>1467.6824446590908</v>
      </c>
      <c r="MI32" s="32">
        <v>1.4529589175407926</v>
      </c>
      <c r="MJ32" s="32">
        <v>5.7000000000000002E-2</v>
      </c>
      <c r="MK32" s="32">
        <v>63505.770273999995</v>
      </c>
      <c r="ML32" s="32">
        <v>157744.20111800003</v>
      </c>
      <c r="MM32" s="32">
        <v>0.16800000000000001</v>
      </c>
      <c r="MN32" s="32" t="s">
        <v>34</v>
      </c>
      <c r="MO32" s="32">
        <v>66.071428571428569</v>
      </c>
      <c r="MP32" s="32">
        <v>10.685894756068562</v>
      </c>
      <c r="MQ32" s="32">
        <v>8.6757843825331484</v>
      </c>
      <c r="MR32" s="32">
        <v>15.491095439320945</v>
      </c>
      <c r="MS32" s="32">
        <v>79.489586368747155</v>
      </c>
      <c r="MT32" s="32">
        <v>10.685894756068562</v>
      </c>
      <c r="MU32" s="32">
        <v>29.389470634899155</v>
      </c>
      <c r="MV32" s="32">
        <v>15.491095439320945</v>
      </c>
      <c r="MW32" s="32">
        <v>21.353939567518292</v>
      </c>
      <c r="MX32" s="32" t="s">
        <v>34</v>
      </c>
      <c r="MY32" s="32" t="s">
        <v>34</v>
      </c>
      <c r="MZ32" s="32" t="s">
        <v>34</v>
      </c>
      <c r="NA32" s="32" t="s">
        <v>34</v>
      </c>
      <c r="NB32" s="17" t="s">
        <v>34</v>
      </c>
      <c r="NC32" s="69"/>
      <c r="ND32" s="32" t="s">
        <v>34</v>
      </c>
      <c r="NE32" s="32" t="s">
        <v>34</v>
      </c>
      <c r="NF32" s="32" t="s">
        <v>34</v>
      </c>
      <c r="NG32" s="32" t="s">
        <v>34</v>
      </c>
      <c r="NH32" s="32" t="s">
        <v>34</v>
      </c>
      <c r="NI32" s="32" t="s">
        <v>34</v>
      </c>
      <c r="NJ32" s="32" t="s">
        <v>34</v>
      </c>
      <c r="NK32" s="32" t="s">
        <v>34</v>
      </c>
      <c r="NL32" s="32" t="s">
        <v>34</v>
      </c>
      <c r="NM32" s="32" t="s">
        <v>34</v>
      </c>
      <c r="NN32" s="32" t="s">
        <v>34</v>
      </c>
      <c r="NO32" s="32" t="s">
        <v>34</v>
      </c>
      <c r="NP32" s="32" t="s">
        <v>34</v>
      </c>
      <c r="NQ32" s="32" t="s">
        <v>34</v>
      </c>
      <c r="NR32" s="32" t="s">
        <v>34</v>
      </c>
      <c r="NS32" s="32" t="s">
        <v>34</v>
      </c>
      <c r="NT32" s="32" t="s">
        <v>34</v>
      </c>
      <c r="NU32" s="32" t="s">
        <v>34</v>
      </c>
      <c r="NV32" s="8" t="s">
        <v>34</v>
      </c>
      <c r="NW32" s="32" t="s">
        <v>34</v>
      </c>
      <c r="NX32" s="32" t="s">
        <v>34</v>
      </c>
      <c r="NY32" s="32" t="s">
        <v>34</v>
      </c>
      <c r="NZ32" s="32" t="s">
        <v>34</v>
      </c>
      <c r="OA32" s="32" t="s">
        <v>34</v>
      </c>
      <c r="OB32" s="32" t="s">
        <v>34</v>
      </c>
      <c r="OC32" s="32" t="s">
        <v>34</v>
      </c>
      <c r="OD32" s="32" t="s">
        <v>34</v>
      </c>
      <c r="OE32" s="32" t="s">
        <v>34</v>
      </c>
      <c r="OF32" s="32" t="s">
        <v>34</v>
      </c>
      <c r="OG32" s="32" t="s">
        <v>34</v>
      </c>
      <c r="OH32" s="32" t="s">
        <v>34</v>
      </c>
      <c r="OI32" s="32" t="s">
        <v>34</v>
      </c>
      <c r="OJ32" s="32" t="s">
        <v>34</v>
      </c>
      <c r="OK32" s="32" t="s">
        <v>34</v>
      </c>
      <c r="OL32" s="32" t="s">
        <v>34</v>
      </c>
      <c r="OM32" s="32" t="s">
        <v>34</v>
      </c>
      <c r="ON32" s="69"/>
      <c r="OO32" s="32" t="s">
        <v>34</v>
      </c>
      <c r="OP32" s="32" t="s">
        <v>34</v>
      </c>
      <c r="OQ32" s="32" t="s">
        <v>34</v>
      </c>
      <c r="OR32" s="32" t="s">
        <v>34</v>
      </c>
      <c r="OS32" s="32" t="s">
        <v>34</v>
      </c>
      <c r="OT32" s="32" t="s">
        <v>34</v>
      </c>
      <c r="OU32" s="32" t="s">
        <v>34</v>
      </c>
      <c r="OV32" s="32" t="s">
        <v>34</v>
      </c>
      <c r="OW32" s="32" t="s">
        <v>34</v>
      </c>
      <c r="OX32" s="32" t="s">
        <v>34</v>
      </c>
      <c r="OY32" s="32" t="s">
        <v>34</v>
      </c>
    </row>
    <row r="33" spans="1:415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9"/>
      <c r="K33" s="32">
        <v>1414.8527079999999</v>
      </c>
      <c r="L33" s="32">
        <v>18.864702773333331</v>
      </c>
      <c r="M33" s="32">
        <v>0.19</v>
      </c>
      <c r="N33" s="32">
        <v>788.1061814391893</v>
      </c>
      <c r="O33" s="32">
        <v>10.50808241918919</v>
      </c>
      <c r="P33" s="32">
        <v>444.87534315202709</v>
      </c>
      <c r="Q33" s="32">
        <v>5.9316712420270274</v>
      </c>
      <c r="R33" s="32">
        <v>616.49076229560819</v>
      </c>
      <c r="S33" s="32">
        <v>8.2198768306081096</v>
      </c>
      <c r="T33" s="32">
        <v>0.29499999999999998</v>
      </c>
      <c r="U33" s="32">
        <v>6.0999999999999999E-2</v>
      </c>
      <c r="V33" s="32">
        <v>36.839482635407435</v>
      </c>
      <c r="W33" s="32">
        <v>63.160517364592565</v>
      </c>
      <c r="X33" s="32">
        <v>80.183728533476284</v>
      </c>
      <c r="Y33" s="32">
        <v>83.644973598159453</v>
      </c>
      <c r="Z33" s="32">
        <v>0.42158912152228728</v>
      </c>
      <c r="AA33" s="32">
        <v>3.3559990895666503</v>
      </c>
      <c r="AB33" s="69"/>
      <c r="AC33" s="32">
        <v>471.36508900000001</v>
      </c>
      <c r="AD33" s="32">
        <v>6.2848678533333331</v>
      </c>
      <c r="AE33" s="32">
        <v>1.7999999999999999E-2</v>
      </c>
      <c r="AF33" s="32">
        <v>1686.7469599999999</v>
      </c>
      <c r="AG33" s="32">
        <v>22.489959466666665</v>
      </c>
      <c r="AH33" s="32">
        <v>0.111</v>
      </c>
      <c r="AI33" s="32">
        <v>968.84482381249973</v>
      </c>
      <c r="AJ33" s="32">
        <v>12.917930984166663</v>
      </c>
      <c r="AK33" s="32">
        <v>406.74034447596148</v>
      </c>
      <c r="AL33" s="32">
        <v>5.4232045930128194</v>
      </c>
      <c r="AM33" s="32">
        <v>687.79258414423066</v>
      </c>
      <c r="AN33" s="32">
        <v>9.170567788589743</v>
      </c>
      <c r="AO33" s="32">
        <v>0.20699999999999999</v>
      </c>
      <c r="AP33" s="32">
        <v>6.0999999999999999E-2</v>
      </c>
      <c r="AQ33" s="32">
        <v>32.758708836572751</v>
      </c>
      <c r="AR33" s="32">
        <v>67.241291163427249</v>
      </c>
      <c r="AS33" s="32">
        <v>97.427681857586407</v>
      </c>
      <c r="AT33" s="32">
        <v>97.433150764227136</v>
      </c>
      <c r="AU33" s="32">
        <v>0.28134866042412404</v>
      </c>
      <c r="AV33" s="32">
        <v>5.9952194457129568</v>
      </c>
      <c r="AW33" s="69"/>
      <c r="AX33" s="32">
        <v>20.574124358968</v>
      </c>
      <c r="AY33" s="32">
        <v>17.532517481556557</v>
      </c>
      <c r="AZ33" s="32">
        <v>-52.49169435215947</v>
      </c>
      <c r="BA33" s="32">
        <v>-35.059760956175296</v>
      </c>
      <c r="BB33" s="32">
        <v>-11.726666203611281</v>
      </c>
      <c r="BC33" s="69"/>
      <c r="BD33" s="32">
        <v>2245.5574780000006</v>
      </c>
      <c r="BE33" s="32">
        <v>29.940766373333343</v>
      </c>
      <c r="BF33" s="32">
        <v>3.7999999999999999E-2</v>
      </c>
      <c r="BG33" s="32">
        <v>2250.047853</v>
      </c>
      <c r="BH33" s="32">
        <v>30.000638040000002</v>
      </c>
      <c r="BI33" s="32">
        <v>6.6000000000000003E-2</v>
      </c>
      <c r="BJ33" s="32">
        <v>1409.1911212152777</v>
      </c>
      <c r="BK33" s="32">
        <v>18.789214949537037</v>
      </c>
      <c r="BL33" s="32">
        <v>192.97884845138887</v>
      </c>
      <c r="BM33" s="32">
        <v>2.5730513126851848</v>
      </c>
      <c r="BN33" s="32">
        <v>801.08498483333324</v>
      </c>
      <c r="BO33" s="32">
        <v>10.68113313111111</v>
      </c>
      <c r="BP33" s="32">
        <v>314.98021069999993</v>
      </c>
      <c r="BQ33" s="32">
        <v>4.1997361426666657</v>
      </c>
      <c r="BR33" s="32">
        <v>1396.5857035454542</v>
      </c>
      <c r="BS33" s="32">
        <v>18.621142713939388</v>
      </c>
      <c r="BT33" s="32">
        <v>9.6000000000000002E-2</v>
      </c>
      <c r="BU33" s="32">
        <v>-201.73144117647055</v>
      </c>
      <c r="BV33" s="8">
        <v>-2.6897525490196075</v>
      </c>
      <c r="BW33" s="32">
        <v>1449.9733548529409</v>
      </c>
      <c r="BX33" s="32" t="s">
        <v>34</v>
      </c>
      <c r="BY33" s="32">
        <v>4.7E-2</v>
      </c>
      <c r="BZ33" s="32">
        <v>48146.532700999996</v>
      </c>
      <c r="CA33" s="32">
        <v>152892.62845899997</v>
      </c>
      <c r="CB33" s="32">
        <v>0.14299999999999999</v>
      </c>
      <c r="CC33" s="32" t="s">
        <v>34</v>
      </c>
      <c r="CD33" s="32">
        <v>67.132867132867133</v>
      </c>
      <c r="CE33" s="32">
        <v>12.137865685164044</v>
      </c>
      <c r="CF33" s="32">
        <v>11.611235853570017</v>
      </c>
      <c r="CG33" s="32">
        <v>18.951867238269632</v>
      </c>
      <c r="CH33" s="32">
        <v>84.788828425976661</v>
      </c>
      <c r="CI33" s="32">
        <v>12.137865685164044</v>
      </c>
      <c r="CJ33" s="32">
        <v>34.383384627879302</v>
      </c>
      <c r="CK33" s="32">
        <v>18.951867238269632</v>
      </c>
      <c r="CL33" s="32">
        <v>25.654226058827611</v>
      </c>
      <c r="CM33" s="32" t="s">
        <v>34</v>
      </c>
      <c r="CN33" s="32" t="s">
        <v>34</v>
      </c>
      <c r="CO33" s="32" t="s">
        <v>34</v>
      </c>
      <c r="CP33" s="32" t="s">
        <v>34</v>
      </c>
      <c r="CQ33" s="17" t="s">
        <v>34</v>
      </c>
      <c r="CR33" s="69"/>
      <c r="CS33" s="32" t="s">
        <v>34</v>
      </c>
      <c r="CT33" s="32" t="s">
        <v>34</v>
      </c>
      <c r="CU33" s="32" t="s">
        <v>34</v>
      </c>
      <c r="CV33" s="32" t="s">
        <v>34</v>
      </c>
      <c r="CW33" s="32" t="s">
        <v>34</v>
      </c>
      <c r="CX33" s="32" t="s">
        <v>34</v>
      </c>
      <c r="CY33" s="32" t="s">
        <v>34</v>
      </c>
      <c r="CZ33" s="32" t="s">
        <v>34</v>
      </c>
      <c r="DA33" s="32" t="s">
        <v>34</v>
      </c>
      <c r="DB33" s="32" t="s">
        <v>34</v>
      </c>
      <c r="DC33" s="32" t="s">
        <v>34</v>
      </c>
      <c r="DD33" s="32" t="s">
        <v>34</v>
      </c>
      <c r="DE33" s="32" t="s">
        <v>34</v>
      </c>
      <c r="DF33" s="32" t="s">
        <v>34</v>
      </c>
      <c r="DG33" s="32" t="s">
        <v>34</v>
      </c>
      <c r="DH33" s="32" t="s">
        <v>34</v>
      </c>
      <c r="DI33" s="32" t="s">
        <v>34</v>
      </c>
      <c r="DJ33" s="32" t="s">
        <v>34</v>
      </c>
      <c r="DK33" s="8" t="s">
        <v>34</v>
      </c>
      <c r="DL33" s="32" t="s">
        <v>34</v>
      </c>
      <c r="DM33" s="32" t="s">
        <v>34</v>
      </c>
      <c r="DN33" s="32" t="s">
        <v>34</v>
      </c>
      <c r="DO33" s="32" t="s">
        <v>34</v>
      </c>
      <c r="DP33" s="32" t="s">
        <v>34</v>
      </c>
      <c r="DQ33" s="32" t="s">
        <v>34</v>
      </c>
      <c r="DR33" s="32" t="s">
        <v>34</v>
      </c>
      <c r="DS33" s="32" t="s">
        <v>34</v>
      </c>
      <c r="DT33" s="32" t="s">
        <v>34</v>
      </c>
      <c r="DU33" s="32" t="s">
        <v>34</v>
      </c>
      <c r="DV33" s="32" t="s">
        <v>34</v>
      </c>
      <c r="DW33" s="32" t="s">
        <v>34</v>
      </c>
      <c r="DX33" s="32" t="s">
        <v>34</v>
      </c>
      <c r="DY33" s="32" t="s">
        <v>34</v>
      </c>
      <c r="DZ33" s="32" t="s">
        <v>34</v>
      </c>
      <c r="EA33" s="32" t="s">
        <v>34</v>
      </c>
      <c r="EB33" s="32" t="s">
        <v>34</v>
      </c>
      <c r="EC33" s="69"/>
      <c r="ED33" s="32" t="s">
        <v>34</v>
      </c>
      <c r="EE33" s="32" t="s">
        <v>34</v>
      </c>
      <c r="EF33" s="32" t="s">
        <v>34</v>
      </c>
      <c r="EG33" s="32" t="s">
        <v>34</v>
      </c>
      <c r="EH33" s="32" t="s">
        <v>34</v>
      </c>
      <c r="EI33" s="32" t="s">
        <v>34</v>
      </c>
      <c r="EJ33" s="32" t="s">
        <v>34</v>
      </c>
      <c r="EK33" s="32" t="s">
        <v>34</v>
      </c>
      <c r="EL33" s="32" t="s">
        <v>34</v>
      </c>
      <c r="EM33" s="32" t="s">
        <v>34</v>
      </c>
      <c r="EN33" s="32" t="s">
        <v>34</v>
      </c>
      <c r="EO33" s="69"/>
      <c r="EP33" s="32">
        <v>1371.7160430000004</v>
      </c>
      <c r="EQ33" s="32">
        <v>18.289547240000005</v>
      </c>
      <c r="ER33" s="32">
        <v>0.218</v>
      </c>
      <c r="ES33" s="32">
        <v>757.19867486585372</v>
      </c>
      <c r="ET33" s="32">
        <v>10.095982331544716</v>
      </c>
      <c r="EU33" s="32">
        <v>408.69801089634154</v>
      </c>
      <c r="EV33" s="32">
        <v>5.4493068119512209</v>
      </c>
      <c r="EW33" s="32">
        <v>582.94834288109769</v>
      </c>
      <c r="EX33" s="32">
        <v>7.7726445717479695</v>
      </c>
      <c r="EY33" s="32">
        <v>0.32700000000000001</v>
      </c>
      <c r="EZ33" s="32">
        <v>6.0999999999999999E-2</v>
      </c>
      <c r="FA33" s="32">
        <v>34.031887649150057</v>
      </c>
      <c r="FB33" s="32">
        <v>65.770095926160053</v>
      </c>
      <c r="FC33" s="32">
        <v>95.707070989958751</v>
      </c>
      <c r="FD33" s="32">
        <v>99.186746698847358</v>
      </c>
      <c r="FE33" s="32">
        <v>0.50366522576710882</v>
      </c>
      <c r="FF33" s="32">
        <v>2.7234678370157561</v>
      </c>
      <c r="FG33" s="69"/>
      <c r="FH33" s="32">
        <v>355.30013399999996</v>
      </c>
      <c r="FI33" s="32">
        <v>4.7373351199999991</v>
      </c>
      <c r="FJ33" s="32">
        <v>1.9E-2</v>
      </c>
      <c r="FK33" s="32">
        <v>1642.6184269999999</v>
      </c>
      <c r="FL33" s="32">
        <v>21.901579026666663</v>
      </c>
      <c r="FM33" s="32">
        <v>0.115</v>
      </c>
      <c r="FN33" s="32">
        <v>922.76414556422003</v>
      </c>
      <c r="FO33" s="32">
        <v>12.303521940856267</v>
      </c>
      <c r="FP33" s="32">
        <v>390.42501054587149</v>
      </c>
      <c r="FQ33" s="32">
        <v>5.2056668072782868</v>
      </c>
      <c r="FR33" s="32">
        <v>656.59457805504576</v>
      </c>
      <c r="FS33" s="32">
        <v>8.7545943740672776</v>
      </c>
      <c r="FT33" s="32">
        <v>0.217</v>
      </c>
      <c r="FU33" s="32">
        <v>6.0999999999999999E-2</v>
      </c>
      <c r="FV33" s="32">
        <v>32.582303484579498</v>
      </c>
      <c r="FW33" s="32">
        <v>67.417696515420502</v>
      </c>
      <c r="FX33" s="32">
        <v>96.526041377139151</v>
      </c>
      <c r="FY33" s="32">
        <v>99.956630064960663</v>
      </c>
      <c r="FZ33" s="32">
        <v>0.29365332666693433</v>
      </c>
      <c r="GA33" s="32">
        <v>5.5937334190771164</v>
      </c>
      <c r="GB33" s="69"/>
      <c r="GC33" s="32">
        <v>19.710611292692921</v>
      </c>
      <c r="GD33" s="32">
        <v>17.974275031264163</v>
      </c>
      <c r="GE33" s="32">
        <v>-61.861861861861854</v>
      </c>
      <c r="GF33" s="32">
        <v>-40.441176470588239</v>
      </c>
      <c r="GG33" s="32">
        <v>-4.3521782367978785</v>
      </c>
      <c r="GH33" s="69"/>
      <c r="GI33" s="32">
        <v>2085.6525940000001</v>
      </c>
      <c r="GJ33" s="32">
        <v>27.808701253333336</v>
      </c>
      <c r="GK33" s="32">
        <v>1.6E-2</v>
      </c>
      <c r="GL33" s="32">
        <v>2139.1585870000004</v>
      </c>
      <c r="GM33" s="32">
        <v>28.522114493333337</v>
      </c>
      <c r="GN33" s="32">
        <v>7.2999999999999995E-2</v>
      </c>
      <c r="GO33" s="32">
        <v>1422.8615865249999</v>
      </c>
      <c r="GP33" s="32">
        <v>18.971487820333333</v>
      </c>
      <c r="GQ33" s="32">
        <v>127.65769925624997</v>
      </c>
      <c r="GR33" s="32">
        <v>1.7021026567499995</v>
      </c>
      <c r="GS33" s="32">
        <v>775.25964289062495</v>
      </c>
      <c r="GT33" s="32">
        <v>10.336795238541667</v>
      </c>
      <c r="GU33" s="32">
        <v>277.74290363716813</v>
      </c>
      <c r="GV33" s="32">
        <v>3.7032387151622417</v>
      </c>
      <c r="GW33" s="32">
        <v>1310.2144201858409</v>
      </c>
      <c r="GX33" s="32">
        <v>17.46952560247788</v>
      </c>
      <c r="GY33" s="32">
        <v>0.10100000000000001</v>
      </c>
      <c r="GZ33" s="32">
        <v>-233.18545170212769</v>
      </c>
      <c r="HA33" s="8">
        <v>-3.1091393560283693</v>
      </c>
      <c r="HB33" s="32">
        <v>1693.6941353829789</v>
      </c>
      <c r="HC33" s="32">
        <v>-2.8478629293617024</v>
      </c>
      <c r="HD33" s="32">
        <v>5.8000000000000003E-2</v>
      </c>
      <c r="HE33" s="32">
        <v>78573.2863985</v>
      </c>
      <c r="HF33" s="32">
        <v>147022.55703599998</v>
      </c>
      <c r="HG33" s="32">
        <v>0.159</v>
      </c>
      <c r="HH33" s="32" t="s">
        <v>34</v>
      </c>
      <c r="HI33" s="32">
        <v>63.522012578616362</v>
      </c>
      <c r="HJ33" s="32">
        <v>14.50552943994615</v>
      </c>
      <c r="HK33" s="32">
        <v>7.9410722293376654</v>
      </c>
      <c r="HL33" s="32">
        <v>17.277269383818545</v>
      </c>
      <c r="HM33" s="32">
        <v>88.51049875389181</v>
      </c>
      <c r="HN33" s="32">
        <v>14.50552943994615</v>
      </c>
      <c r="HO33" s="32">
        <v>31.627036025160869</v>
      </c>
      <c r="HP33" s="32">
        <v>17.277269383818545</v>
      </c>
      <c r="HQ33" s="32">
        <v>24.179701089648518</v>
      </c>
      <c r="HR33" s="32">
        <v>63.522012578616362</v>
      </c>
      <c r="HS33" s="32" t="s">
        <v>34</v>
      </c>
      <c r="HT33" s="32" t="s">
        <v>34</v>
      </c>
      <c r="HU33" s="32" t="s">
        <v>34</v>
      </c>
      <c r="HV33" s="32" t="s">
        <v>34</v>
      </c>
      <c r="HW33" s="17" t="s">
        <v>34</v>
      </c>
      <c r="HX33" s="69"/>
      <c r="HY33" s="32" t="s">
        <v>34</v>
      </c>
      <c r="HZ33" s="32" t="s">
        <v>34</v>
      </c>
      <c r="IA33" s="32" t="s">
        <v>34</v>
      </c>
      <c r="IB33" s="32" t="s">
        <v>34</v>
      </c>
      <c r="IC33" s="32" t="s">
        <v>34</v>
      </c>
      <c r="ID33" s="32" t="s">
        <v>34</v>
      </c>
      <c r="IE33" s="32" t="s">
        <v>34</v>
      </c>
      <c r="IF33" s="32" t="s">
        <v>34</v>
      </c>
      <c r="IG33" s="32" t="s">
        <v>34</v>
      </c>
      <c r="IH33" s="32" t="s">
        <v>34</v>
      </c>
      <c r="II33" s="32" t="s">
        <v>34</v>
      </c>
      <c r="IJ33" s="32" t="s">
        <v>34</v>
      </c>
      <c r="IK33" s="32" t="s">
        <v>34</v>
      </c>
      <c r="IL33" s="32" t="s">
        <v>34</v>
      </c>
      <c r="IM33" s="32" t="s">
        <v>34</v>
      </c>
      <c r="IN33" s="32" t="s">
        <v>34</v>
      </c>
      <c r="IO33" s="32" t="s">
        <v>34</v>
      </c>
      <c r="IP33" s="32" t="s">
        <v>34</v>
      </c>
      <c r="IQ33" s="8" t="s">
        <v>34</v>
      </c>
      <c r="IR33" s="32" t="s">
        <v>34</v>
      </c>
      <c r="IS33" s="32" t="s">
        <v>34</v>
      </c>
      <c r="IT33" s="32" t="s">
        <v>34</v>
      </c>
      <c r="IU33" s="32" t="s">
        <v>34</v>
      </c>
      <c r="IV33" s="32" t="s">
        <v>34</v>
      </c>
      <c r="IW33" s="32" t="s">
        <v>34</v>
      </c>
      <c r="IX33" s="32" t="s">
        <v>34</v>
      </c>
      <c r="IY33" s="32" t="s">
        <v>34</v>
      </c>
      <c r="IZ33" s="32" t="s">
        <v>34</v>
      </c>
      <c r="JA33" s="32" t="s">
        <v>34</v>
      </c>
      <c r="JB33" s="32" t="s">
        <v>34</v>
      </c>
      <c r="JC33" s="32" t="s">
        <v>34</v>
      </c>
      <c r="JD33" s="32" t="s">
        <v>34</v>
      </c>
      <c r="JE33" s="32" t="s">
        <v>34</v>
      </c>
      <c r="JF33" s="32" t="s">
        <v>34</v>
      </c>
      <c r="JG33" s="32" t="s">
        <v>34</v>
      </c>
      <c r="JH33" s="32" t="s">
        <v>34</v>
      </c>
      <c r="JI33" s="69"/>
      <c r="JJ33" s="32" t="s">
        <v>34</v>
      </c>
      <c r="JK33" s="32" t="s">
        <v>34</v>
      </c>
      <c r="JL33" s="32" t="s">
        <v>34</v>
      </c>
      <c r="JM33" s="32" t="s">
        <v>34</v>
      </c>
      <c r="JN33" s="32" t="s">
        <v>34</v>
      </c>
      <c r="JO33" s="32" t="s">
        <v>34</v>
      </c>
      <c r="JP33" s="32" t="s">
        <v>34</v>
      </c>
      <c r="JQ33" s="32" t="s">
        <v>34</v>
      </c>
      <c r="JR33" s="32" t="s">
        <v>34</v>
      </c>
      <c r="JS33" s="32" t="s">
        <v>34</v>
      </c>
      <c r="JT33" s="32" t="s">
        <v>34</v>
      </c>
      <c r="JU33" s="69"/>
      <c r="JV33" s="32">
        <v>1431.5158739999999</v>
      </c>
      <c r="JW33" s="32">
        <v>19.08687832</v>
      </c>
      <c r="JX33" s="32">
        <v>0.17799999999999999</v>
      </c>
      <c r="JY33" s="32">
        <v>843.25104361855676</v>
      </c>
      <c r="JZ33" s="32">
        <v>11.243347248247424</v>
      </c>
      <c r="KA33" s="32">
        <v>453.4200668556702</v>
      </c>
      <c r="KB33" s="32">
        <v>6.0456008914089363</v>
      </c>
      <c r="KC33" s="32">
        <v>648.33555523711345</v>
      </c>
      <c r="KD33" s="32">
        <v>8.6444740698281795</v>
      </c>
      <c r="KE33" s="32">
        <v>0.28999999999999998</v>
      </c>
      <c r="KF33" s="32">
        <v>5.8000000000000003E-2</v>
      </c>
      <c r="KG33" s="32">
        <v>36.211463309663252</v>
      </c>
      <c r="KH33" s="32">
        <v>63.788536690336755</v>
      </c>
      <c r="KI33" s="32">
        <v>92.926811059287076</v>
      </c>
      <c r="KJ33" s="32">
        <v>76.763485012132193</v>
      </c>
      <c r="KK33" s="32">
        <v>0.45571724518770979</v>
      </c>
      <c r="KL33" s="32">
        <v>3.1412370041216215</v>
      </c>
      <c r="KM33" s="69"/>
      <c r="KN33" s="32">
        <v>468.245272</v>
      </c>
      <c r="KO33" s="32">
        <v>6.2432702933333335</v>
      </c>
      <c r="KP33" s="32">
        <v>1.6E-2</v>
      </c>
      <c r="KQ33" s="32">
        <v>1583.8104960000001</v>
      </c>
      <c r="KR33" s="32">
        <v>21.117473280000002</v>
      </c>
      <c r="KS33" s="32">
        <v>0.11700000000000001</v>
      </c>
      <c r="KT33" s="32">
        <v>917.43216813716833</v>
      </c>
      <c r="KU33" s="32">
        <v>12.232428908495578</v>
      </c>
      <c r="KV33" s="32">
        <v>359.27298416814165</v>
      </c>
      <c r="KW33" s="32">
        <v>4.7903064555752222</v>
      </c>
      <c r="KX33" s="32">
        <v>638.35257615265505</v>
      </c>
      <c r="KY33" s="32">
        <v>8.5113676820354005</v>
      </c>
      <c r="KZ33" s="32">
        <v>0.22500000000000001</v>
      </c>
      <c r="LA33" s="32">
        <v>5.8000000000000003E-2</v>
      </c>
      <c r="LB33" s="32">
        <v>32.888554117866853</v>
      </c>
      <c r="LC33" s="32">
        <v>67.111445882133154</v>
      </c>
      <c r="LD33" s="32">
        <v>85.877004819372686</v>
      </c>
      <c r="LE33" s="32">
        <v>98.22727987721585</v>
      </c>
      <c r="LF33" s="32">
        <v>0.31850082503979066</v>
      </c>
      <c r="LG33" s="32">
        <v>4.9727045316197618</v>
      </c>
      <c r="LH33" s="69"/>
      <c r="LI33" s="32">
        <v>8.4264022083381303</v>
      </c>
      <c r="LJ33" s="32">
        <v>10.101369026928925</v>
      </c>
      <c r="LK33" s="32">
        <v>-41.35593220338982</v>
      </c>
      <c r="LL33" s="32">
        <v>-25.242718446601931</v>
      </c>
      <c r="LM33" s="32">
        <v>-9.6176797503165901</v>
      </c>
      <c r="LN33" s="69"/>
      <c r="LO33" s="32">
        <v>1447.5838430000003</v>
      </c>
      <c r="LP33" s="32">
        <v>19.301117906666672</v>
      </c>
      <c r="LQ33" s="32">
        <v>1.4999999999999999E-2</v>
      </c>
      <c r="LR33" s="32">
        <v>2108.8619399999998</v>
      </c>
      <c r="LS33" s="32">
        <v>28.118159199999997</v>
      </c>
      <c r="LT33" s="32">
        <v>7.2999999999999995E-2</v>
      </c>
      <c r="LU33" s="32">
        <v>1329.899592138554</v>
      </c>
      <c r="LV33" s="32">
        <v>17.731994561847387</v>
      </c>
      <c r="LW33" s="32">
        <v>144.43871445180721</v>
      </c>
      <c r="LX33" s="32">
        <v>1.9258495260240962</v>
      </c>
      <c r="LY33" s="32">
        <v>737.16915329518065</v>
      </c>
      <c r="LZ33" s="32">
        <v>9.8289220439357425</v>
      </c>
      <c r="MA33" s="32">
        <v>281.703421112</v>
      </c>
      <c r="MB33" s="32">
        <v>3.7560456148266668</v>
      </c>
      <c r="MC33" s="32">
        <v>1269.6677809040002</v>
      </c>
      <c r="MD33" s="32">
        <v>16.92890374538667</v>
      </c>
      <c r="ME33" s="32">
        <v>0.111</v>
      </c>
      <c r="MF33" s="32">
        <v>-274.05124487804875</v>
      </c>
      <c r="MG33" s="8">
        <v>-3.6540165983739832</v>
      </c>
      <c r="MH33" s="32">
        <v>1513.5331629756097</v>
      </c>
      <c r="MI33" s="32">
        <v>-1.1828823056910567</v>
      </c>
      <c r="MJ33" s="32">
        <v>5.3999999999999999E-2</v>
      </c>
      <c r="MK33" s="32">
        <v>60994.216055499994</v>
      </c>
      <c r="ML33" s="32">
        <v>158028.02469550003</v>
      </c>
      <c r="MM33" s="32">
        <v>0.16500000000000001</v>
      </c>
      <c r="MN33" s="32">
        <v>0.124</v>
      </c>
      <c r="MO33" s="32">
        <v>67.272727272727266</v>
      </c>
      <c r="MP33" s="32">
        <v>16.785193918231382</v>
      </c>
      <c r="MQ33" s="32">
        <v>8.8466368122228118</v>
      </c>
      <c r="MR33" s="32">
        <v>17.253877291811786</v>
      </c>
      <c r="MS33" s="32">
        <v>81.454191371237528</v>
      </c>
      <c r="MT33" s="32">
        <v>16.785193918231382</v>
      </c>
      <c r="MU33" s="32">
        <v>31.231843547267363</v>
      </c>
      <c r="MV33" s="32">
        <v>17.253877291811786</v>
      </c>
      <c r="MW33" s="32">
        <v>23.681534343017596</v>
      </c>
      <c r="MX33" s="32" t="s">
        <v>34</v>
      </c>
      <c r="MY33" s="32" t="s">
        <v>34</v>
      </c>
      <c r="MZ33" s="32" t="s">
        <v>34</v>
      </c>
      <c r="NA33" s="32" t="s">
        <v>34</v>
      </c>
      <c r="NB33" s="17" t="s">
        <v>34</v>
      </c>
      <c r="NC33" s="69"/>
      <c r="ND33" s="32">
        <v>1012.6108409999999</v>
      </c>
      <c r="NE33" s="32">
        <v>13.501477879999999</v>
      </c>
      <c r="NF33" s="32">
        <v>3.9E-2</v>
      </c>
      <c r="NG33" s="32">
        <v>1012.6108409999999</v>
      </c>
      <c r="NH33" s="32">
        <v>13.501477879999999</v>
      </c>
      <c r="NI33" s="32">
        <v>3.9E-2</v>
      </c>
      <c r="NJ33" s="32">
        <v>431.94412176984133</v>
      </c>
      <c r="NK33" s="32">
        <v>5.7592549569312181</v>
      </c>
      <c r="NL33" s="32">
        <v>70.15885789682541</v>
      </c>
      <c r="NM33" s="32">
        <v>0.93545143862433877</v>
      </c>
      <c r="NN33" s="32">
        <v>251.05148983333336</v>
      </c>
      <c r="NO33" s="32">
        <v>3.3473531977777782</v>
      </c>
      <c r="NP33" s="32">
        <v>129.43274059047621</v>
      </c>
      <c r="NQ33" s="32">
        <v>1.7257698745396828</v>
      </c>
      <c r="NR33" s="32">
        <v>438.30741660000001</v>
      </c>
      <c r="NS33" s="32">
        <v>5.8440988880000004</v>
      </c>
      <c r="NT33" s="32">
        <v>0.104</v>
      </c>
      <c r="NU33" s="32">
        <v>-226.21055557142856</v>
      </c>
      <c r="NV33" s="8">
        <v>-3.0161407409523808</v>
      </c>
      <c r="NW33" s="32">
        <v>400.12764761904754</v>
      </c>
      <c r="NX33" s="32">
        <v>1.5426321326984125</v>
      </c>
      <c r="NY33" s="32">
        <v>0.02</v>
      </c>
      <c r="NZ33" s="32">
        <v>8066.8749045000022</v>
      </c>
      <c r="OA33" s="32">
        <v>46028.43725499999</v>
      </c>
      <c r="OB33" s="32">
        <v>0.125</v>
      </c>
      <c r="OC33" s="32">
        <v>0.124</v>
      </c>
      <c r="OD33" s="32">
        <v>83.2</v>
      </c>
      <c r="OE33" s="32">
        <v>12.148583282899311</v>
      </c>
      <c r="OF33" s="32">
        <v>39.170218219227479</v>
      </c>
      <c r="OG33" s="32">
        <v>22.412343583324674</v>
      </c>
      <c r="OH33" s="32">
        <v>74.794677310691526</v>
      </c>
      <c r="OI33" s="32">
        <v>12.148583282899311</v>
      </c>
      <c r="OJ33" s="32">
        <v>39.170218219227479</v>
      </c>
      <c r="OK33" s="32">
        <v>22.412343583324674</v>
      </c>
      <c r="OL33" s="32">
        <v>5.7816734320234882E-2</v>
      </c>
      <c r="OM33" s="32">
        <v>17.514147986832995</v>
      </c>
      <c r="ON33" s="69"/>
      <c r="OO33" s="32">
        <v>-101.93361230397994</v>
      </c>
      <c r="OP33" s="32">
        <v>-19.126261195092688</v>
      </c>
      <c r="OQ33" s="32">
        <v>-74.07311480020887</v>
      </c>
      <c r="OR33" s="32">
        <v>-70.239350198581789</v>
      </c>
      <c r="OS33" s="32">
        <v>-60.714285714285708</v>
      </c>
      <c r="OT33" s="32">
        <v>-35.360860246456852</v>
      </c>
      <c r="OU33" s="32">
        <v>-27.586206896551722</v>
      </c>
      <c r="OV33" s="32">
        <v>160.44385341967086</v>
      </c>
      <c r="OW33" s="32">
        <v>-31.454268692745451</v>
      </c>
      <c r="OX33" s="32">
        <v>80.010220444826771</v>
      </c>
      <c r="OY33" s="32">
        <v>26.009366043470568</v>
      </c>
    </row>
    <row r="34" spans="1:415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9"/>
      <c r="K34" s="32">
        <v>1621.2485239999999</v>
      </c>
      <c r="L34" s="32">
        <v>19.073512047058824</v>
      </c>
      <c r="M34" s="32">
        <v>0.36199999999999999</v>
      </c>
      <c r="N34" s="32">
        <v>720.42692529850751</v>
      </c>
      <c r="O34" s="32">
        <v>8.4756108858647945</v>
      </c>
      <c r="P34" s="32">
        <v>324.18864786140716</v>
      </c>
      <c r="Q34" s="32">
        <v>3.8139840924871429</v>
      </c>
      <c r="R34" s="32">
        <v>522.30778657995734</v>
      </c>
      <c r="S34" s="32">
        <v>6.1447974891759687</v>
      </c>
      <c r="T34" s="32">
        <v>0.46800000000000003</v>
      </c>
      <c r="U34" s="32">
        <v>5.5E-2</v>
      </c>
      <c r="V34" s="32">
        <v>26.396594588466751</v>
      </c>
      <c r="W34" s="32">
        <v>70.403001137783065</v>
      </c>
      <c r="X34" s="32">
        <v>94.953272868516748</v>
      </c>
      <c r="Y34" s="32">
        <v>98.660498012923696</v>
      </c>
      <c r="Z34" s="32">
        <v>0.76124673196439951</v>
      </c>
      <c r="AA34" s="32">
        <v>2.1297280578352868</v>
      </c>
      <c r="AB34" s="69"/>
      <c r="AC34" s="32">
        <v>659.33043600000008</v>
      </c>
      <c r="AD34" s="32">
        <v>7.7568286588235305</v>
      </c>
      <c r="AE34" s="32">
        <v>0.02</v>
      </c>
      <c r="AF34" s="32">
        <v>1700.2001240000002</v>
      </c>
      <c r="AG34" s="32">
        <v>20.002354400000002</v>
      </c>
      <c r="AH34" s="32">
        <v>0.13100000000000001</v>
      </c>
      <c r="AI34" s="32">
        <v>1047.9917345270271</v>
      </c>
      <c r="AJ34" s="32">
        <v>12.329314523847378</v>
      </c>
      <c r="AK34" s="32">
        <v>447.1782356306307</v>
      </c>
      <c r="AL34" s="32">
        <v>5.2609204191838908</v>
      </c>
      <c r="AM34" s="32">
        <v>747.58498507882894</v>
      </c>
      <c r="AN34" s="32">
        <v>8.7951174715156348</v>
      </c>
      <c r="AO34" s="32">
        <v>0.221</v>
      </c>
      <c r="AP34" s="32">
        <v>5.5E-2</v>
      </c>
      <c r="AQ34" s="32">
        <v>31.716719599466192</v>
      </c>
      <c r="AR34" s="32">
        <v>68.283280400533812</v>
      </c>
      <c r="AS34" s="32">
        <v>89.513097763313269</v>
      </c>
      <c r="AT34" s="32">
        <v>97.981753887545281</v>
      </c>
      <c r="AU34" s="32">
        <v>0.31224268774007724</v>
      </c>
      <c r="AV34" s="32">
        <v>5.445123907642353</v>
      </c>
      <c r="AW34" s="69"/>
      <c r="AX34" s="32">
        <v>-37.04607021742644</v>
      </c>
      <c r="AY34" s="32">
        <v>-4.7540461025968765</v>
      </c>
      <c r="AZ34" s="32">
        <v>93.711967545638942</v>
      </c>
      <c r="BA34" s="32">
        <v>71.698113207547181</v>
      </c>
      <c r="BB34" s="32">
        <v>-18.309487542887886</v>
      </c>
      <c r="BC34" s="69"/>
      <c r="BD34" s="32">
        <v>1203.3353399999999</v>
      </c>
      <c r="BE34" s="32">
        <v>14.156886352941175</v>
      </c>
      <c r="BF34" s="32">
        <v>1.2E-2</v>
      </c>
      <c r="BG34" s="32">
        <v>2401.2424200000005</v>
      </c>
      <c r="BH34" s="32">
        <v>28.249910823529419</v>
      </c>
      <c r="BI34" s="32">
        <v>7.6999999999999999E-2</v>
      </c>
      <c r="BJ34" s="32">
        <v>1503.0072319277108</v>
      </c>
      <c r="BK34" s="32">
        <v>17.682438022678951</v>
      </c>
      <c r="BL34" s="32">
        <v>197.68758580722894</v>
      </c>
      <c r="BM34" s="32">
        <v>2.325736303614458</v>
      </c>
      <c r="BN34" s="32">
        <v>850.34740886746988</v>
      </c>
      <c r="BO34" s="32">
        <v>10.004087163146705</v>
      </c>
      <c r="BP34" s="32">
        <v>360.6950295573771</v>
      </c>
      <c r="BQ34" s="32">
        <v>4.2434709359691425</v>
      </c>
      <c r="BR34" s="32">
        <v>1495.4744684836064</v>
      </c>
      <c r="BS34" s="32">
        <v>17.593817276277722</v>
      </c>
      <c r="BT34" s="32">
        <v>0.11</v>
      </c>
      <c r="BU34" s="32">
        <v>-254.28759913636361</v>
      </c>
      <c r="BV34" s="8">
        <v>-2.9916188133689836</v>
      </c>
      <c r="BW34" s="32">
        <v>1523.8935305681821</v>
      </c>
      <c r="BX34" s="32" t="s">
        <v>34</v>
      </c>
      <c r="BY34" s="32">
        <v>5.5E-2</v>
      </c>
      <c r="BZ34" s="32">
        <v>65874.21905449999</v>
      </c>
      <c r="CA34" s="32">
        <v>181859.40012249997</v>
      </c>
      <c r="CB34" s="32">
        <v>0.16500000000000001</v>
      </c>
      <c r="CC34" s="32">
        <v>0.115</v>
      </c>
      <c r="CD34" s="32">
        <v>66.666666666666657</v>
      </c>
      <c r="CE34" s="32">
        <v>13.687620023973809</v>
      </c>
      <c r="CF34" s="32">
        <v>10.64099298265435</v>
      </c>
      <c r="CG34" s="32">
        <v>19.415246853897294</v>
      </c>
      <c r="CH34" s="32">
        <v>80.902851549905819</v>
      </c>
      <c r="CI34" s="32">
        <v>13.687620023973809</v>
      </c>
      <c r="CJ34" s="32">
        <v>38.849605522276555</v>
      </c>
      <c r="CK34" s="32">
        <v>19.415246853897294</v>
      </c>
      <c r="CL34" s="32">
        <v>25.873864311444279</v>
      </c>
      <c r="CM34" s="32" t="s">
        <v>34</v>
      </c>
      <c r="CN34" s="32" t="s">
        <v>34</v>
      </c>
      <c r="CO34" s="32" t="s">
        <v>34</v>
      </c>
      <c r="CP34" s="32" t="s">
        <v>34</v>
      </c>
      <c r="CQ34" s="17" t="s">
        <v>34</v>
      </c>
      <c r="CR34" s="69"/>
      <c r="CS34" s="32">
        <v>955.78658799999994</v>
      </c>
      <c r="CT34" s="32">
        <v>11.244548094117647</v>
      </c>
      <c r="CU34" s="32">
        <v>1.2E-2</v>
      </c>
      <c r="CV34" s="32">
        <v>1746.6369119999999</v>
      </c>
      <c r="CW34" s="32">
        <v>20.548669552941174</v>
      </c>
      <c r="CX34" s="32">
        <v>7.4999999999999997E-2</v>
      </c>
      <c r="CY34" s="32">
        <v>1137.6227418958333</v>
      </c>
      <c r="CZ34" s="32">
        <v>13.383796963480393</v>
      </c>
      <c r="DA34" s="32">
        <v>210.02408567361113</v>
      </c>
      <c r="DB34" s="32">
        <v>2.4708715961601309</v>
      </c>
      <c r="DC34" s="32">
        <v>673.82341378472222</v>
      </c>
      <c r="DD34" s="32">
        <v>7.9273342798202613</v>
      </c>
      <c r="DE34" s="32">
        <v>340.67596173394497</v>
      </c>
      <c r="DF34" s="32">
        <v>4.0079524909875879</v>
      </c>
      <c r="DG34" s="32">
        <v>1214.4847904862388</v>
      </c>
      <c r="DH34" s="32">
        <v>14.288056358661633</v>
      </c>
      <c r="DI34" s="32">
        <v>0.107</v>
      </c>
      <c r="DJ34" s="32">
        <v>-196.86318548571433</v>
      </c>
      <c r="DK34" s="8">
        <v>-2.3160374763025215</v>
      </c>
      <c r="DL34" s="32">
        <v>898.25236200000018</v>
      </c>
      <c r="DM34" s="32">
        <v>-1.856781032268908</v>
      </c>
      <c r="DN34" s="32">
        <v>3.4000000000000002E-2</v>
      </c>
      <c r="DO34" s="32">
        <v>30681.119318000001</v>
      </c>
      <c r="DP34" s="32">
        <v>132390.04109700001</v>
      </c>
      <c r="DQ34" s="32">
        <v>0.14299999999999999</v>
      </c>
      <c r="DR34" s="32">
        <v>0.115</v>
      </c>
      <c r="DS34" s="32">
        <v>74.825174825174827</v>
      </c>
      <c r="DT34" s="32">
        <v>14.551212684084152</v>
      </c>
      <c r="DU34" s="32">
        <v>13.639378895431445</v>
      </c>
      <c r="DV34" s="32">
        <v>23.603237503194666</v>
      </c>
      <c r="DW34" s="32">
        <v>78.818533686192239</v>
      </c>
      <c r="DX34" s="32">
        <v>14.551212684084152</v>
      </c>
      <c r="DY34" s="32">
        <v>13.639378895431445</v>
      </c>
      <c r="DZ34" s="32">
        <v>23.603237503194666</v>
      </c>
      <c r="EA34" s="32">
        <v>0.14891231038923111</v>
      </c>
      <c r="EB34" s="32">
        <v>11.729298319491464</v>
      </c>
      <c r="EC34" s="69"/>
      <c r="ED34" s="32">
        <v>27.67403942649435</v>
      </c>
      <c r="EE34" s="32">
        <v>25.45686081373119</v>
      </c>
      <c r="EF34" s="32">
        <v>5.7085531258069917</v>
      </c>
      <c r="EG34" s="32">
        <v>31.563382422909907</v>
      </c>
      <c r="EH34" s="32">
        <v>2.6315789473684235</v>
      </c>
      <c r="EI34" s="32">
        <v>22.930502329648885</v>
      </c>
      <c r="EJ34" s="32">
        <v>14.285714285714299</v>
      </c>
      <c r="EK34" s="32">
        <v>-141.76036198397694</v>
      </c>
      <c r="EL34" s="32">
        <v>-31.043091289084714</v>
      </c>
      <c r="EM34" s="32">
        <v>0.35306568924483506</v>
      </c>
      <c r="EN34" s="32">
        <v>-19.470656448671217</v>
      </c>
      <c r="EO34" s="69"/>
      <c r="EP34" s="32">
        <v>1679.6416200000001</v>
      </c>
      <c r="EQ34" s="32">
        <v>19.760489647058826</v>
      </c>
      <c r="ER34" s="32">
        <v>0.253</v>
      </c>
      <c r="ES34" s="32">
        <v>806.67331056424575</v>
      </c>
      <c r="ET34" s="32">
        <v>9.490274241932303</v>
      </c>
      <c r="EU34" s="32">
        <v>382.78759410335203</v>
      </c>
      <c r="EV34" s="32">
        <v>4.5033834600394353</v>
      </c>
      <c r="EW34" s="32">
        <v>594.73045233379889</v>
      </c>
      <c r="EX34" s="32">
        <v>6.9968288509858692</v>
      </c>
      <c r="EY34" s="32">
        <v>0.35699999999999998</v>
      </c>
      <c r="EZ34" s="32">
        <v>8.1000000000000003E-2</v>
      </c>
      <c r="FA34" s="32">
        <v>34.834849767968052</v>
      </c>
      <c r="FB34" s="32">
        <v>65.165150232031948</v>
      </c>
      <c r="FC34" s="32">
        <v>83.066132604141558</v>
      </c>
      <c r="FD34" s="32">
        <v>76.580740654937301</v>
      </c>
      <c r="FE34" s="32">
        <v>0.52173652135271065</v>
      </c>
      <c r="FF34" s="32">
        <v>3.2193292040303776</v>
      </c>
      <c r="FG34" s="69"/>
      <c r="FH34" s="32">
        <v>1197.0596039999998</v>
      </c>
      <c r="FI34" s="32">
        <v>14.08305416470588</v>
      </c>
      <c r="FJ34" s="32">
        <v>9.2999999999999999E-2</v>
      </c>
      <c r="FK34" s="32">
        <v>1197.0596039999998</v>
      </c>
      <c r="FL34" s="32">
        <v>14.08305416470588</v>
      </c>
      <c r="FM34" s="32">
        <v>9.2999999999999999E-2</v>
      </c>
      <c r="FN34" s="32">
        <v>785.38047548947384</v>
      </c>
      <c r="FO34" s="32">
        <v>9.2397702998761631</v>
      </c>
      <c r="FP34" s="32">
        <v>428.28731031578957</v>
      </c>
      <c r="FQ34" s="32">
        <v>5.0386742390092891</v>
      </c>
      <c r="FR34" s="32">
        <v>606.83389290263176</v>
      </c>
      <c r="FS34" s="32">
        <v>7.139222269442727</v>
      </c>
      <c r="FT34" s="32">
        <v>0.189</v>
      </c>
      <c r="FU34" s="32">
        <v>8.1000000000000003E-2</v>
      </c>
      <c r="FV34" s="32">
        <v>39.961771257982534</v>
      </c>
      <c r="FW34" s="32">
        <v>60.038228742017488</v>
      </c>
      <c r="FX34" s="32">
        <v>99.406721609057087</v>
      </c>
      <c r="FY34" s="32">
        <v>78.209675121664901</v>
      </c>
      <c r="FZ34" s="32">
        <v>0.17206892416360825</v>
      </c>
      <c r="GA34" s="32">
        <v>6.9568610939985884</v>
      </c>
      <c r="GB34" s="69"/>
      <c r="GC34" s="32">
        <v>2.6748889090677297</v>
      </c>
      <c r="GD34" s="32">
        <v>33.551069674797787</v>
      </c>
      <c r="GE34" s="32">
        <v>92.48554913294798</v>
      </c>
      <c r="GF34" s="32">
        <v>61.538461538461533</v>
      </c>
      <c r="GG34" s="32">
        <v>-13.708965511251378</v>
      </c>
      <c r="GH34" s="69"/>
      <c r="GI34" s="32">
        <v>1385.169228</v>
      </c>
      <c r="GJ34" s="32">
        <v>16.296108564705882</v>
      </c>
      <c r="GK34" s="32">
        <v>1.6E-2</v>
      </c>
      <c r="GL34" s="32">
        <v>2379.2954609999997</v>
      </c>
      <c r="GM34" s="32">
        <v>27.991711305882351</v>
      </c>
      <c r="GN34" s="32">
        <v>7.9000000000000001E-2</v>
      </c>
      <c r="GO34" s="32">
        <v>1476.6418589542857</v>
      </c>
      <c r="GP34" s="32">
        <v>17.372257164168065</v>
      </c>
      <c r="GQ34" s="32">
        <v>183.96248869142855</v>
      </c>
      <c r="GR34" s="32">
        <v>2.1642645728403358</v>
      </c>
      <c r="GS34" s="32">
        <v>830.30217382285707</v>
      </c>
      <c r="GT34" s="32">
        <v>9.7682608685042016</v>
      </c>
      <c r="GU34" s="32">
        <v>372.06609832478637</v>
      </c>
      <c r="GV34" s="32">
        <v>4.3772482155857215</v>
      </c>
      <c r="GW34" s="32">
        <v>1401.0982235897436</v>
      </c>
      <c r="GX34" s="32">
        <v>16.483508512820514</v>
      </c>
      <c r="GY34" s="32">
        <v>0.113</v>
      </c>
      <c r="GZ34" s="32">
        <v>-195.48789625862071</v>
      </c>
      <c r="HA34" s="8">
        <v>-2.2998576030425966</v>
      </c>
      <c r="HB34" s="32">
        <v>1629.0316061551728</v>
      </c>
      <c r="HC34" s="32">
        <v>0.52704521379310343</v>
      </c>
      <c r="HD34" s="32">
        <v>6.0999999999999999E-2</v>
      </c>
      <c r="HE34" s="32">
        <v>93368.826928499999</v>
      </c>
      <c r="HF34" s="32">
        <v>163233.21151750005</v>
      </c>
      <c r="HG34" s="32">
        <v>0.17399999999999999</v>
      </c>
      <c r="HH34" s="32" t="s">
        <v>34</v>
      </c>
      <c r="HI34" s="32">
        <v>64.942528735632195</v>
      </c>
      <c r="HJ34" s="32">
        <v>10.868880175451933</v>
      </c>
      <c r="HK34" s="32">
        <v>10.228082068671272</v>
      </c>
      <c r="HL34" s="32">
        <v>20.686405232424658</v>
      </c>
      <c r="HM34" s="32">
        <v>82.099422696728581</v>
      </c>
      <c r="HN34" s="32">
        <v>10.868880175451933</v>
      </c>
      <c r="HO34" s="32">
        <v>38.376484949973104</v>
      </c>
      <c r="HP34" s="32">
        <v>20.686405232424658</v>
      </c>
      <c r="HQ34" s="32">
        <v>24.221665197540105</v>
      </c>
      <c r="HR34" s="32">
        <v>64.942528735632195</v>
      </c>
      <c r="HS34" s="32" t="s">
        <v>34</v>
      </c>
      <c r="HT34" s="32" t="s">
        <v>34</v>
      </c>
      <c r="HU34" s="32" t="s">
        <v>34</v>
      </c>
      <c r="HV34" s="32" t="s">
        <v>34</v>
      </c>
      <c r="HW34" s="17" t="s">
        <v>34</v>
      </c>
      <c r="HX34" s="69"/>
      <c r="HY34" s="32" t="s">
        <v>34</v>
      </c>
      <c r="HZ34" s="32" t="s">
        <v>34</v>
      </c>
      <c r="IA34" s="32" t="s">
        <v>34</v>
      </c>
      <c r="IB34" s="32" t="s">
        <v>34</v>
      </c>
      <c r="IC34" s="32" t="s">
        <v>34</v>
      </c>
      <c r="ID34" s="32" t="s">
        <v>34</v>
      </c>
      <c r="IE34" s="32" t="s">
        <v>34</v>
      </c>
      <c r="IF34" s="32" t="s">
        <v>34</v>
      </c>
      <c r="IG34" s="32" t="s">
        <v>34</v>
      </c>
      <c r="IH34" s="32" t="s">
        <v>34</v>
      </c>
      <c r="II34" s="32" t="s">
        <v>34</v>
      </c>
      <c r="IJ34" s="32" t="s">
        <v>34</v>
      </c>
      <c r="IK34" s="32" t="s">
        <v>34</v>
      </c>
      <c r="IL34" s="32" t="s">
        <v>34</v>
      </c>
      <c r="IM34" s="32" t="s">
        <v>34</v>
      </c>
      <c r="IN34" s="32" t="s">
        <v>34</v>
      </c>
      <c r="IO34" s="32" t="s">
        <v>34</v>
      </c>
      <c r="IP34" s="32" t="s">
        <v>34</v>
      </c>
      <c r="IQ34" s="8" t="s">
        <v>34</v>
      </c>
      <c r="IR34" s="32" t="s">
        <v>34</v>
      </c>
      <c r="IS34" s="32" t="s">
        <v>34</v>
      </c>
      <c r="IT34" s="32" t="s">
        <v>34</v>
      </c>
      <c r="IU34" s="32" t="s">
        <v>34</v>
      </c>
      <c r="IV34" s="32" t="s">
        <v>34</v>
      </c>
      <c r="IW34" s="32" t="s">
        <v>34</v>
      </c>
      <c r="IX34" s="32" t="s">
        <v>34</v>
      </c>
      <c r="IY34" s="32" t="s">
        <v>34</v>
      </c>
      <c r="IZ34" s="32" t="s">
        <v>34</v>
      </c>
      <c r="JA34" s="32" t="s">
        <v>34</v>
      </c>
      <c r="JB34" s="32" t="s">
        <v>34</v>
      </c>
      <c r="JC34" s="32" t="s">
        <v>34</v>
      </c>
      <c r="JD34" s="32" t="s">
        <v>34</v>
      </c>
      <c r="JE34" s="32" t="s">
        <v>34</v>
      </c>
      <c r="JF34" s="32" t="s">
        <v>34</v>
      </c>
      <c r="JG34" s="32" t="s">
        <v>34</v>
      </c>
      <c r="JH34" s="32" t="s">
        <v>34</v>
      </c>
      <c r="JI34" s="69"/>
      <c r="JJ34" s="32" t="s">
        <v>34</v>
      </c>
      <c r="JK34" s="32" t="s">
        <v>34</v>
      </c>
      <c r="JL34" s="32" t="s">
        <v>34</v>
      </c>
      <c r="JM34" s="32" t="s">
        <v>34</v>
      </c>
      <c r="JN34" s="32" t="s">
        <v>34</v>
      </c>
      <c r="JO34" s="32" t="s">
        <v>34</v>
      </c>
      <c r="JP34" s="32" t="s">
        <v>34</v>
      </c>
      <c r="JQ34" s="32" t="s">
        <v>34</v>
      </c>
      <c r="JR34" s="32" t="s">
        <v>34</v>
      </c>
      <c r="JS34" s="32" t="s">
        <v>34</v>
      </c>
      <c r="JT34" s="32" t="s">
        <v>34</v>
      </c>
      <c r="JU34" s="69"/>
      <c r="JV34" s="32">
        <v>1546.6971309999999</v>
      </c>
      <c r="JW34" s="32">
        <v>18.196436835294115</v>
      </c>
      <c r="JX34" s="32">
        <v>0.20599999999999999</v>
      </c>
      <c r="JY34" s="32">
        <v>895.02875374132498</v>
      </c>
      <c r="JZ34" s="32">
        <v>10.529750044015588</v>
      </c>
      <c r="KA34" s="32">
        <v>382.18601329022084</v>
      </c>
      <c r="KB34" s="32">
        <v>4.4963060387084806</v>
      </c>
      <c r="KC34" s="32">
        <v>638.60738351577288</v>
      </c>
      <c r="KD34" s="32">
        <v>7.5130280413620341</v>
      </c>
      <c r="KE34" s="32">
        <v>0.316</v>
      </c>
      <c r="KF34" s="32">
        <v>8.4000000000000005E-2</v>
      </c>
      <c r="KG34" s="32">
        <v>32.308195221419957</v>
      </c>
      <c r="KH34" s="32">
        <v>67.69180477858005</v>
      </c>
      <c r="KI34" s="32">
        <v>91.792301481944662</v>
      </c>
      <c r="KJ34" s="32">
        <v>79.418426995084317</v>
      </c>
      <c r="KK34" s="32">
        <v>0.52341047553779052</v>
      </c>
      <c r="KL34" s="32">
        <v>2.9550366362285914</v>
      </c>
      <c r="KM34" s="69"/>
      <c r="KN34" s="32">
        <v>813.37437699999998</v>
      </c>
      <c r="KO34" s="32">
        <v>9.5691103176470591</v>
      </c>
      <c r="KP34" s="32">
        <v>2.1000000000000001E-2</v>
      </c>
      <c r="KQ34" s="32">
        <v>1973.681294</v>
      </c>
      <c r="KR34" s="32">
        <v>23.219779929411764</v>
      </c>
      <c r="KS34" s="32">
        <v>0.10100000000000001</v>
      </c>
      <c r="KT34" s="32">
        <v>1186.6269185769231</v>
      </c>
      <c r="KU34" s="32">
        <v>13.960316689140273</v>
      </c>
      <c r="KV34" s="32">
        <v>450.45500991826924</v>
      </c>
      <c r="KW34" s="32">
        <v>5.2994707049208145</v>
      </c>
      <c r="KX34" s="32">
        <v>818.54096424759621</v>
      </c>
      <c r="KY34" s="32">
        <v>9.6298936970305444</v>
      </c>
      <c r="KZ34" s="32">
        <v>0.20699999999999999</v>
      </c>
      <c r="LA34" s="32">
        <v>8.4000000000000005E-2</v>
      </c>
      <c r="LB34" s="32">
        <v>30.151748367976609</v>
      </c>
      <c r="LC34" s="32">
        <v>69.848251632023391</v>
      </c>
      <c r="LD34" s="32">
        <v>80.438174342417838</v>
      </c>
      <c r="LE34" s="32">
        <v>99.80176803976083</v>
      </c>
      <c r="LF34" s="32">
        <v>0.32336613294619948</v>
      </c>
      <c r="LG34" s="32">
        <v>6.1035497935968888</v>
      </c>
      <c r="LH34" s="69"/>
      <c r="LI34" s="32">
        <v>-28.015984460182903</v>
      </c>
      <c r="LJ34" s="32">
        <v>-24.257855915021416</v>
      </c>
      <c r="LK34" s="32">
        <v>68.403908794788265</v>
      </c>
      <c r="LL34" s="32">
        <v>41.682600382409177</v>
      </c>
      <c r="LM34" s="32">
        <v>6.9050553987673959</v>
      </c>
      <c r="LN34" s="69"/>
      <c r="LO34" s="32">
        <v>1629.255447</v>
      </c>
      <c r="LP34" s="32">
        <v>19.167711141176472</v>
      </c>
      <c r="LQ34" s="32">
        <v>1.6E-2</v>
      </c>
      <c r="LR34" s="32">
        <v>2261.355004</v>
      </c>
      <c r="LS34" s="32">
        <v>26.604176517647058</v>
      </c>
      <c r="LT34" s="32">
        <v>8.4000000000000005E-2</v>
      </c>
      <c r="LU34" s="32">
        <v>1474.724030362162</v>
      </c>
      <c r="LV34" s="32">
        <v>17.349694474848963</v>
      </c>
      <c r="LW34" s="32">
        <v>145.25489977837842</v>
      </c>
      <c r="LX34" s="32">
        <v>1.7088811738632754</v>
      </c>
      <c r="LY34" s="32">
        <v>809.98946507027017</v>
      </c>
      <c r="LZ34" s="32">
        <v>9.5292878243561194</v>
      </c>
      <c r="MA34" s="32">
        <v>378.67198964285711</v>
      </c>
      <c r="MB34" s="32">
        <v>4.454964584033613</v>
      </c>
      <c r="MC34" s="32">
        <v>1367.5810359642858</v>
      </c>
      <c r="MD34" s="32">
        <v>16.089188658403362</v>
      </c>
      <c r="ME34" s="32">
        <v>0.112</v>
      </c>
      <c r="MF34" s="32">
        <v>-212.86447097260273</v>
      </c>
      <c r="MG34" s="8">
        <v>-2.5042878937953263</v>
      </c>
      <c r="MH34" s="32">
        <v>1639.1078025890413</v>
      </c>
      <c r="MI34" s="32">
        <v>-0.50161611361805014</v>
      </c>
      <c r="MJ34" s="32">
        <v>7.1999999999999995E-2</v>
      </c>
      <c r="MK34" s="32">
        <v>118545.237402</v>
      </c>
      <c r="ML34" s="32">
        <v>152077.94639699999</v>
      </c>
      <c r="MM34" s="32">
        <v>0.184</v>
      </c>
      <c r="MN34" s="32" t="s">
        <v>34</v>
      </c>
      <c r="MO34" s="32">
        <v>60.869565217391312</v>
      </c>
      <c r="MP34" s="32">
        <v>12.213191801149675</v>
      </c>
      <c r="MQ34" s="32">
        <v>8.3340631855770759</v>
      </c>
      <c r="MR34" s="32">
        <v>21.726470453711475</v>
      </c>
      <c r="MS34" s="32">
        <v>84.612934015163688</v>
      </c>
      <c r="MT34" s="32">
        <v>12.213191801149675</v>
      </c>
      <c r="MU34" s="32">
        <v>37.262359543850323</v>
      </c>
      <c r="MV34" s="32">
        <v>21.726470453711475</v>
      </c>
      <c r="MW34" s="32">
        <v>23.372829777324466</v>
      </c>
      <c r="MX34" s="32" t="s">
        <v>34</v>
      </c>
      <c r="MY34" s="32" t="s">
        <v>34</v>
      </c>
      <c r="MZ34" s="32" t="s">
        <v>34</v>
      </c>
      <c r="NA34" s="32" t="s">
        <v>34</v>
      </c>
      <c r="NB34" s="17" t="s">
        <v>34</v>
      </c>
      <c r="NC34" s="69"/>
      <c r="ND34" s="32" t="s">
        <v>34</v>
      </c>
      <c r="NE34" s="32" t="s">
        <v>34</v>
      </c>
      <c r="NF34" s="32" t="s">
        <v>34</v>
      </c>
      <c r="NG34" s="32" t="s">
        <v>34</v>
      </c>
      <c r="NH34" s="32" t="s">
        <v>34</v>
      </c>
      <c r="NI34" s="32" t="s">
        <v>34</v>
      </c>
      <c r="NJ34" s="32" t="s">
        <v>34</v>
      </c>
      <c r="NK34" s="32" t="s">
        <v>34</v>
      </c>
      <c r="NL34" s="32" t="s">
        <v>34</v>
      </c>
      <c r="NM34" s="32" t="s">
        <v>34</v>
      </c>
      <c r="NN34" s="32" t="s">
        <v>34</v>
      </c>
      <c r="NO34" s="32" t="s">
        <v>34</v>
      </c>
      <c r="NP34" s="32" t="s">
        <v>34</v>
      </c>
      <c r="NQ34" s="32" t="s">
        <v>34</v>
      </c>
      <c r="NR34" s="32" t="s">
        <v>34</v>
      </c>
      <c r="NS34" s="32" t="s">
        <v>34</v>
      </c>
      <c r="NT34" s="32" t="s">
        <v>34</v>
      </c>
      <c r="NU34" s="32" t="s">
        <v>34</v>
      </c>
      <c r="NV34" s="8" t="s">
        <v>34</v>
      </c>
      <c r="NW34" s="32" t="s">
        <v>34</v>
      </c>
      <c r="NX34" s="32" t="s">
        <v>34</v>
      </c>
      <c r="NY34" s="32" t="s">
        <v>34</v>
      </c>
      <c r="NZ34" s="32" t="s">
        <v>34</v>
      </c>
      <c r="OA34" s="32" t="s">
        <v>34</v>
      </c>
      <c r="OB34" s="32" t="s">
        <v>34</v>
      </c>
      <c r="OC34" s="32" t="s">
        <v>34</v>
      </c>
      <c r="OD34" s="32" t="s">
        <v>34</v>
      </c>
      <c r="OE34" s="32" t="s">
        <v>34</v>
      </c>
      <c r="OF34" s="32" t="s">
        <v>34</v>
      </c>
      <c r="OG34" s="32" t="s">
        <v>34</v>
      </c>
      <c r="OH34" s="32" t="s">
        <v>34</v>
      </c>
      <c r="OI34" s="32" t="s">
        <v>34</v>
      </c>
      <c r="OJ34" s="32" t="s">
        <v>34</v>
      </c>
      <c r="OK34" s="32" t="s">
        <v>34</v>
      </c>
      <c r="OL34" s="32" t="s">
        <v>34</v>
      </c>
      <c r="OM34" s="32" t="s">
        <v>34</v>
      </c>
      <c r="ON34" s="69"/>
      <c r="OO34" s="32" t="s">
        <v>34</v>
      </c>
      <c r="OP34" s="32" t="s">
        <v>34</v>
      </c>
      <c r="OQ34" s="32" t="s">
        <v>34</v>
      </c>
      <c r="OR34" s="32" t="s">
        <v>34</v>
      </c>
      <c r="OS34" s="32" t="s">
        <v>34</v>
      </c>
      <c r="OT34" s="32" t="s">
        <v>34</v>
      </c>
      <c r="OU34" s="32" t="s">
        <v>34</v>
      </c>
      <c r="OV34" s="32" t="s">
        <v>34</v>
      </c>
      <c r="OW34" s="32" t="s">
        <v>34</v>
      </c>
      <c r="OX34" s="32" t="s">
        <v>34</v>
      </c>
      <c r="OY34" s="32" t="s">
        <v>34</v>
      </c>
    </row>
    <row r="35" spans="1:415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9"/>
      <c r="K35" s="32">
        <v>1427.7893110000002</v>
      </c>
      <c r="L35" s="32">
        <v>17.202280855421691</v>
      </c>
      <c r="M35" s="32">
        <v>0.26400000000000001</v>
      </c>
      <c r="N35" s="32">
        <v>703.6188189285715</v>
      </c>
      <c r="O35" s="32">
        <v>8.4773351678141147</v>
      </c>
      <c r="P35" s="32">
        <v>381.09728133333334</v>
      </c>
      <c r="Q35" s="32">
        <v>4.5915335100401604</v>
      </c>
      <c r="R35" s="32">
        <v>542.35805013095239</v>
      </c>
      <c r="S35" s="32">
        <v>6.5344343389271371</v>
      </c>
      <c r="T35" s="32">
        <v>0.377</v>
      </c>
      <c r="U35" s="32">
        <v>0.04</v>
      </c>
      <c r="V35" s="32">
        <v>32.616505543181603</v>
      </c>
      <c r="W35" s="32">
        <v>67.055951605654712</v>
      </c>
      <c r="X35" s="32">
        <v>82.695993636016709</v>
      </c>
      <c r="Y35" s="32">
        <v>99.889525729165157</v>
      </c>
      <c r="Z35" s="32">
        <v>0.49551887935931088</v>
      </c>
      <c r="AA35" s="32">
        <v>2.8814024459493521</v>
      </c>
      <c r="AB35" s="69"/>
      <c r="AC35" s="32" t="s">
        <v>34</v>
      </c>
      <c r="AD35" s="32" t="s">
        <v>34</v>
      </c>
      <c r="AE35" s="32" t="s">
        <v>34</v>
      </c>
      <c r="AF35" s="32" t="s">
        <v>34</v>
      </c>
      <c r="AG35" s="32" t="s">
        <v>34</v>
      </c>
      <c r="AH35" s="32" t="s">
        <v>34</v>
      </c>
      <c r="AI35" s="32" t="s">
        <v>34</v>
      </c>
      <c r="AJ35" s="32" t="s">
        <v>34</v>
      </c>
      <c r="AK35" s="32" t="s">
        <v>34</v>
      </c>
      <c r="AL35" s="32" t="s">
        <v>34</v>
      </c>
      <c r="AM35" s="32" t="s">
        <v>34</v>
      </c>
      <c r="AN35" s="32" t="s">
        <v>34</v>
      </c>
      <c r="AO35" s="32" t="s">
        <v>34</v>
      </c>
      <c r="AP35" s="32" t="s">
        <v>34</v>
      </c>
      <c r="AQ35" s="32" t="s">
        <v>34</v>
      </c>
      <c r="AR35" s="32" t="s">
        <v>34</v>
      </c>
      <c r="AS35" s="32" t="s">
        <v>34</v>
      </c>
      <c r="AT35" s="32" t="s">
        <v>34</v>
      </c>
      <c r="AU35" s="32" t="s">
        <v>34</v>
      </c>
      <c r="AV35" s="32" t="s">
        <v>34</v>
      </c>
      <c r="AW35" s="69"/>
      <c r="AX35" s="32" t="s">
        <v>34</v>
      </c>
      <c r="AY35" s="32" t="s">
        <v>34</v>
      </c>
      <c r="AZ35" s="32" t="s">
        <v>34</v>
      </c>
      <c r="BA35" s="32" t="s">
        <v>34</v>
      </c>
      <c r="BB35" s="32" t="s">
        <v>34</v>
      </c>
      <c r="BC35" s="69"/>
      <c r="BD35" s="32">
        <v>1659.288031</v>
      </c>
      <c r="BE35" s="32">
        <v>19.991422060240964</v>
      </c>
      <c r="BF35" s="32">
        <v>1.4999999999999999E-2</v>
      </c>
      <c r="BG35" s="32">
        <v>2001.3333850000001</v>
      </c>
      <c r="BH35" s="32">
        <v>24.112450421686749</v>
      </c>
      <c r="BI35" s="32">
        <v>8.4000000000000005E-2</v>
      </c>
      <c r="BJ35" s="32">
        <v>1317.8230108742857</v>
      </c>
      <c r="BK35" s="32">
        <v>15.877385673184165</v>
      </c>
      <c r="BL35" s="32">
        <v>171.82536521142856</v>
      </c>
      <c r="BM35" s="32">
        <v>2.0701851230292596</v>
      </c>
      <c r="BN35" s="32">
        <v>744.82418804285714</v>
      </c>
      <c r="BO35" s="32">
        <v>8.9737853981067133</v>
      </c>
      <c r="BP35" s="32">
        <v>317.28394384374991</v>
      </c>
      <c r="BQ35" s="32">
        <v>3.8226981185993965</v>
      </c>
      <c r="BR35" s="32">
        <v>1257.4434172421875</v>
      </c>
      <c r="BS35" s="32">
        <v>15.14992068966491</v>
      </c>
      <c r="BT35" s="32">
        <v>0.113</v>
      </c>
      <c r="BU35" s="32">
        <v>-224.31714680851064</v>
      </c>
      <c r="BV35" s="8">
        <v>-2.702616226608562</v>
      </c>
      <c r="BW35" s="32">
        <v>1482.2610531063831</v>
      </c>
      <c r="BX35" s="32" t="s">
        <v>34</v>
      </c>
      <c r="BY35" s="32">
        <v>6.0999999999999999E-2</v>
      </c>
      <c r="BZ35" s="32">
        <v>68678.85439600001</v>
      </c>
      <c r="CA35" s="32">
        <v>160269.05701250001</v>
      </c>
      <c r="CB35" s="32">
        <v>0.17399999999999999</v>
      </c>
      <c r="CC35" s="32" t="s">
        <v>34</v>
      </c>
      <c r="CD35" s="32">
        <v>64.942528735632195</v>
      </c>
      <c r="CE35" s="32">
        <v>14.135656817644767</v>
      </c>
      <c r="CF35" s="32">
        <v>10.827814234230804</v>
      </c>
      <c r="CG35" s="32">
        <v>19.994088761091358</v>
      </c>
      <c r="CH35" s="32">
        <v>83.044448866926714</v>
      </c>
      <c r="CI35" s="32">
        <v>14.135656817644767</v>
      </c>
      <c r="CJ35" s="32">
        <v>37.833376132655097</v>
      </c>
      <c r="CK35" s="32">
        <v>19.994088761091358</v>
      </c>
      <c r="CL35" s="32">
        <v>23.301658050193858</v>
      </c>
      <c r="CM35" s="32" t="s">
        <v>34</v>
      </c>
      <c r="CN35" s="32" t="s">
        <v>34</v>
      </c>
      <c r="CO35" s="32" t="s">
        <v>34</v>
      </c>
      <c r="CP35" s="32" t="s">
        <v>34</v>
      </c>
      <c r="CQ35" s="17" t="s">
        <v>34</v>
      </c>
      <c r="CR35" s="69"/>
      <c r="CS35" s="32" t="s">
        <v>34</v>
      </c>
      <c r="CT35" s="32" t="s">
        <v>34</v>
      </c>
      <c r="CU35" s="32" t="s">
        <v>34</v>
      </c>
      <c r="CV35" s="32" t="s">
        <v>34</v>
      </c>
      <c r="CW35" s="32" t="s">
        <v>34</v>
      </c>
      <c r="CX35" s="32" t="s">
        <v>34</v>
      </c>
      <c r="CY35" s="32" t="s">
        <v>34</v>
      </c>
      <c r="CZ35" s="32" t="s">
        <v>34</v>
      </c>
      <c r="DA35" s="32" t="s">
        <v>34</v>
      </c>
      <c r="DB35" s="32" t="s">
        <v>34</v>
      </c>
      <c r="DC35" s="32" t="s">
        <v>34</v>
      </c>
      <c r="DD35" s="32" t="s">
        <v>34</v>
      </c>
      <c r="DE35" s="32" t="s">
        <v>34</v>
      </c>
      <c r="DF35" s="32" t="s">
        <v>34</v>
      </c>
      <c r="DG35" s="32" t="s">
        <v>34</v>
      </c>
      <c r="DH35" s="32" t="s">
        <v>34</v>
      </c>
      <c r="DI35" s="32" t="s">
        <v>34</v>
      </c>
      <c r="DJ35" s="32" t="s">
        <v>34</v>
      </c>
      <c r="DK35" s="8" t="s">
        <v>34</v>
      </c>
      <c r="DL35" s="32" t="s">
        <v>34</v>
      </c>
      <c r="DM35" s="32" t="s">
        <v>34</v>
      </c>
      <c r="DN35" s="32" t="s">
        <v>34</v>
      </c>
      <c r="DO35" s="32" t="s">
        <v>34</v>
      </c>
      <c r="DP35" s="32" t="s">
        <v>34</v>
      </c>
      <c r="DQ35" s="32" t="s">
        <v>34</v>
      </c>
      <c r="DR35" s="32" t="s">
        <v>34</v>
      </c>
      <c r="DS35" s="32" t="s">
        <v>34</v>
      </c>
      <c r="DT35" s="32" t="s">
        <v>34</v>
      </c>
      <c r="DU35" s="32" t="s">
        <v>34</v>
      </c>
      <c r="DV35" s="32" t="s">
        <v>34</v>
      </c>
      <c r="DW35" s="32" t="s">
        <v>34</v>
      </c>
      <c r="DX35" s="32" t="s">
        <v>34</v>
      </c>
      <c r="DY35" s="32" t="s">
        <v>34</v>
      </c>
      <c r="DZ35" s="32" t="s">
        <v>34</v>
      </c>
      <c r="EA35" s="32" t="s">
        <v>34</v>
      </c>
      <c r="EB35" s="32" t="s">
        <v>34</v>
      </c>
      <c r="EC35" s="69"/>
      <c r="ED35" s="32" t="s">
        <v>34</v>
      </c>
      <c r="EE35" s="32" t="s">
        <v>34</v>
      </c>
      <c r="EF35" s="32" t="s">
        <v>34</v>
      </c>
      <c r="EG35" s="32" t="s">
        <v>34</v>
      </c>
      <c r="EH35" s="32" t="s">
        <v>34</v>
      </c>
      <c r="EI35" s="32" t="s">
        <v>34</v>
      </c>
      <c r="EJ35" s="32" t="s">
        <v>34</v>
      </c>
      <c r="EK35" s="32" t="s">
        <v>34</v>
      </c>
      <c r="EL35" s="32" t="s">
        <v>34</v>
      </c>
      <c r="EM35" s="32" t="s">
        <v>34</v>
      </c>
      <c r="EN35" s="32" t="s">
        <v>34</v>
      </c>
      <c r="EO35" s="69"/>
      <c r="EP35" s="32">
        <v>1496.3715270000002</v>
      </c>
      <c r="EQ35" s="32">
        <v>18.028572614457833</v>
      </c>
      <c r="ER35" s="32">
        <v>0.24099999999999999</v>
      </c>
      <c r="ES35" s="32">
        <v>830.50687419946837</v>
      </c>
      <c r="ET35" s="32">
        <v>10.006106918065884</v>
      </c>
      <c r="EU35" s="32">
        <v>369.72417439095744</v>
      </c>
      <c r="EV35" s="32">
        <v>4.454508125192258</v>
      </c>
      <c r="EW35" s="32">
        <v>600.11552429521294</v>
      </c>
      <c r="EX35" s="32">
        <v>7.2303075216290713</v>
      </c>
      <c r="EY35" s="32">
        <v>0.375</v>
      </c>
      <c r="EZ35" s="32">
        <v>0.05</v>
      </c>
      <c r="FA35" s="32">
        <v>31.716258391845042</v>
      </c>
      <c r="FB35" s="32">
        <v>68.283741608154969</v>
      </c>
      <c r="FC35" s="32">
        <v>98.400786714898672</v>
      </c>
      <c r="FD35" s="32">
        <v>85.130148575080867</v>
      </c>
      <c r="FE35" s="32">
        <v>0.65239461786979869</v>
      </c>
      <c r="FF35" s="32">
        <v>2.2936601345454966</v>
      </c>
      <c r="FG35" s="69"/>
      <c r="FH35" s="32" t="s">
        <v>34</v>
      </c>
      <c r="FI35" s="32" t="s">
        <v>34</v>
      </c>
      <c r="FJ35" s="32" t="s">
        <v>34</v>
      </c>
      <c r="FK35" s="32" t="s">
        <v>34</v>
      </c>
      <c r="FL35" s="32" t="s">
        <v>34</v>
      </c>
      <c r="FM35" s="32" t="s">
        <v>34</v>
      </c>
      <c r="FN35" s="32" t="s">
        <v>34</v>
      </c>
      <c r="FO35" s="32" t="s">
        <v>34</v>
      </c>
      <c r="FP35" s="32" t="s">
        <v>34</v>
      </c>
      <c r="FQ35" s="32" t="s">
        <v>34</v>
      </c>
      <c r="FR35" s="32" t="s">
        <v>34</v>
      </c>
      <c r="FS35" s="32" t="s">
        <v>34</v>
      </c>
      <c r="FT35" s="32" t="s">
        <v>34</v>
      </c>
      <c r="FU35" s="32" t="s">
        <v>34</v>
      </c>
      <c r="FV35" s="32" t="s">
        <v>34</v>
      </c>
      <c r="FW35" s="32" t="s">
        <v>34</v>
      </c>
      <c r="FX35" s="32" t="s">
        <v>34</v>
      </c>
      <c r="FY35" s="32" t="s">
        <v>34</v>
      </c>
      <c r="FZ35" s="32" t="s">
        <v>34</v>
      </c>
      <c r="GA35" s="32" t="s">
        <v>34</v>
      </c>
      <c r="GB35" s="69"/>
      <c r="GC35" s="32" t="s">
        <v>34</v>
      </c>
      <c r="GD35" s="32" t="s">
        <v>34</v>
      </c>
      <c r="GE35" s="32" t="s">
        <v>34</v>
      </c>
      <c r="GF35" s="32" t="s">
        <v>34</v>
      </c>
      <c r="GG35" s="32" t="s">
        <v>34</v>
      </c>
      <c r="GH35" s="69"/>
      <c r="GI35" s="32">
        <v>2175.8455629999994</v>
      </c>
      <c r="GJ35" s="32">
        <v>26.215006783132523</v>
      </c>
      <c r="GK35" s="32">
        <v>1.6E-2</v>
      </c>
      <c r="GL35" s="32">
        <v>2192.2562739999998</v>
      </c>
      <c r="GM35" s="32">
        <v>26.412726192771082</v>
      </c>
      <c r="GN35" s="32">
        <v>7.9000000000000001E-2</v>
      </c>
      <c r="GO35" s="32">
        <v>1423.2385354581004</v>
      </c>
      <c r="GP35" s="32">
        <v>17.147452234434944</v>
      </c>
      <c r="GQ35" s="32">
        <v>153.2973820111732</v>
      </c>
      <c r="GR35" s="32">
        <v>1.846956409773171</v>
      </c>
      <c r="GS35" s="32">
        <v>788.26795873463675</v>
      </c>
      <c r="GT35" s="32">
        <v>9.4972043221040572</v>
      </c>
      <c r="GU35" s="32">
        <v>289.54777387096766</v>
      </c>
      <c r="GV35" s="32">
        <v>3.4885273960357548</v>
      </c>
      <c r="GW35" s="32">
        <v>1248.6281542177414</v>
      </c>
      <c r="GX35" s="32">
        <v>15.043712701418572</v>
      </c>
      <c r="GY35" s="32">
        <v>0.11600000000000001</v>
      </c>
      <c r="GZ35" s="32">
        <v>-153.88531963636362</v>
      </c>
      <c r="HA35" s="8">
        <v>-1.8540399956188387</v>
      </c>
      <c r="HB35" s="32">
        <v>1816.9055768000001</v>
      </c>
      <c r="HC35" s="32">
        <v>1.7405117044906899</v>
      </c>
      <c r="HD35" s="32">
        <v>6.2E-2</v>
      </c>
      <c r="HE35" s="32">
        <v>98831.448260499994</v>
      </c>
      <c r="HF35" s="32">
        <v>153857.77760949999</v>
      </c>
      <c r="HG35" s="32">
        <v>0.17799999999999999</v>
      </c>
      <c r="HH35" s="32" t="s">
        <v>34</v>
      </c>
      <c r="HI35" s="32">
        <v>65.168539325842701</v>
      </c>
      <c r="HJ35" s="32">
        <v>8.6195843355900337</v>
      </c>
      <c r="HK35" s="32">
        <v>8.5866521627461889</v>
      </c>
      <c r="HL35" s="32">
        <v>16.218450609588864</v>
      </c>
      <c r="HM35" s="32">
        <v>79.719914901771048</v>
      </c>
      <c r="HN35" s="32">
        <v>8.6195843355900337</v>
      </c>
      <c r="HO35" s="32">
        <v>30.931720823130515</v>
      </c>
      <c r="HP35" s="32">
        <v>16.218450609588864</v>
      </c>
      <c r="HQ35" s="32">
        <v>22.344009825564186</v>
      </c>
      <c r="HR35" s="32">
        <v>65.168539325842701</v>
      </c>
      <c r="HS35" s="32" t="s">
        <v>34</v>
      </c>
      <c r="HT35" s="32" t="s">
        <v>34</v>
      </c>
      <c r="HU35" s="32" t="s">
        <v>34</v>
      </c>
      <c r="HV35" s="32" t="s">
        <v>34</v>
      </c>
      <c r="HW35" s="17" t="s">
        <v>34</v>
      </c>
      <c r="HX35" s="69"/>
      <c r="HY35" s="32" t="s">
        <v>34</v>
      </c>
      <c r="HZ35" s="32" t="s">
        <v>34</v>
      </c>
      <c r="IA35" s="32" t="s">
        <v>34</v>
      </c>
      <c r="IB35" s="32" t="s">
        <v>34</v>
      </c>
      <c r="IC35" s="32" t="s">
        <v>34</v>
      </c>
      <c r="ID35" s="32" t="s">
        <v>34</v>
      </c>
      <c r="IE35" s="32" t="s">
        <v>34</v>
      </c>
      <c r="IF35" s="32" t="s">
        <v>34</v>
      </c>
      <c r="IG35" s="32" t="s">
        <v>34</v>
      </c>
      <c r="IH35" s="32" t="s">
        <v>34</v>
      </c>
      <c r="II35" s="32" t="s">
        <v>34</v>
      </c>
      <c r="IJ35" s="32" t="s">
        <v>34</v>
      </c>
      <c r="IK35" s="32" t="s">
        <v>34</v>
      </c>
      <c r="IL35" s="32" t="s">
        <v>34</v>
      </c>
      <c r="IM35" s="32" t="s">
        <v>34</v>
      </c>
      <c r="IN35" s="32" t="s">
        <v>34</v>
      </c>
      <c r="IO35" s="32" t="s">
        <v>34</v>
      </c>
      <c r="IP35" s="32" t="s">
        <v>34</v>
      </c>
      <c r="IQ35" s="8" t="s">
        <v>34</v>
      </c>
      <c r="IR35" s="32" t="s">
        <v>34</v>
      </c>
      <c r="IS35" s="32" t="s">
        <v>34</v>
      </c>
      <c r="IT35" s="32" t="s">
        <v>34</v>
      </c>
      <c r="IU35" s="32" t="s">
        <v>34</v>
      </c>
      <c r="IV35" s="32" t="s">
        <v>34</v>
      </c>
      <c r="IW35" s="32" t="s">
        <v>34</v>
      </c>
      <c r="IX35" s="32" t="s">
        <v>34</v>
      </c>
      <c r="IY35" s="32" t="s">
        <v>34</v>
      </c>
      <c r="IZ35" s="32" t="s">
        <v>34</v>
      </c>
      <c r="JA35" s="32" t="s">
        <v>34</v>
      </c>
      <c r="JB35" s="32" t="s">
        <v>34</v>
      </c>
      <c r="JC35" s="32" t="s">
        <v>34</v>
      </c>
      <c r="JD35" s="32" t="s">
        <v>34</v>
      </c>
      <c r="JE35" s="32" t="s">
        <v>34</v>
      </c>
      <c r="JF35" s="32" t="s">
        <v>34</v>
      </c>
      <c r="JG35" s="32" t="s">
        <v>34</v>
      </c>
      <c r="JH35" s="32" t="s">
        <v>34</v>
      </c>
      <c r="JI35" s="69"/>
      <c r="JJ35" s="32" t="s">
        <v>34</v>
      </c>
      <c r="JK35" s="32" t="s">
        <v>34</v>
      </c>
      <c r="JL35" s="32" t="s">
        <v>34</v>
      </c>
      <c r="JM35" s="32" t="s">
        <v>34</v>
      </c>
      <c r="JN35" s="32" t="s">
        <v>34</v>
      </c>
      <c r="JO35" s="32" t="s">
        <v>34</v>
      </c>
      <c r="JP35" s="32" t="s">
        <v>34</v>
      </c>
      <c r="JQ35" s="32" t="s">
        <v>34</v>
      </c>
      <c r="JR35" s="32" t="s">
        <v>34</v>
      </c>
      <c r="JS35" s="32" t="s">
        <v>34</v>
      </c>
      <c r="JT35" s="32" t="s">
        <v>34</v>
      </c>
      <c r="JU35" s="69"/>
      <c r="JV35" s="32">
        <v>1463.3877900000002</v>
      </c>
      <c r="JW35" s="32">
        <v>17.631178192771088</v>
      </c>
      <c r="JX35" s="32">
        <v>0.251</v>
      </c>
      <c r="JY35" s="32">
        <v>829.71809804761915</v>
      </c>
      <c r="JZ35" s="32">
        <v>9.9966035909351714</v>
      </c>
      <c r="KA35" s="32">
        <v>339.18121442063489</v>
      </c>
      <c r="KB35" s="32">
        <v>4.0865206556702995</v>
      </c>
      <c r="KC35" s="32">
        <v>584.44965623412702</v>
      </c>
      <c r="KD35" s="32">
        <v>7.041562123302735</v>
      </c>
      <c r="KE35" s="32">
        <v>0.377</v>
      </c>
      <c r="KF35" s="32">
        <v>0.08</v>
      </c>
      <c r="KG35" s="32">
        <v>29.010942721926845</v>
      </c>
      <c r="KH35" s="32">
        <v>70.840203588359415</v>
      </c>
      <c r="KI35" s="32">
        <v>71.755879999154075</v>
      </c>
      <c r="KJ35" s="32">
        <v>95.461862359590071</v>
      </c>
      <c r="KK35" s="32">
        <v>0.68257441038851285</v>
      </c>
      <c r="KL35" s="32">
        <v>2.1439241901363664</v>
      </c>
      <c r="KM35" s="69"/>
      <c r="KN35" s="32" t="s">
        <v>34</v>
      </c>
      <c r="KO35" s="32" t="s">
        <v>34</v>
      </c>
      <c r="KP35" s="32" t="s">
        <v>34</v>
      </c>
      <c r="KQ35" s="32" t="s">
        <v>34</v>
      </c>
      <c r="KR35" s="32" t="s">
        <v>34</v>
      </c>
      <c r="KS35" s="32" t="s">
        <v>34</v>
      </c>
      <c r="KT35" s="32" t="s">
        <v>34</v>
      </c>
      <c r="KU35" s="32" t="s">
        <v>34</v>
      </c>
      <c r="KV35" s="32" t="s">
        <v>34</v>
      </c>
      <c r="KW35" s="32" t="s">
        <v>34</v>
      </c>
      <c r="KX35" s="32" t="s">
        <v>34</v>
      </c>
      <c r="KY35" s="32" t="s">
        <v>34</v>
      </c>
      <c r="KZ35" s="32" t="s">
        <v>34</v>
      </c>
      <c r="LA35" s="32" t="s">
        <v>34</v>
      </c>
      <c r="LB35" s="32" t="s">
        <v>34</v>
      </c>
      <c r="LC35" s="32" t="s">
        <v>34</v>
      </c>
      <c r="LD35" s="32" t="s">
        <v>34</v>
      </c>
      <c r="LE35" s="32" t="s">
        <v>34</v>
      </c>
      <c r="LF35" s="32" t="s">
        <v>34</v>
      </c>
      <c r="LG35" s="32" t="s">
        <v>34</v>
      </c>
      <c r="LH35" s="69"/>
      <c r="LI35" s="32" t="s">
        <v>34</v>
      </c>
      <c r="LJ35" s="32" t="s">
        <v>34</v>
      </c>
      <c r="LK35" s="32" t="s">
        <v>34</v>
      </c>
      <c r="LL35" s="32" t="s">
        <v>34</v>
      </c>
      <c r="LM35" s="32" t="s">
        <v>34</v>
      </c>
      <c r="LN35" s="69"/>
      <c r="LO35" s="32">
        <v>2452.7713370000001</v>
      </c>
      <c r="LP35" s="32">
        <v>29.551461891566266</v>
      </c>
      <c r="LQ35" s="32">
        <v>1.7999999999999999E-2</v>
      </c>
      <c r="LR35" s="32">
        <v>2452.7713370000001</v>
      </c>
      <c r="LS35" s="32">
        <v>29.551461891566266</v>
      </c>
      <c r="LT35" s="32">
        <v>1.7999999999999999E-2</v>
      </c>
      <c r="LU35" s="32">
        <v>1431.2548209308511</v>
      </c>
      <c r="LV35" s="32">
        <v>17.244033987118687</v>
      </c>
      <c r="LW35" s="32">
        <v>124.59704515425534</v>
      </c>
      <c r="LX35" s="32">
        <v>1.501169218725968</v>
      </c>
      <c r="LY35" s="32">
        <v>777.9259330425532</v>
      </c>
      <c r="LZ35" s="32">
        <v>9.3726016029223285</v>
      </c>
      <c r="MA35" s="32">
        <v>282.06030192968751</v>
      </c>
      <c r="MB35" s="32">
        <v>3.3983168907191268</v>
      </c>
      <c r="MC35" s="32">
        <v>1276.5788783046876</v>
      </c>
      <c r="MD35" s="32">
        <v>15.380468413309488</v>
      </c>
      <c r="ME35" s="32">
        <v>0.11799999999999999</v>
      </c>
      <c r="MF35" s="32">
        <v>-211.32456930000001</v>
      </c>
      <c r="MG35" s="8">
        <v>-2.5460791481927711</v>
      </c>
      <c r="MH35" s="32">
        <v>1761.2301651999999</v>
      </c>
      <c r="MI35" s="32">
        <v>0.10605123634538155</v>
      </c>
      <c r="MJ35" s="32">
        <v>6.9000000000000006E-2</v>
      </c>
      <c r="MK35" s="32">
        <v>104622.20379800002</v>
      </c>
      <c r="ML35" s="32">
        <v>162419.46022899996</v>
      </c>
      <c r="MM35" s="32">
        <v>0.187</v>
      </c>
      <c r="MN35" s="32" t="s">
        <v>34</v>
      </c>
      <c r="MO35" s="32">
        <v>63.101604278074866</v>
      </c>
      <c r="MP35" s="32">
        <v>12.205573002814658</v>
      </c>
      <c r="MQ35" s="32">
        <v>7.1964104107853863</v>
      </c>
      <c r="MR35" s="32">
        <v>16.291090135910409</v>
      </c>
      <c r="MS35" s="32">
        <v>82.66566098001708</v>
      </c>
      <c r="MT35" s="32">
        <v>12.205573002814658</v>
      </c>
      <c r="MU35" s="32">
        <v>30.920118502401749</v>
      </c>
      <c r="MV35" s="32">
        <v>16.291090135910409</v>
      </c>
      <c r="MW35" s="32">
        <v>20.954037157976543</v>
      </c>
      <c r="MX35" s="32" t="s">
        <v>34</v>
      </c>
      <c r="MY35" s="32" t="s">
        <v>34</v>
      </c>
      <c r="MZ35" s="32" t="s">
        <v>34</v>
      </c>
      <c r="NA35" s="32" t="s">
        <v>34</v>
      </c>
      <c r="NB35" s="17" t="s">
        <v>34</v>
      </c>
      <c r="NC35" s="69"/>
      <c r="ND35" s="32" t="s">
        <v>34</v>
      </c>
      <c r="NE35" s="32" t="s">
        <v>34</v>
      </c>
      <c r="NF35" s="32" t="s">
        <v>34</v>
      </c>
      <c r="NG35" s="32" t="s">
        <v>34</v>
      </c>
      <c r="NH35" s="32" t="s">
        <v>34</v>
      </c>
      <c r="NI35" s="32" t="s">
        <v>34</v>
      </c>
      <c r="NJ35" s="32" t="s">
        <v>34</v>
      </c>
      <c r="NK35" s="32" t="s">
        <v>34</v>
      </c>
      <c r="NL35" s="32" t="s">
        <v>34</v>
      </c>
      <c r="NM35" s="32" t="s">
        <v>34</v>
      </c>
      <c r="NN35" s="32" t="s">
        <v>34</v>
      </c>
      <c r="NO35" s="32" t="s">
        <v>34</v>
      </c>
      <c r="NP35" s="32" t="s">
        <v>34</v>
      </c>
      <c r="NQ35" s="32" t="s">
        <v>34</v>
      </c>
      <c r="NR35" s="32" t="s">
        <v>34</v>
      </c>
      <c r="NS35" s="32" t="s">
        <v>34</v>
      </c>
      <c r="NT35" s="32" t="s">
        <v>34</v>
      </c>
      <c r="NU35" s="32" t="s">
        <v>34</v>
      </c>
      <c r="NV35" s="8" t="s">
        <v>34</v>
      </c>
      <c r="NW35" s="32" t="s">
        <v>34</v>
      </c>
      <c r="NX35" s="32" t="s">
        <v>34</v>
      </c>
      <c r="NY35" s="32" t="s">
        <v>34</v>
      </c>
      <c r="NZ35" s="32" t="s">
        <v>34</v>
      </c>
      <c r="OA35" s="32" t="s">
        <v>34</v>
      </c>
      <c r="OB35" s="32" t="s">
        <v>34</v>
      </c>
      <c r="OC35" s="32" t="s">
        <v>34</v>
      </c>
      <c r="OD35" s="32" t="s">
        <v>34</v>
      </c>
      <c r="OE35" s="32" t="s">
        <v>34</v>
      </c>
      <c r="OF35" s="32" t="s">
        <v>34</v>
      </c>
      <c r="OG35" s="32" t="s">
        <v>34</v>
      </c>
      <c r="OH35" s="32" t="s">
        <v>34</v>
      </c>
      <c r="OI35" s="32" t="s">
        <v>34</v>
      </c>
      <c r="OJ35" s="32" t="s">
        <v>34</v>
      </c>
      <c r="OK35" s="32" t="s">
        <v>34</v>
      </c>
      <c r="OL35" s="32" t="s">
        <v>34</v>
      </c>
      <c r="OM35" s="32" t="s">
        <v>34</v>
      </c>
      <c r="ON35" s="69"/>
      <c r="OO35" s="32" t="s">
        <v>34</v>
      </c>
      <c r="OP35" s="32" t="s">
        <v>34</v>
      </c>
      <c r="OQ35" s="32" t="s">
        <v>34</v>
      </c>
      <c r="OR35" s="32" t="s">
        <v>34</v>
      </c>
      <c r="OS35" s="32" t="s">
        <v>34</v>
      </c>
      <c r="OT35" s="32" t="s">
        <v>34</v>
      </c>
      <c r="OU35" s="32" t="s">
        <v>34</v>
      </c>
      <c r="OV35" s="32" t="s">
        <v>34</v>
      </c>
      <c r="OW35" s="32" t="s">
        <v>34</v>
      </c>
      <c r="OX35" s="32" t="s">
        <v>34</v>
      </c>
      <c r="OY35" s="32" t="s">
        <v>34</v>
      </c>
    </row>
    <row r="36" spans="1:415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9"/>
      <c r="K36" s="32">
        <v>1299.0402449999997</v>
      </c>
      <c r="L36" s="32">
        <v>16.870652532467528</v>
      </c>
      <c r="M36" s="32">
        <v>0.20799999999999999</v>
      </c>
      <c r="N36" s="32">
        <v>770.66407946000004</v>
      </c>
      <c r="O36" s="32">
        <v>10.008624408571428</v>
      </c>
      <c r="P36" s="32">
        <v>413.61989520666668</v>
      </c>
      <c r="Q36" s="32">
        <v>5.3716869507359313</v>
      </c>
      <c r="R36" s="32">
        <v>592.14198733333342</v>
      </c>
      <c r="S36" s="32">
        <v>7.6901556796536807</v>
      </c>
      <c r="T36" s="32">
        <v>0.29899999999999999</v>
      </c>
      <c r="U36" s="32">
        <v>7.3999999999999996E-2</v>
      </c>
      <c r="V36" s="32">
        <v>37.5855060617086</v>
      </c>
      <c r="W36" s="32">
        <v>62.414493938291393</v>
      </c>
      <c r="X36" s="32">
        <v>81.778744500837078</v>
      </c>
      <c r="Y36" s="32">
        <v>71.86691807050029</v>
      </c>
      <c r="Z36" s="32">
        <v>0.4225149952218874</v>
      </c>
      <c r="AA36" s="32">
        <v>3.0745423468764637</v>
      </c>
      <c r="AB36" s="69"/>
      <c r="AC36" s="32">
        <v>854.50931200000002</v>
      </c>
      <c r="AD36" s="32">
        <v>11.097523532467532</v>
      </c>
      <c r="AE36" s="32">
        <v>1.0999999999999999E-2</v>
      </c>
      <c r="AF36" s="32">
        <v>1572.8640539999999</v>
      </c>
      <c r="AG36" s="32">
        <v>20.426805896103893</v>
      </c>
      <c r="AH36" s="32">
        <v>0.109</v>
      </c>
      <c r="AI36" s="32">
        <v>1008.3191483645321</v>
      </c>
      <c r="AJ36" s="32">
        <v>13.095053874864053</v>
      </c>
      <c r="AK36" s="32">
        <v>351.27000787192117</v>
      </c>
      <c r="AL36" s="32">
        <v>4.5619481541807945</v>
      </c>
      <c r="AM36" s="32">
        <v>679.79457811822658</v>
      </c>
      <c r="AN36" s="32">
        <v>8.8285010145224234</v>
      </c>
      <c r="AO36" s="32">
        <v>0.20200000000000001</v>
      </c>
      <c r="AP36" s="32">
        <v>7.3999999999999996E-2</v>
      </c>
      <c r="AQ36" s="32">
        <v>29.722366194053048</v>
      </c>
      <c r="AR36" s="32">
        <v>70.277633805946934</v>
      </c>
      <c r="AS36" s="32">
        <v>83.333433001510798</v>
      </c>
      <c r="AT36" s="32">
        <v>93.964689222942397</v>
      </c>
      <c r="AU36" s="32">
        <v>0.29146182638298918</v>
      </c>
      <c r="AV36" s="32">
        <v>5.3964667466716945</v>
      </c>
      <c r="AW36" s="69"/>
      <c r="AX36" s="32">
        <v>26.71807864036511</v>
      </c>
      <c r="AY36" s="32">
        <v>19.069145799555088</v>
      </c>
      <c r="AZ36" s="32">
        <v>-62.460567823343837</v>
      </c>
      <c r="BA36" s="32">
        <v>-38.722554890219548</v>
      </c>
      <c r="BB36" s="32">
        <v>-23.36469599804488</v>
      </c>
      <c r="BC36" s="69"/>
      <c r="BD36" s="32">
        <v>1183.9310280000002</v>
      </c>
      <c r="BE36" s="32">
        <v>15.375727636363639</v>
      </c>
      <c r="BF36" s="32">
        <v>1.6E-2</v>
      </c>
      <c r="BG36" s="32">
        <v>2183.9724220000003</v>
      </c>
      <c r="BH36" s="32">
        <v>28.363278207792213</v>
      </c>
      <c r="BI36" s="32">
        <v>5.5E-2</v>
      </c>
      <c r="BJ36" s="32">
        <v>1360.3539671575343</v>
      </c>
      <c r="BK36" s="32">
        <v>17.666934638409536</v>
      </c>
      <c r="BL36" s="32">
        <v>103.83068701369864</v>
      </c>
      <c r="BM36" s="32">
        <v>1.3484504806973849</v>
      </c>
      <c r="BN36" s="32">
        <v>732.09232708561649</v>
      </c>
      <c r="BO36" s="32">
        <v>9.50769255955346</v>
      </c>
      <c r="BP36" s="32">
        <v>276.93570131578946</v>
      </c>
      <c r="BQ36" s="32">
        <v>3.5965675495557075</v>
      </c>
      <c r="BR36" s="32">
        <v>1211.965688031579</v>
      </c>
      <c r="BS36" s="32">
        <v>15.739814130280248</v>
      </c>
      <c r="BT36" s="32">
        <v>8.8999999999999996E-2</v>
      </c>
      <c r="BU36" s="32">
        <v>-218.61982982352939</v>
      </c>
      <c r="BV36" s="8">
        <v>-2.8392185691367451</v>
      </c>
      <c r="BW36" s="32">
        <v>1636.7635067058825</v>
      </c>
      <c r="BX36" s="32" t="s">
        <v>34</v>
      </c>
      <c r="BY36" s="32">
        <v>5.6000000000000001E-2</v>
      </c>
      <c r="BZ36" s="32">
        <v>82350.771529500009</v>
      </c>
      <c r="CA36" s="32">
        <v>114568.59735400001</v>
      </c>
      <c r="CB36" s="32">
        <v>0.14499999999999999</v>
      </c>
      <c r="CC36" s="32" t="s">
        <v>34</v>
      </c>
      <c r="CD36" s="32">
        <v>61.379310344827587</v>
      </c>
      <c r="CE36" s="32">
        <v>13.54911588850749</v>
      </c>
      <c r="CF36" s="32">
        <v>6.4349789873477494</v>
      </c>
      <c r="CG36" s="32">
        <v>17.163282552280563</v>
      </c>
      <c r="CH36" s="32">
        <v>84.308882525827528</v>
      </c>
      <c r="CI36" s="32">
        <v>13.54911588850749</v>
      </c>
      <c r="CJ36" s="32">
        <v>31.957013489120161</v>
      </c>
      <c r="CK36" s="32">
        <v>17.163282552280563</v>
      </c>
      <c r="CL36" s="32">
        <v>23.17698955516823</v>
      </c>
      <c r="CM36" s="32" t="s">
        <v>34</v>
      </c>
      <c r="CN36" s="32" t="s">
        <v>34</v>
      </c>
      <c r="CO36" s="32" t="s">
        <v>34</v>
      </c>
      <c r="CP36" s="32" t="s">
        <v>34</v>
      </c>
      <c r="CQ36" s="17" t="s">
        <v>34</v>
      </c>
      <c r="CR36" s="69"/>
      <c r="CS36" s="32" t="s">
        <v>34</v>
      </c>
      <c r="CT36" s="32" t="s">
        <v>34</v>
      </c>
      <c r="CU36" s="32" t="s">
        <v>34</v>
      </c>
      <c r="CV36" s="32" t="s">
        <v>34</v>
      </c>
      <c r="CW36" s="32" t="s">
        <v>34</v>
      </c>
      <c r="CX36" s="32" t="s">
        <v>34</v>
      </c>
      <c r="CY36" s="32" t="s">
        <v>34</v>
      </c>
      <c r="CZ36" s="32" t="s">
        <v>34</v>
      </c>
      <c r="DA36" s="32" t="s">
        <v>34</v>
      </c>
      <c r="DB36" s="32" t="s">
        <v>34</v>
      </c>
      <c r="DC36" s="32" t="s">
        <v>34</v>
      </c>
      <c r="DD36" s="32" t="s">
        <v>34</v>
      </c>
      <c r="DE36" s="32" t="s">
        <v>34</v>
      </c>
      <c r="DF36" s="32" t="s">
        <v>34</v>
      </c>
      <c r="DG36" s="32" t="s">
        <v>34</v>
      </c>
      <c r="DH36" s="32" t="s">
        <v>34</v>
      </c>
      <c r="DI36" s="32" t="s">
        <v>34</v>
      </c>
      <c r="DJ36" s="32" t="s">
        <v>34</v>
      </c>
      <c r="DK36" s="8" t="s">
        <v>34</v>
      </c>
      <c r="DL36" s="32" t="s">
        <v>34</v>
      </c>
      <c r="DM36" s="32" t="s">
        <v>34</v>
      </c>
      <c r="DN36" s="32" t="s">
        <v>34</v>
      </c>
      <c r="DO36" s="32" t="s">
        <v>34</v>
      </c>
      <c r="DP36" s="32" t="s">
        <v>34</v>
      </c>
      <c r="DQ36" s="32" t="s">
        <v>34</v>
      </c>
      <c r="DR36" s="32" t="s">
        <v>34</v>
      </c>
      <c r="DS36" s="32" t="s">
        <v>34</v>
      </c>
      <c r="DT36" s="32" t="s">
        <v>34</v>
      </c>
      <c r="DU36" s="32" t="s">
        <v>34</v>
      </c>
      <c r="DV36" s="32" t="s">
        <v>34</v>
      </c>
      <c r="DW36" s="32" t="s">
        <v>34</v>
      </c>
      <c r="DX36" s="32" t="s">
        <v>34</v>
      </c>
      <c r="DY36" s="32" t="s">
        <v>34</v>
      </c>
      <c r="DZ36" s="32" t="s">
        <v>34</v>
      </c>
      <c r="EA36" s="32" t="s">
        <v>34</v>
      </c>
      <c r="EB36" s="32" t="s">
        <v>34</v>
      </c>
      <c r="EC36" s="69"/>
      <c r="ED36" s="32" t="s">
        <v>34</v>
      </c>
      <c r="EE36" s="32" t="s">
        <v>34</v>
      </c>
      <c r="EF36" s="32" t="s">
        <v>34</v>
      </c>
      <c r="EG36" s="32" t="s">
        <v>34</v>
      </c>
      <c r="EH36" s="32" t="s">
        <v>34</v>
      </c>
      <c r="EI36" s="32" t="s">
        <v>34</v>
      </c>
      <c r="EJ36" s="32" t="s">
        <v>34</v>
      </c>
      <c r="EK36" s="32" t="s">
        <v>34</v>
      </c>
      <c r="EL36" s="32" t="s">
        <v>34</v>
      </c>
      <c r="EM36" s="32" t="s">
        <v>34</v>
      </c>
      <c r="EN36" s="32" t="s">
        <v>34</v>
      </c>
      <c r="EO36" s="69"/>
      <c r="EP36" s="32">
        <v>1307.6783749999997</v>
      </c>
      <c r="EQ36" s="32">
        <v>16.982836038961036</v>
      </c>
      <c r="ER36" s="32">
        <v>0.27600000000000002</v>
      </c>
      <c r="ES36" s="32">
        <v>697.4134846300268</v>
      </c>
      <c r="ET36" s="32">
        <v>9.05731798220814</v>
      </c>
      <c r="EU36" s="32">
        <v>315.99487518230563</v>
      </c>
      <c r="EV36" s="32">
        <v>4.1038295478221514</v>
      </c>
      <c r="EW36" s="32">
        <v>506.70417990616625</v>
      </c>
      <c r="EX36" s="32">
        <v>6.5805737650151457</v>
      </c>
      <c r="EY36" s="32">
        <v>0.372</v>
      </c>
      <c r="EZ36" s="32">
        <v>8.6999999999999994E-2</v>
      </c>
      <c r="FA36" s="32">
        <v>31.496711077762676</v>
      </c>
      <c r="FB36" s="32">
        <v>67.557860702349572</v>
      </c>
      <c r="FC36" s="32">
        <v>68.800009108864685</v>
      </c>
      <c r="FD36" s="32">
        <v>97.626415155884246</v>
      </c>
      <c r="FE36" s="32">
        <v>0.53159417889936944</v>
      </c>
      <c r="FF36" s="32">
        <v>2.4599185373087815</v>
      </c>
      <c r="FG36" s="69"/>
      <c r="FH36" s="32">
        <v>748.27269200000012</v>
      </c>
      <c r="FI36" s="32">
        <v>9.717827168831171</v>
      </c>
      <c r="FJ36" s="32">
        <v>1.2E-2</v>
      </c>
      <c r="FK36" s="32">
        <v>1680.3268880000001</v>
      </c>
      <c r="FL36" s="32">
        <v>21.822427116883116</v>
      </c>
      <c r="FM36" s="32">
        <v>9.5000000000000001E-2</v>
      </c>
      <c r="FN36" s="32">
        <v>1038.9340839289343</v>
      </c>
      <c r="FO36" s="32">
        <v>13.492650440635511</v>
      </c>
      <c r="FP36" s="32">
        <v>341.40649628934011</v>
      </c>
      <c r="FQ36" s="32">
        <v>4.4338506011602608</v>
      </c>
      <c r="FR36" s="32">
        <v>690.17029010913723</v>
      </c>
      <c r="FS36" s="32">
        <v>8.9632505208978852</v>
      </c>
      <c r="FT36" s="32">
        <v>0.19600000000000001</v>
      </c>
      <c r="FU36" s="32">
        <v>8.6999999999999994E-2</v>
      </c>
      <c r="FV36" s="32">
        <v>28.187848651953281</v>
      </c>
      <c r="FW36" s="32">
        <v>71.812151348046726</v>
      </c>
      <c r="FX36" s="32">
        <v>91.929833572942982</v>
      </c>
      <c r="FY36" s="32">
        <v>99.835225069299</v>
      </c>
      <c r="FZ36" s="32">
        <v>0.28608367462067474</v>
      </c>
      <c r="GA36" s="32">
        <v>5.8735504227145645</v>
      </c>
      <c r="GB36" s="69"/>
      <c r="GC36" s="32">
        <v>39.337815248861055</v>
      </c>
      <c r="GD36" s="32">
        <v>24.942962290893416</v>
      </c>
      <c r="GE36" s="32">
        <v>-97.574123989218336</v>
      </c>
      <c r="GF36" s="32">
        <v>-61.971830985915489</v>
      </c>
      <c r="GG36" s="32">
        <v>-11.087833908111971</v>
      </c>
      <c r="GH36" s="69"/>
      <c r="GI36" s="32">
        <v>819.2714380000001</v>
      </c>
      <c r="GJ36" s="32">
        <v>10.639888805194806</v>
      </c>
      <c r="GK36" s="32">
        <v>6.0000000000000001E-3</v>
      </c>
      <c r="GL36" s="32">
        <v>2207.0555590000004</v>
      </c>
      <c r="GM36" s="32">
        <v>28.663059207792212</v>
      </c>
      <c r="GN36" s="32">
        <v>3.5000000000000003E-2</v>
      </c>
      <c r="GO36" s="32">
        <v>1364.3519923051945</v>
      </c>
      <c r="GP36" s="32">
        <v>17.718857042924604</v>
      </c>
      <c r="GQ36" s="32">
        <v>90.523131396103906</v>
      </c>
      <c r="GR36" s="32">
        <v>1.1756250830662844</v>
      </c>
      <c r="GS36" s="32">
        <v>727.43756185064922</v>
      </c>
      <c r="GT36" s="32">
        <v>9.4472410629954435</v>
      </c>
      <c r="GU36" s="32">
        <v>262.58902660204086</v>
      </c>
      <c r="GV36" s="32">
        <v>3.4102470987278033</v>
      </c>
      <c r="GW36" s="32">
        <v>1205.6429035102044</v>
      </c>
      <c r="GX36" s="32">
        <v>15.65770004558707</v>
      </c>
      <c r="GY36" s="32">
        <v>9.1999999999999998E-2</v>
      </c>
      <c r="GZ36" s="32">
        <v>-210.59218521428573</v>
      </c>
      <c r="HA36" s="8">
        <v>-2.7349634443413731</v>
      </c>
      <c r="HB36" s="32">
        <v>1642.0928976964285</v>
      </c>
      <c r="HC36" s="32">
        <v>-0.11012608418367355</v>
      </c>
      <c r="HD36" s="32">
        <v>6.0999999999999999E-2</v>
      </c>
      <c r="HE36" s="32">
        <v>90846.515115999995</v>
      </c>
      <c r="HF36" s="32">
        <v>117612.20064349999</v>
      </c>
      <c r="HG36" s="32">
        <v>0.153</v>
      </c>
      <c r="HH36" s="32" t="s">
        <v>34</v>
      </c>
      <c r="HI36" s="32">
        <v>60.130718954248366</v>
      </c>
      <c r="HJ36" s="32">
        <v>13.051963149325491</v>
      </c>
      <c r="HK36" s="32">
        <v>5.6103913539871879</v>
      </c>
      <c r="HL36" s="32">
        <v>16.274593927308722</v>
      </c>
      <c r="HM36" s="32">
        <v>84.559034838621514</v>
      </c>
      <c r="HN36" s="32">
        <v>13.051963149325491</v>
      </c>
      <c r="HO36" s="32">
        <v>30.345094725553906</v>
      </c>
      <c r="HP36" s="32">
        <v>16.274593927308722</v>
      </c>
      <c r="HQ36" s="32">
        <v>21.618392849050231</v>
      </c>
      <c r="HR36" s="32">
        <v>60.130718954248366</v>
      </c>
      <c r="HS36" s="32" t="s">
        <v>34</v>
      </c>
      <c r="HT36" s="32" t="s">
        <v>34</v>
      </c>
      <c r="HU36" s="32" t="s">
        <v>34</v>
      </c>
      <c r="HV36" s="32" t="s">
        <v>34</v>
      </c>
      <c r="HW36" s="17" t="s">
        <v>34</v>
      </c>
      <c r="HX36" s="69"/>
      <c r="HY36" s="32" t="s">
        <v>34</v>
      </c>
      <c r="HZ36" s="32" t="s">
        <v>34</v>
      </c>
      <c r="IA36" s="32" t="s">
        <v>34</v>
      </c>
      <c r="IB36" s="32" t="s">
        <v>34</v>
      </c>
      <c r="IC36" s="32" t="s">
        <v>34</v>
      </c>
      <c r="ID36" s="32" t="s">
        <v>34</v>
      </c>
      <c r="IE36" s="32" t="s">
        <v>34</v>
      </c>
      <c r="IF36" s="32" t="s">
        <v>34</v>
      </c>
      <c r="IG36" s="32" t="s">
        <v>34</v>
      </c>
      <c r="IH36" s="32" t="s">
        <v>34</v>
      </c>
      <c r="II36" s="32" t="s">
        <v>34</v>
      </c>
      <c r="IJ36" s="32" t="s">
        <v>34</v>
      </c>
      <c r="IK36" s="32" t="s">
        <v>34</v>
      </c>
      <c r="IL36" s="32" t="s">
        <v>34</v>
      </c>
      <c r="IM36" s="32" t="s">
        <v>34</v>
      </c>
      <c r="IN36" s="32" t="s">
        <v>34</v>
      </c>
      <c r="IO36" s="32" t="s">
        <v>34</v>
      </c>
      <c r="IP36" s="32" t="s">
        <v>34</v>
      </c>
      <c r="IQ36" s="8" t="s">
        <v>34</v>
      </c>
      <c r="IR36" s="32" t="s">
        <v>34</v>
      </c>
      <c r="IS36" s="32" t="s">
        <v>34</v>
      </c>
      <c r="IT36" s="32" t="s">
        <v>34</v>
      </c>
      <c r="IU36" s="32" t="s">
        <v>34</v>
      </c>
      <c r="IV36" s="32" t="s">
        <v>34</v>
      </c>
      <c r="IW36" s="32" t="s">
        <v>34</v>
      </c>
      <c r="IX36" s="32" t="s">
        <v>34</v>
      </c>
      <c r="IY36" s="32" t="s">
        <v>34</v>
      </c>
      <c r="IZ36" s="32" t="s">
        <v>34</v>
      </c>
      <c r="JA36" s="32" t="s">
        <v>34</v>
      </c>
      <c r="JB36" s="32" t="s">
        <v>34</v>
      </c>
      <c r="JC36" s="32" t="s">
        <v>34</v>
      </c>
      <c r="JD36" s="32" t="s">
        <v>34</v>
      </c>
      <c r="JE36" s="32" t="s">
        <v>34</v>
      </c>
      <c r="JF36" s="32" t="s">
        <v>34</v>
      </c>
      <c r="JG36" s="32" t="s">
        <v>34</v>
      </c>
      <c r="JH36" s="32" t="s">
        <v>34</v>
      </c>
      <c r="JI36" s="69"/>
      <c r="JJ36" s="32" t="s">
        <v>34</v>
      </c>
      <c r="JK36" s="32" t="s">
        <v>34</v>
      </c>
      <c r="JL36" s="32" t="s">
        <v>34</v>
      </c>
      <c r="JM36" s="32" t="s">
        <v>34</v>
      </c>
      <c r="JN36" s="32" t="s">
        <v>34</v>
      </c>
      <c r="JO36" s="32" t="s">
        <v>34</v>
      </c>
      <c r="JP36" s="32" t="s">
        <v>34</v>
      </c>
      <c r="JQ36" s="32" t="s">
        <v>34</v>
      </c>
      <c r="JR36" s="32" t="s">
        <v>34</v>
      </c>
      <c r="JS36" s="32" t="s">
        <v>34</v>
      </c>
      <c r="JT36" s="32" t="s">
        <v>34</v>
      </c>
      <c r="JU36" s="69"/>
      <c r="JV36" s="32">
        <v>1307.0832650000002</v>
      </c>
      <c r="JW36" s="32">
        <v>16.97510733766234</v>
      </c>
      <c r="JX36" s="32">
        <v>0.28899999999999998</v>
      </c>
      <c r="JY36" s="32">
        <v>678.017575619171</v>
      </c>
      <c r="JZ36" s="32">
        <v>8.8054230599892342</v>
      </c>
      <c r="KA36" s="32">
        <v>299.61036545595857</v>
      </c>
      <c r="KB36" s="32">
        <v>3.8910437072202413</v>
      </c>
      <c r="KC36" s="32">
        <v>488.81397053756478</v>
      </c>
      <c r="KD36" s="32">
        <v>6.3482333836047378</v>
      </c>
      <c r="KE36" s="32">
        <v>0.38500000000000001</v>
      </c>
      <c r="KF36" s="32">
        <v>9.1999999999999998E-2</v>
      </c>
      <c r="KG36" s="32">
        <v>33.330394214203906</v>
      </c>
      <c r="KH36" s="32">
        <v>66.66960578579608</v>
      </c>
      <c r="KI36" s="32">
        <v>88.222699267835637</v>
      </c>
      <c r="KJ36" s="32">
        <v>72.624036963688226</v>
      </c>
      <c r="KK36" s="32">
        <v>0.54305045046936851</v>
      </c>
      <c r="KL36" s="32">
        <v>2.4069278717479454</v>
      </c>
      <c r="KM36" s="69"/>
      <c r="KN36" s="32">
        <v>576.754098</v>
      </c>
      <c r="KO36" s="32">
        <v>7.4903129610389607</v>
      </c>
      <c r="KP36" s="32">
        <v>1.2999999999999999E-2</v>
      </c>
      <c r="KQ36" s="32">
        <v>1689.7585159999999</v>
      </c>
      <c r="KR36" s="32">
        <v>21.944915792207791</v>
      </c>
      <c r="KS36" s="32">
        <v>9.2999999999999999E-2</v>
      </c>
      <c r="KT36" s="32">
        <v>991.08286794416222</v>
      </c>
      <c r="KU36" s="32">
        <v>12.871206077196913</v>
      </c>
      <c r="KV36" s="32">
        <v>351.6251091370558</v>
      </c>
      <c r="KW36" s="32">
        <v>4.5665598589228029</v>
      </c>
      <c r="KX36" s="32">
        <v>671.35398854060895</v>
      </c>
      <c r="KY36" s="32">
        <v>8.718882968059857</v>
      </c>
      <c r="KZ36" s="32">
        <v>0.19600000000000001</v>
      </c>
      <c r="LA36" s="32">
        <v>9.1999999999999998E-2</v>
      </c>
      <c r="LB36" s="32">
        <v>30.111279549995384</v>
      </c>
      <c r="LC36" s="32">
        <v>69.888720450004612</v>
      </c>
      <c r="LD36" s="32">
        <v>74.107115891621589</v>
      </c>
      <c r="LE36" s="32">
        <v>98.174496448524621</v>
      </c>
      <c r="LF36" s="32">
        <v>0.27596711734008539</v>
      </c>
      <c r="LG36" s="32">
        <v>6.1230429635485972</v>
      </c>
      <c r="LH36" s="69"/>
      <c r="LI36" s="32">
        <v>37.513056033540273</v>
      </c>
      <c r="LJ36" s="32">
        <v>25.538568864473504</v>
      </c>
      <c r="LK36" s="32">
        <v>-102.61780104712042</v>
      </c>
      <c r="LL36" s="32">
        <v>-65.060240963855435</v>
      </c>
      <c r="LM36" s="32">
        <v>-10.148265243358374</v>
      </c>
      <c r="LN36" s="69"/>
      <c r="LO36" s="32">
        <v>504.61926699999992</v>
      </c>
      <c r="LP36" s="32">
        <v>6.5534969740259728</v>
      </c>
      <c r="LQ36" s="32">
        <v>1.4E-2</v>
      </c>
      <c r="LR36" s="32">
        <v>1231.107205</v>
      </c>
      <c r="LS36" s="32">
        <v>15.98840525974026</v>
      </c>
      <c r="LT36" s="32">
        <v>8.1000000000000003E-2</v>
      </c>
      <c r="LU36" s="32">
        <v>741.77233178395056</v>
      </c>
      <c r="LV36" s="32">
        <v>9.6334069062850727</v>
      </c>
      <c r="LW36" s="32">
        <v>-67.534570604938295</v>
      </c>
      <c r="LX36" s="32">
        <v>-0.87707234551867863</v>
      </c>
      <c r="LY36" s="32">
        <v>337.11888058950615</v>
      </c>
      <c r="LZ36" s="32">
        <v>4.378167280383197</v>
      </c>
      <c r="MA36" s="32">
        <v>154.83742872881359</v>
      </c>
      <c r="MB36" s="32">
        <v>2.0108756977767999</v>
      </c>
      <c r="MC36" s="32">
        <v>519.96197116949145</v>
      </c>
      <c r="MD36" s="32">
        <v>6.7527528723310581</v>
      </c>
      <c r="ME36" s="32">
        <v>5.8999999999999997E-2</v>
      </c>
      <c r="MF36" s="32">
        <v>-194.91270614563106</v>
      </c>
      <c r="MG36" s="8">
        <v>-2.5313338460471568</v>
      </c>
      <c r="MH36" s="32">
        <v>868.82875194174756</v>
      </c>
      <c r="MI36" s="32">
        <v>-8.0338787668642039E-2</v>
      </c>
      <c r="MJ36" s="32">
        <v>0.10199999999999999</v>
      </c>
      <c r="MK36" s="32">
        <v>88932.7690305</v>
      </c>
      <c r="ML36" s="32">
        <v>30136.068780999998</v>
      </c>
      <c r="MM36" s="32">
        <v>0.161</v>
      </c>
      <c r="MN36" s="32">
        <v>0.13</v>
      </c>
      <c r="MO36" s="32">
        <v>36.645962732919251</v>
      </c>
      <c r="MP36" s="32">
        <v>21.489521918860678</v>
      </c>
      <c r="MQ36" s="32">
        <v>7.4458236407190501</v>
      </c>
      <c r="MR36" s="32">
        <v>17.071141149934981</v>
      </c>
      <c r="MS36" s="32">
        <v>81.781906874586269</v>
      </c>
      <c r="MT36" s="32">
        <v>21.489521918860678</v>
      </c>
      <c r="MU36" s="32">
        <v>30.179694121258198</v>
      </c>
      <c r="MV36" s="32">
        <v>17.071141149934981</v>
      </c>
      <c r="MW36" s="32">
        <v>21.162886703433504</v>
      </c>
      <c r="MX36" s="32" t="s">
        <v>34</v>
      </c>
      <c r="MY36" s="32" t="s">
        <v>34</v>
      </c>
      <c r="MZ36" s="32" t="s">
        <v>34</v>
      </c>
      <c r="NA36" s="32" t="s">
        <v>34</v>
      </c>
      <c r="NB36" s="17" t="s">
        <v>34</v>
      </c>
      <c r="NC36" s="69"/>
      <c r="ND36" s="32">
        <v>783.56464600000004</v>
      </c>
      <c r="NE36" s="32">
        <v>10.176164233766235</v>
      </c>
      <c r="NF36" s="32">
        <v>7.0000000000000001E-3</v>
      </c>
      <c r="NG36" s="32">
        <v>2260.6877789999999</v>
      </c>
      <c r="NH36" s="32">
        <v>29.359581545454542</v>
      </c>
      <c r="NI36" s="32">
        <v>3.4000000000000002E-2</v>
      </c>
      <c r="NJ36" s="32">
        <v>1332.8434994746838</v>
      </c>
      <c r="NK36" s="32">
        <v>17.309655837333555</v>
      </c>
      <c r="NL36" s="32">
        <v>80.823889740506317</v>
      </c>
      <c r="NM36" s="32">
        <v>1.0496609057208612</v>
      </c>
      <c r="NN36" s="32">
        <v>706.83369460759502</v>
      </c>
      <c r="NO36" s="32">
        <v>9.1796583715272089</v>
      </c>
      <c r="NP36" s="32">
        <v>250.84511069999999</v>
      </c>
      <c r="NQ36" s="32">
        <v>3.2577287103896104</v>
      </c>
      <c r="NR36" s="32">
        <v>1128.1802036699999</v>
      </c>
      <c r="NS36" s="32">
        <v>14.651690956753244</v>
      </c>
      <c r="NT36" s="32">
        <v>9.1999999999999998E-2</v>
      </c>
      <c r="NU36" s="32">
        <v>-212.31614639655172</v>
      </c>
      <c r="NV36" s="8">
        <v>-2.7573525506045677</v>
      </c>
      <c r="NW36" s="32">
        <v>1685.7112508620689</v>
      </c>
      <c r="NX36" s="32">
        <v>0.1650976802507837</v>
      </c>
      <c r="NY36" s="32">
        <v>6.3E-2</v>
      </c>
      <c r="NZ36" s="32">
        <v>96641.269339999999</v>
      </c>
      <c r="OA36" s="32">
        <v>112823.99854249999</v>
      </c>
      <c r="OB36" s="32">
        <v>0.157</v>
      </c>
      <c r="OC36" s="32">
        <v>0.13</v>
      </c>
      <c r="OD36" s="32">
        <v>58.598726114649679</v>
      </c>
      <c r="OE36" s="32">
        <v>5.1495106113895037</v>
      </c>
      <c r="OF36" s="32">
        <v>13.527241170260476</v>
      </c>
      <c r="OG36" s="32">
        <v>15.982026644746494</v>
      </c>
      <c r="OH36" s="32">
        <v>84.919097137026853</v>
      </c>
      <c r="OI36" s="32">
        <v>5.1495106113895037</v>
      </c>
      <c r="OJ36" s="32">
        <v>13.527241170260476</v>
      </c>
      <c r="OK36" s="32">
        <v>15.982026644746494</v>
      </c>
      <c r="OL36" s="32">
        <v>0.2528399701003039</v>
      </c>
      <c r="OM36" s="32">
        <v>8.9411803762797657</v>
      </c>
      <c r="ON36" s="69"/>
      <c r="OO36" s="32">
        <v>56.981264558473967</v>
      </c>
      <c r="OP36" s="32">
        <v>8.5472530456902831</v>
      </c>
      <c r="OQ36" s="32">
        <v>47.331434133873138</v>
      </c>
      <c r="OR36" s="32">
        <v>58.971421788376098</v>
      </c>
      <c r="OS36" s="32">
        <v>-81.739130434782609</v>
      </c>
      <c r="OT36" s="32">
        <v>43.308315867782483</v>
      </c>
      <c r="OU36" s="32">
        <v>-2.5157232704402537</v>
      </c>
      <c r="OV36" s="32">
        <v>148.2295298383778</v>
      </c>
      <c r="OW36" s="32">
        <v>1097.0049894100032</v>
      </c>
      <c r="OX36" s="32">
        <v>-45.476966150956919</v>
      </c>
      <c r="OY36" s="32">
        <v>-6.5900764002640289</v>
      </c>
    </row>
    <row r="37" spans="1:415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9"/>
      <c r="K37" s="32">
        <v>1204.2009409999998</v>
      </c>
      <c r="L37" s="32">
        <v>16.495903301369861</v>
      </c>
      <c r="M37" s="32">
        <v>0.309</v>
      </c>
      <c r="N37" s="32">
        <v>531.17001587681148</v>
      </c>
      <c r="O37" s="32">
        <v>7.2763015873535819</v>
      </c>
      <c r="P37" s="32">
        <v>272.91383768115941</v>
      </c>
      <c r="Q37" s="32">
        <v>3.738545721659718</v>
      </c>
      <c r="R37" s="32">
        <v>402.04192677898544</v>
      </c>
      <c r="S37" s="32">
        <v>5.5074236545066499</v>
      </c>
      <c r="T37" s="32">
        <v>0.41299999999999998</v>
      </c>
      <c r="U37" s="32">
        <v>2.3E-2</v>
      </c>
      <c r="V37" s="32">
        <v>35.31365863605722</v>
      </c>
      <c r="W37" s="32">
        <v>64.686341363942773</v>
      </c>
      <c r="X37" s="32">
        <v>73.030300331550862</v>
      </c>
      <c r="Y37" s="32">
        <v>69.25964185502005</v>
      </c>
      <c r="Z37" s="32">
        <v>0.49015579371247858</v>
      </c>
      <c r="AA37" s="32">
        <v>2.4567718191787291</v>
      </c>
      <c r="AB37" s="69"/>
      <c r="AC37" s="32">
        <v>742.77240399999994</v>
      </c>
      <c r="AD37" s="32">
        <v>10.174964438356163</v>
      </c>
      <c r="AE37" s="32">
        <v>5.8000000000000003E-2</v>
      </c>
      <c r="AF37" s="32">
        <v>1295.631916</v>
      </c>
      <c r="AG37" s="32">
        <v>17.748382410958904</v>
      </c>
      <c r="AH37" s="32">
        <v>0.13700000000000001</v>
      </c>
      <c r="AI37" s="32">
        <v>766.78322219087124</v>
      </c>
      <c r="AJ37" s="32">
        <v>10.503879756039332</v>
      </c>
      <c r="AK37" s="32">
        <v>288.72440031535268</v>
      </c>
      <c r="AL37" s="32">
        <v>3.9551287714431873</v>
      </c>
      <c r="AM37" s="32">
        <v>527.75381125311196</v>
      </c>
      <c r="AN37" s="32">
        <v>7.2295042637412594</v>
      </c>
      <c r="AO37" s="32">
        <v>0.24</v>
      </c>
      <c r="AP37" s="32">
        <v>2.3E-2</v>
      </c>
      <c r="AQ37" s="32">
        <v>28.448740352786267</v>
      </c>
      <c r="AR37" s="32">
        <v>71.551259647213755</v>
      </c>
      <c r="AS37" s="32">
        <v>96.470629680164365</v>
      </c>
      <c r="AT37" s="32">
        <v>97.645177008132393</v>
      </c>
      <c r="AU37" s="32">
        <v>0.30129227879966958</v>
      </c>
      <c r="AV37" s="32">
        <v>4.3002493165829545</v>
      </c>
      <c r="AW37" s="69"/>
      <c r="AX37" s="32">
        <v>36.305345894406329</v>
      </c>
      <c r="AY37" s="32">
        <v>7.3149670582156228</v>
      </c>
      <c r="AZ37" s="32">
        <v>-77.130044843049319</v>
      </c>
      <c r="BA37" s="32">
        <v>-52.986217457886674</v>
      </c>
      <c r="BB37" s="32">
        <v>-21.532810534534963</v>
      </c>
      <c r="BC37" s="69"/>
      <c r="BD37" s="32">
        <v>1143.4273379999997</v>
      </c>
      <c r="BE37" s="32">
        <v>15.663388191780818</v>
      </c>
      <c r="BF37" s="32">
        <v>1.7000000000000001E-2</v>
      </c>
      <c r="BG37" s="32">
        <v>1743.4990400000002</v>
      </c>
      <c r="BH37" s="32">
        <v>23.883548493150688</v>
      </c>
      <c r="BI37" s="32">
        <v>7.2999999999999995E-2</v>
      </c>
      <c r="BJ37" s="32">
        <v>1161.6444731052629</v>
      </c>
      <c r="BK37" s="32">
        <v>15.912937987743328</v>
      </c>
      <c r="BL37" s="32">
        <v>141.68172011184208</v>
      </c>
      <c r="BM37" s="32">
        <v>1.9408454809841382</v>
      </c>
      <c r="BN37" s="32">
        <v>651.66309660855245</v>
      </c>
      <c r="BO37" s="32">
        <v>8.926891734363732</v>
      </c>
      <c r="BP37" s="32">
        <v>267.64642173451324</v>
      </c>
      <c r="BQ37" s="32">
        <v>3.6663893388289486</v>
      </c>
      <c r="BR37" s="32">
        <v>1164.6086544690265</v>
      </c>
      <c r="BS37" s="32">
        <v>15.953543211904472</v>
      </c>
      <c r="BT37" s="32">
        <v>0.10199999999999999</v>
      </c>
      <c r="BU37" s="32">
        <v>-223.29292817948712</v>
      </c>
      <c r="BV37" s="8">
        <v>-3.0588072353354399</v>
      </c>
      <c r="BW37" s="32">
        <v>1153.0559476153844</v>
      </c>
      <c r="BX37" s="32" t="s">
        <v>34</v>
      </c>
      <c r="BY37" s="32">
        <v>4.9000000000000002E-2</v>
      </c>
      <c r="BZ37" s="32">
        <v>44121.606628000009</v>
      </c>
      <c r="CA37" s="32">
        <v>131034.961324</v>
      </c>
      <c r="CB37" s="32">
        <v>0.151</v>
      </c>
      <c r="CC37" s="32" t="s">
        <v>34</v>
      </c>
      <c r="CD37" s="32">
        <v>67.549668874172184</v>
      </c>
      <c r="CE37" s="32">
        <v>15.937078420082305</v>
      </c>
      <c r="CF37" s="32">
        <v>10.112244496608341</v>
      </c>
      <c r="CG37" s="32">
        <v>19.102718777590066</v>
      </c>
      <c r="CH37" s="32">
        <v>82.910010697931682</v>
      </c>
      <c r="CI37" s="32">
        <v>15.937078420082305</v>
      </c>
      <c r="CJ37" s="32">
        <v>35.653204446008566</v>
      </c>
      <c r="CK37" s="32">
        <v>19.102718777590066</v>
      </c>
      <c r="CL37" s="32">
        <v>24.354508671862202</v>
      </c>
      <c r="CM37" s="32" t="s">
        <v>34</v>
      </c>
      <c r="CN37" s="32" t="s">
        <v>34</v>
      </c>
      <c r="CO37" s="32" t="s">
        <v>34</v>
      </c>
      <c r="CP37" s="32" t="s">
        <v>34</v>
      </c>
      <c r="CQ37" s="17" t="s">
        <v>34</v>
      </c>
      <c r="CR37" s="69"/>
      <c r="CS37" s="32" t="s">
        <v>34</v>
      </c>
      <c r="CT37" s="32" t="s">
        <v>34</v>
      </c>
      <c r="CU37" s="32" t="s">
        <v>34</v>
      </c>
      <c r="CV37" s="32" t="s">
        <v>34</v>
      </c>
      <c r="CW37" s="32" t="s">
        <v>34</v>
      </c>
      <c r="CX37" s="32" t="s">
        <v>34</v>
      </c>
      <c r="CY37" s="32" t="s">
        <v>34</v>
      </c>
      <c r="CZ37" s="32" t="s">
        <v>34</v>
      </c>
      <c r="DA37" s="32" t="s">
        <v>34</v>
      </c>
      <c r="DB37" s="32" t="s">
        <v>34</v>
      </c>
      <c r="DC37" s="32" t="s">
        <v>34</v>
      </c>
      <c r="DD37" s="32" t="s">
        <v>34</v>
      </c>
      <c r="DE37" s="32" t="s">
        <v>34</v>
      </c>
      <c r="DF37" s="32" t="s">
        <v>34</v>
      </c>
      <c r="DG37" s="32" t="s">
        <v>34</v>
      </c>
      <c r="DH37" s="32" t="s">
        <v>34</v>
      </c>
      <c r="DI37" s="32" t="s">
        <v>34</v>
      </c>
      <c r="DJ37" s="32" t="s">
        <v>34</v>
      </c>
      <c r="DK37" s="8" t="s">
        <v>34</v>
      </c>
      <c r="DL37" s="32" t="s">
        <v>34</v>
      </c>
      <c r="DM37" s="32" t="s">
        <v>34</v>
      </c>
      <c r="DN37" s="32" t="s">
        <v>34</v>
      </c>
      <c r="DO37" s="32" t="s">
        <v>34</v>
      </c>
      <c r="DP37" s="32" t="s">
        <v>34</v>
      </c>
      <c r="DQ37" s="32" t="s">
        <v>34</v>
      </c>
      <c r="DR37" s="32" t="s">
        <v>34</v>
      </c>
      <c r="DS37" s="32" t="s">
        <v>34</v>
      </c>
      <c r="DT37" s="32" t="s">
        <v>34</v>
      </c>
      <c r="DU37" s="32" t="s">
        <v>34</v>
      </c>
      <c r="DV37" s="32" t="s">
        <v>34</v>
      </c>
      <c r="DW37" s="32" t="s">
        <v>34</v>
      </c>
      <c r="DX37" s="32" t="s">
        <v>34</v>
      </c>
      <c r="DY37" s="32" t="s">
        <v>34</v>
      </c>
      <c r="DZ37" s="32" t="s">
        <v>34</v>
      </c>
      <c r="EA37" s="32" t="s">
        <v>34</v>
      </c>
      <c r="EB37" s="32" t="s">
        <v>34</v>
      </c>
      <c r="EC37" s="69"/>
      <c r="ED37" s="32" t="s">
        <v>34</v>
      </c>
      <c r="EE37" s="32" t="s">
        <v>34</v>
      </c>
      <c r="EF37" s="32" t="s">
        <v>34</v>
      </c>
      <c r="EG37" s="32" t="s">
        <v>34</v>
      </c>
      <c r="EH37" s="32" t="s">
        <v>34</v>
      </c>
      <c r="EI37" s="32" t="s">
        <v>34</v>
      </c>
      <c r="EJ37" s="32" t="s">
        <v>34</v>
      </c>
      <c r="EK37" s="32" t="s">
        <v>34</v>
      </c>
      <c r="EL37" s="32" t="s">
        <v>34</v>
      </c>
      <c r="EM37" s="32" t="s">
        <v>34</v>
      </c>
      <c r="EN37" s="32" t="s">
        <v>34</v>
      </c>
      <c r="EO37" s="69"/>
      <c r="EP37" s="32">
        <v>1205.8600800000002</v>
      </c>
      <c r="EQ37" s="32">
        <v>16.518631232876714</v>
      </c>
      <c r="ER37" s="32">
        <v>0.25900000000000001</v>
      </c>
      <c r="ES37" s="32">
        <v>597.7520574972973</v>
      </c>
      <c r="ET37" s="32">
        <v>8.1883843492780457</v>
      </c>
      <c r="EU37" s="32">
        <v>298.45711038918921</v>
      </c>
      <c r="EV37" s="32">
        <v>4.0884535669751942</v>
      </c>
      <c r="EW37" s="32">
        <v>448.10458394324326</v>
      </c>
      <c r="EX37" s="32">
        <v>6.1384189581266195</v>
      </c>
      <c r="EY37" s="32">
        <v>0.36899999999999999</v>
      </c>
      <c r="EZ37" s="32">
        <v>2.5999999999999999E-2</v>
      </c>
      <c r="FA37" s="32">
        <v>33.039164822540762</v>
      </c>
      <c r="FB37" s="32">
        <v>66.104563342351653</v>
      </c>
      <c r="FC37" s="32">
        <v>92.33446993204366</v>
      </c>
      <c r="FD37" s="32">
        <v>99.725968741858381</v>
      </c>
      <c r="FE37" s="32">
        <v>0.45973418838193347</v>
      </c>
      <c r="FF37" s="32">
        <v>2.6229506320687368</v>
      </c>
      <c r="FG37" s="69"/>
      <c r="FH37" s="32">
        <v>283.72434799999996</v>
      </c>
      <c r="FI37" s="32">
        <v>3.8866349041095885</v>
      </c>
      <c r="FJ37" s="32">
        <v>2.3E-2</v>
      </c>
      <c r="FK37" s="32">
        <v>1350.4182370000001</v>
      </c>
      <c r="FL37" s="32">
        <v>18.498879958904112</v>
      </c>
      <c r="FM37" s="32">
        <v>0.14499999999999999</v>
      </c>
      <c r="FN37" s="32">
        <v>772.76956726459161</v>
      </c>
      <c r="FO37" s="32">
        <v>10.585884483076597</v>
      </c>
      <c r="FP37" s="32">
        <v>256.5850210972763</v>
      </c>
      <c r="FQ37" s="32">
        <v>3.5148633027024152</v>
      </c>
      <c r="FR37" s="32">
        <v>514.67729418093393</v>
      </c>
      <c r="FS37" s="32">
        <v>7.0503738928895059</v>
      </c>
      <c r="FT37" s="32">
        <v>0.25600000000000001</v>
      </c>
      <c r="FU37" s="32">
        <v>2.5999999999999999E-2</v>
      </c>
      <c r="FV37" s="32">
        <v>28.204539590022598</v>
      </c>
      <c r="FW37" s="32">
        <v>71.795460409977409</v>
      </c>
      <c r="FX37" s="32">
        <v>97.872336660139297</v>
      </c>
      <c r="FY37" s="32">
        <v>99.426876603978855</v>
      </c>
      <c r="FZ37" s="32">
        <v>0.33480615386164497</v>
      </c>
      <c r="GA37" s="32">
        <v>4.0334331416084002</v>
      </c>
      <c r="GB37" s="69"/>
      <c r="GC37" s="32">
        <v>25.540277016453704</v>
      </c>
      <c r="GD37" s="32">
        <v>11.310048365128775</v>
      </c>
      <c r="GE37" s="32">
        <v>-56.43564356435644</v>
      </c>
      <c r="GF37" s="32">
        <v>-36.159999999999997</v>
      </c>
      <c r="GG37" s="32">
        <v>-15.788154158507767</v>
      </c>
      <c r="GH37" s="69"/>
      <c r="GI37" s="32">
        <v>1770.7298599999999</v>
      </c>
      <c r="GJ37" s="32">
        <v>24.256573424657532</v>
      </c>
      <c r="GK37" s="32">
        <v>3.6999999999999998E-2</v>
      </c>
      <c r="GL37" s="32">
        <v>1821.530827</v>
      </c>
      <c r="GM37" s="32">
        <v>24.952477082191781</v>
      </c>
      <c r="GN37" s="32">
        <v>7.4999999999999997E-2</v>
      </c>
      <c r="GO37" s="32">
        <v>1226.76242497351</v>
      </c>
      <c r="GP37" s="32">
        <v>16.804964725664519</v>
      </c>
      <c r="GQ37" s="32">
        <v>105.14225905298012</v>
      </c>
      <c r="GR37" s="32">
        <v>1.4403049185339742</v>
      </c>
      <c r="GS37" s="32">
        <v>665.95234201324502</v>
      </c>
      <c r="GT37" s="32">
        <v>9.122634822099247</v>
      </c>
      <c r="GU37" s="32">
        <v>237.90409688679244</v>
      </c>
      <c r="GV37" s="32">
        <v>3.2589602313259238</v>
      </c>
      <c r="GW37" s="32">
        <v>1176.0237797735849</v>
      </c>
      <c r="GX37" s="32">
        <v>16.109914791418973</v>
      </c>
      <c r="GY37" s="32">
        <v>9.1999999999999998E-2</v>
      </c>
      <c r="GZ37" s="32">
        <v>-207.58562562222221</v>
      </c>
      <c r="HA37" s="8">
        <v>-2.8436387071537288</v>
      </c>
      <c r="HB37" s="32">
        <v>1346.2801225555556</v>
      </c>
      <c r="HC37" s="32">
        <v>0.10591853637747334</v>
      </c>
      <c r="HD37" s="32">
        <v>5.8000000000000003E-2</v>
      </c>
      <c r="HE37" s="32">
        <v>59689.549209999997</v>
      </c>
      <c r="HF37" s="32">
        <v>124004.6814745</v>
      </c>
      <c r="HG37" s="32">
        <v>0.15</v>
      </c>
      <c r="HH37" s="32" t="s">
        <v>34</v>
      </c>
      <c r="HI37" s="32">
        <v>61.333333333333343</v>
      </c>
      <c r="HJ37" s="32">
        <v>14.694491597245499</v>
      </c>
      <c r="HK37" s="32">
        <v>7.4427698812881182</v>
      </c>
      <c r="HL37" s="32">
        <v>16.840663905193896</v>
      </c>
      <c r="HM37" s="32">
        <v>86.839587719796256</v>
      </c>
      <c r="HN37" s="32">
        <v>14.694491597245499</v>
      </c>
      <c r="HO37" s="32">
        <v>33.494469048029643</v>
      </c>
      <c r="HP37" s="32">
        <v>16.840663905193896</v>
      </c>
      <c r="HQ37" s="32">
        <v>22.949858757499019</v>
      </c>
      <c r="HR37" s="32">
        <v>61.333333333333343</v>
      </c>
      <c r="HS37" s="32" t="s">
        <v>34</v>
      </c>
      <c r="HT37" s="32" t="s">
        <v>34</v>
      </c>
      <c r="HU37" s="32" t="s">
        <v>34</v>
      </c>
      <c r="HV37" s="32" t="s">
        <v>34</v>
      </c>
      <c r="HW37" s="17" t="s">
        <v>34</v>
      </c>
      <c r="HX37" s="69"/>
      <c r="HY37" s="32" t="s">
        <v>34</v>
      </c>
      <c r="HZ37" s="32" t="s">
        <v>34</v>
      </c>
      <c r="IA37" s="32" t="s">
        <v>34</v>
      </c>
      <c r="IB37" s="32" t="s">
        <v>34</v>
      </c>
      <c r="IC37" s="32" t="s">
        <v>34</v>
      </c>
      <c r="ID37" s="32" t="s">
        <v>34</v>
      </c>
      <c r="IE37" s="32" t="s">
        <v>34</v>
      </c>
      <c r="IF37" s="32" t="s">
        <v>34</v>
      </c>
      <c r="IG37" s="32" t="s">
        <v>34</v>
      </c>
      <c r="IH37" s="32" t="s">
        <v>34</v>
      </c>
      <c r="II37" s="32" t="s">
        <v>34</v>
      </c>
      <c r="IJ37" s="32" t="s">
        <v>34</v>
      </c>
      <c r="IK37" s="32" t="s">
        <v>34</v>
      </c>
      <c r="IL37" s="32" t="s">
        <v>34</v>
      </c>
      <c r="IM37" s="32" t="s">
        <v>34</v>
      </c>
      <c r="IN37" s="32" t="s">
        <v>34</v>
      </c>
      <c r="IO37" s="32" t="s">
        <v>34</v>
      </c>
      <c r="IP37" s="32" t="s">
        <v>34</v>
      </c>
      <c r="IQ37" s="8" t="s">
        <v>34</v>
      </c>
      <c r="IR37" s="32" t="s">
        <v>34</v>
      </c>
      <c r="IS37" s="32" t="s">
        <v>34</v>
      </c>
      <c r="IT37" s="32" t="s">
        <v>34</v>
      </c>
      <c r="IU37" s="32" t="s">
        <v>34</v>
      </c>
      <c r="IV37" s="32" t="s">
        <v>34</v>
      </c>
      <c r="IW37" s="32" t="s">
        <v>34</v>
      </c>
      <c r="IX37" s="32" t="s">
        <v>34</v>
      </c>
      <c r="IY37" s="32" t="s">
        <v>34</v>
      </c>
      <c r="IZ37" s="32" t="s">
        <v>34</v>
      </c>
      <c r="JA37" s="32" t="s">
        <v>34</v>
      </c>
      <c r="JB37" s="32" t="s">
        <v>34</v>
      </c>
      <c r="JC37" s="32" t="s">
        <v>34</v>
      </c>
      <c r="JD37" s="32" t="s">
        <v>34</v>
      </c>
      <c r="JE37" s="32" t="s">
        <v>34</v>
      </c>
      <c r="JF37" s="32" t="s">
        <v>34</v>
      </c>
      <c r="JG37" s="32" t="s">
        <v>34</v>
      </c>
      <c r="JH37" s="32" t="s">
        <v>34</v>
      </c>
      <c r="JI37" s="69"/>
      <c r="JJ37" s="32" t="s">
        <v>34</v>
      </c>
      <c r="JK37" s="32" t="s">
        <v>34</v>
      </c>
      <c r="JL37" s="32" t="s">
        <v>34</v>
      </c>
      <c r="JM37" s="32" t="s">
        <v>34</v>
      </c>
      <c r="JN37" s="32" t="s">
        <v>34</v>
      </c>
      <c r="JO37" s="32" t="s">
        <v>34</v>
      </c>
      <c r="JP37" s="32" t="s">
        <v>34</v>
      </c>
      <c r="JQ37" s="32" t="s">
        <v>34</v>
      </c>
      <c r="JR37" s="32" t="s">
        <v>34</v>
      </c>
      <c r="JS37" s="32" t="s">
        <v>34</v>
      </c>
      <c r="JT37" s="32" t="s">
        <v>34</v>
      </c>
      <c r="JU37" s="69"/>
      <c r="JV37" s="32">
        <v>1283.7296209999997</v>
      </c>
      <c r="JW37" s="32">
        <v>17.585337273972598</v>
      </c>
      <c r="JX37" s="32">
        <v>0.30499999999999999</v>
      </c>
      <c r="JY37" s="32">
        <v>591.27067706603771</v>
      </c>
      <c r="JZ37" s="32">
        <v>8.09959831597312</v>
      </c>
      <c r="KA37" s="32">
        <v>278.184258134434</v>
      </c>
      <c r="KB37" s="32">
        <v>3.8107432621155342</v>
      </c>
      <c r="KC37" s="32">
        <v>434.72746760023585</v>
      </c>
      <c r="KD37" s="32">
        <v>5.9551707890443266</v>
      </c>
      <c r="KE37" s="32">
        <v>0.42299999999999999</v>
      </c>
      <c r="KF37" s="32">
        <v>4.8000000000000001E-2</v>
      </c>
      <c r="KG37" s="32">
        <v>31.56653356263827</v>
      </c>
      <c r="KH37" s="32">
        <v>67.641871913751146</v>
      </c>
      <c r="KI37" s="32">
        <v>78.169011746976949</v>
      </c>
      <c r="KJ37" s="32">
        <v>99.505050347954025</v>
      </c>
      <c r="KK37" s="32">
        <v>0.56791629016567735</v>
      </c>
      <c r="KL37" s="32">
        <v>2.2604204937060342</v>
      </c>
      <c r="KM37" s="69"/>
      <c r="KN37" s="32">
        <v>30.765509000000002</v>
      </c>
      <c r="KO37" s="32">
        <v>0.42144532876712332</v>
      </c>
      <c r="KP37" s="32">
        <v>4.0000000000000001E-3</v>
      </c>
      <c r="KQ37" s="32">
        <v>1358.7498499999999</v>
      </c>
      <c r="KR37" s="32">
        <v>18.613011643835616</v>
      </c>
      <c r="KS37" s="32">
        <v>0.129</v>
      </c>
      <c r="KT37" s="32">
        <v>854.22555022270751</v>
      </c>
      <c r="KU37" s="32">
        <v>11.701719866064487</v>
      </c>
      <c r="KV37" s="32">
        <v>289.0764231528384</v>
      </c>
      <c r="KW37" s="32">
        <v>3.9599510020936766</v>
      </c>
      <c r="KX37" s="32">
        <v>571.65098668777296</v>
      </c>
      <c r="KY37" s="32">
        <v>7.8308354340790816</v>
      </c>
      <c r="KZ37" s="32">
        <v>0.22800000000000001</v>
      </c>
      <c r="LA37" s="32">
        <v>4.8000000000000001E-2</v>
      </c>
      <c r="LB37" s="32">
        <v>28.060518432672023</v>
      </c>
      <c r="LC37" s="32">
        <v>71.939481567327974</v>
      </c>
      <c r="LD37" s="32">
        <v>85.549153143231152</v>
      </c>
      <c r="LE37" s="32">
        <v>99.126496578419975</v>
      </c>
      <c r="LF37" s="32">
        <v>0.31540020365301408</v>
      </c>
      <c r="LG37" s="32">
        <v>4.3080183026603924</v>
      </c>
      <c r="LH37" s="69"/>
      <c r="LI37" s="32">
        <v>36.382643993458622</v>
      </c>
      <c r="LJ37" s="32">
        <v>5.6780179239470208</v>
      </c>
      <c r="LK37" s="32">
        <v>-81.105990783410135</v>
      </c>
      <c r="LL37" s="32">
        <v>-59.907834101382484</v>
      </c>
      <c r="LM37" s="32">
        <v>-11.759813751120875</v>
      </c>
      <c r="LN37" s="69"/>
      <c r="LO37" s="32">
        <v>1673.780753</v>
      </c>
      <c r="LP37" s="32">
        <v>22.928503465753426</v>
      </c>
      <c r="LQ37" s="32">
        <v>3.5000000000000003E-2</v>
      </c>
      <c r="LR37" s="32">
        <v>1737.926631</v>
      </c>
      <c r="LS37" s="32">
        <v>23.807214123287672</v>
      </c>
      <c r="LT37" s="32">
        <v>7.6999999999999999E-2</v>
      </c>
      <c r="LU37" s="32">
        <v>1202.0467800000001</v>
      </c>
      <c r="LV37" s="32">
        <v>16.466394246575344</v>
      </c>
      <c r="LW37" s="32">
        <v>111.89170110828023</v>
      </c>
      <c r="LX37" s="32">
        <v>1.5327630288805512</v>
      </c>
      <c r="LY37" s="32">
        <v>656.96924055414013</v>
      </c>
      <c r="LZ37" s="32">
        <v>8.9995786377279465</v>
      </c>
      <c r="MA37" s="32">
        <v>248.1087849439252</v>
      </c>
      <c r="MB37" s="32">
        <v>3.3987504786839069</v>
      </c>
      <c r="MC37" s="32">
        <v>1132.2445919532711</v>
      </c>
      <c r="MD37" s="32">
        <v>15.510199889770837</v>
      </c>
      <c r="ME37" s="32">
        <v>9.1999999999999998E-2</v>
      </c>
      <c r="MF37" s="32">
        <v>-179.6128583</v>
      </c>
      <c r="MG37" s="8">
        <v>-2.4604501136986303</v>
      </c>
      <c r="MH37" s="32">
        <v>1351.4234624200001</v>
      </c>
      <c r="MI37" s="32">
        <v>2.3364757260273986E-2</v>
      </c>
      <c r="MJ37" s="32">
        <v>6.4000000000000001E-2</v>
      </c>
      <c r="MK37" s="32">
        <v>66721.055058500002</v>
      </c>
      <c r="ML37" s="32">
        <v>120447.26243500001</v>
      </c>
      <c r="MM37" s="32">
        <v>0.156</v>
      </c>
      <c r="MN37" s="32" t="s">
        <v>34</v>
      </c>
      <c r="MO37" s="32">
        <v>58.974358974358978</v>
      </c>
      <c r="MP37" s="32">
        <v>13.079659402423982</v>
      </c>
      <c r="MQ37" s="32">
        <v>8.1481100757814264</v>
      </c>
      <c r="MR37" s="32">
        <v>18.067628523540964</v>
      </c>
      <c r="MS37" s="32">
        <v>87.534726728306126</v>
      </c>
      <c r="MT37" s="32">
        <v>13.079659402423982</v>
      </c>
      <c r="MU37" s="32">
        <v>32.376616290814155</v>
      </c>
      <c r="MV37" s="32">
        <v>18.067628523540964</v>
      </c>
      <c r="MW37" s="32">
        <v>22.665213816930031</v>
      </c>
      <c r="MX37" s="32" t="s">
        <v>34</v>
      </c>
      <c r="MY37" s="32" t="s">
        <v>34</v>
      </c>
      <c r="MZ37" s="32" t="s">
        <v>34</v>
      </c>
      <c r="NA37" s="32" t="s">
        <v>34</v>
      </c>
      <c r="NB37" s="17" t="s">
        <v>34</v>
      </c>
      <c r="NC37" s="69"/>
      <c r="ND37" s="32" t="s">
        <v>34</v>
      </c>
      <c r="NE37" s="32" t="s">
        <v>34</v>
      </c>
      <c r="NF37" s="32" t="s">
        <v>34</v>
      </c>
      <c r="NG37" s="32" t="s">
        <v>34</v>
      </c>
      <c r="NH37" s="32" t="s">
        <v>34</v>
      </c>
      <c r="NI37" s="32" t="s">
        <v>34</v>
      </c>
      <c r="NJ37" s="32" t="s">
        <v>34</v>
      </c>
      <c r="NK37" s="32" t="s">
        <v>34</v>
      </c>
      <c r="NL37" s="32" t="s">
        <v>34</v>
      </c>
      <c r="NM37" s="32" t="s">
        <v>34</v>
      </c>
      <c r="NN37" s="32" t="s">
        <v>34</v>
      </c>
      <c r="NO37" s="32" t="s">
        <v>34</v>
      </c>
      <c r="NP37" s="32" t="s">
        <v>34</v>
      </c>
      <c r="NQ37" s="32" t="s">
        <v>34</v>
      </c>
      <c r="NR37" s="32" t="s">
        <v>34</v>
      </c>
      <c r="NS37" s="32" t="s">
        <v>34</v>
      </c>
      <c r="NT37" s="32" t="s">
        <v>34</v>
      </c>
      <c r="NU37" s="32" t="s">
        <v>34</v>
      </c>
      <c r="NV37" s="8" t="s">
        <v>34</v>
      </c>
      <c r="NW37" s="32" t="s">
        <v>34</v>
      </c>
      <c r="NX37" s="32" t="s">
        <v>34</v>
      </c>
      <c r="NY37" s="32" t="s">
        <v>34</v>
      </c>
      <c r="NZ37" s="32" t="s">
        <v>34</v>
      </c>
      <c r="OA37" s="32" t="s">
        <v>34</v>
      </c>
      <c r="OB37" s="32" t="s">
        <v>34</v>
      </c>
      <c r="OC37" s="32" t="s">
        <v>34</v>
      </c>
      <c r="OD37" s="32" t="s">
        <v>34</v>
      </c>
      <c r="OE37" s="32" t="s">
        <v>34</v>
      </c>
      <c r="OF37" s="32" t="s">
        <v>34</v>
      </c>
      <c r="OG37" s="32" t="s">
        <v>34</v>
      </c>
      <c r="OH37" s="32" t="s">
        <v>34</v>
      </c>
      <c r="OI37" s="32" t="s">
        <v>34</v>
      </c>
      <c r="OJ37" s="32" t="s">
        <v>34</v>
      </c>
      <c r="OK37" s="32" t="s">
        <v>34</v>
      </c>
      <c r="OL37" s="32" t="s">
        <v>34</v>
      </c>
      <c r="OM37" s="32" t="s">
        <v>34</v>
      </c>
      <c r="ON37" s="69"/>
      <c r="OO37" s="32" t="s">
        <v>34</v>
      </c>
      <c r="OP37" s="32" t="s">
        <v>34</v>
      </c>
      <c r="OQ37" s="32" t="s">
        <v>34</v>
      </c>
      <c r="OR37" s="32" t="s">
        <v>34</v>
      </c>
      <c r="OS37" s="32" t="s">
        <v>34</v>
      </c>
      <c r="OT37" s="32" t="s">
        <v>34</v>
      </c>
      <c r="OU37" s="32" t="s">
        <v>34</v>
      </c>
      <c r="OV37" s="32" t="s">
        <v>34</v>
      </c>
      <c r="OW37" s="32" t="s">
        <v>34</v>
      </c>
      <c r="OX37" s="32" t="s">
        <v>34</v>
      </c>
      <c r="OY37" s="32" t="s">
        <v>34</v>
      </c>
    </row>
    <row r="38" spans="1:415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9"/>
      <c r="K38" s="32">
        <v>996.9393950000001</v>
      </c>
      <c r="L38" s="32">
        <v>15.337529153846155</v>
      </c>
      <c r="M38" s="32">
        <v>0.41099999999999998</v>
      </c>
      <c r="N38" s="32">
        <v>531.8588553432138</v>
      </c>
      <c r="O38" s="32">
        <v>8.1824439283571362</v>
      </c>
      <c r="P38" s="32">
        <v>-0.98720017940717963</v>
      </c>
      <c r="Q38" s="32">
        <v>-1.5187695067802764E-2</v>
      </c>
      <c r="R38" s="32">
        <v>265.43582758190331</v>
      </c>
      <c r="S38" s="32">
        <v>4.0836281166446664</v>
      </c>
      <c r="T38" s="32">
        <v>0.64</v>
      </c>
      <c r="U38" s="32">
        <v>8.0000000000000002E-3</v>
      </c>
      <c r="V38" s="32">
        <v>23.556494267920201</v>
      </c>
      <c r="W38" s="32">
        <v>82.530615729676654</v>
      </c>
      <c r="X38" s="32">
        <v>27.020720907861744</v>
      </c>
      <c r="Y38" s="32">
        <v>99.335501162813117</v>
      </c>
      <c r="Z38" s="32">
        <v>1.6736390572032125</v>
      </c>
      <c r="AA38" s="32">
        <v>0.59567168363408485</v>
      </c>
      <c r="AB38" s="69"/>
      <c r="AC38" s="32">
        <v>714.83808900000008</v>
      </c>
      <c r="AD38" s="32">
        <v>10.997509061538462</v>
      </c>
      <c r="AE38" s="32">
        <v>2.1999999999999999E-2</v>
      </c>
      <c r="AF38" s="32">
        <v>1070.4448199999999</v>
      </c>
      <c r="AG38" s="32">
        <v>16.468381846153846</v>
      </c>
      <c r="AH38" s="32">
        <v>0.109</v>
      </c>
      <c r="AI38" s="32">
        <v>661.35884037551</v>
      </c>
      <c r="AJ38" s="32">
        <v>10.174751390392462</v>
      </c>
      <c r="AK38" s="32">
        <v>388.77723764693877</v>
      </c>
      <c r="AL38" s="32">
        <v>5.9811882714913658</v>
      </c>
      <c r="AM38" s="32">
        <v>525.06803901122441</v>
      </c>
      <c r="AN38" s="32">
        <v>8.0779698309419139</v>
      </c>
      <c r="AO38" s="32">
        <v>0.48899999999999999</v>
      </c>
      <c r="AP38" s="32">
        <v>8.0000000000000002E-3</v>
      </c>
      <c r="AQ38" s="32">
        <v>36.528930132467288</v>
      </c>
      <c r="AR38" s="32">
        <v>63.471069867532712</v>
      </c>
      <c r="AS38" s="32">
        <v>79.460690024183052</v>
      </c>
      <c r="AT38" s="32">
        <v>99.655085960312704</v>
      </c>
      <c r="AU38" s="32">
        <v>1.2845613138090548</v>
      </c>
      <c r="AV38" s="32">
        <v>0.8333154739230435</v>
      </c>
      <c r="AW38" s="69"/>
      <c r="AX38" s="32">
        <v>21.706011484231809</v>
      </c>
      <c r="AY38" s="32">
        <v>7.110959295004565</v>
      </c>
      <c r="AZ38" s="32">
        <v>-116.15384615384615</v>
      </c>
      <c r="BA38" s="32">
        <v>-26.749335695305582</v>
      </c>
      <c r="BB38" s="32">
        <v>243.14505949794639</v>
      </c>
      <c r="BC38" s="69"/>
      <c r="BD38" s="32">
        <v>2225.1070980000004</v>
      </c>
      <c r="BE38" s="32">
        <v>34.232416892307697</v>
      </c>
      <c r="BF38" s="32">
        <v>1.4E-2</v>
      </c>
      <c r="BG38" s="32">
        <v>2225.1070980000004</v>
      </c>
      <c r="BH38" s="32">
        <v>34.232416892307697</v>
      </c>
      <c r="BI38" s="32">
        <v>1.4E-2</v>
      </c>
      <c r="BJ38" s="32">
        <v>1005.9622783400002</v>
      </c>
      <c r="BK38" s="32">
        <v>15.476342743692312</v>
      </c>
      <c r="BL38" s="32">
        <v>162.07808149333331</v>
      </c>
      <c r="BM38" s="32">
        <v>2.4935089460512816</v>
      </c>
      <c r="BN38" s="32">
        <v>584.02017991666673</v>
      </c>
      <c r="BO38" s="32">
        <v>8.9849258448717961</v>
      </c>
      <c r="BP38" s="32">
        <v>254.65612025217393</v>
      </c>
      <c r="BQ38" s="32">
        <v>3.9177864654180605</v>
      </c>
      <c r="BR38" s="32">
        <v>926.09359483478249</v>
      </c>
      <c r="BS38" s="32">
        <v>14.247593766688961</v>
      </c>
      <c r="BT38" s="32">
        <v>9.8000000000000004E-2</v>
      </c>
      <c r="BU38" s="32">
        <v>-142.10690300000002</v>
      </c>
      <c r="BV38" s="8">
        <v>-2.1862600461538464</v>
      </c>
      <c r="BW38" s="32">
        <v>1268.387952714286</v>
      </c>
      <c r="BX38" s="32" t="s">
        <v>34</v>
      </c>
      <c r="BY38" s="32">
        <v>5.0999999999999997E-2</v>
      </c>
      <c r="BZ38" s="32">
        <v>43781.297964999998</v>
      </c>
      <c r="CA38" s="32">
        <v>105648.96827050002</v>
      </c>
      <c r="CB38" s="32">
        <v>0.14899999999999999</v>
      </c>
      <c r="CC38" s="32">
        <v>0.107</v>
      </c>
      <c r="CD38" s="32">
        <v>65.771812080536918</v>
      </c>
      <c r="CE38" s="32">
        <v>11.639005745256089</v>
      </c>
      <c r="CF38" s="32">
        <v>13.274708559942306</v>
      </c>
      <c r="CG38" s="32">
        <v>20.85714334848095</v>
      </c>
      <c r="CH38" s="32">
        <v>82.391498864134462</v>
      </c>
      <c r="CI38" s="32">
        <v>11.639005745256089</v>
      </c>
      <c r="CJ38" s="32">
        <v>35.798464386346254</v>
      </c>
      <c r="CK38" s="32">
        <v>20.85714334848095</v>
      </c>
      <c r="CL38" s="32">
        <v>25.542020246064077</v>
      </c>
      <c r="CM38" s="32" t="s">
        <v>34</v>
      </c>
      <c r="CN38" s="32" t="s">
        <v>34</v>
      </c>
      <c r="CO38" s="32" t="s">
        <v>34</v>
      </c>
      <c r="CP38" s="32" t="s">
        <v>34</v>
      </c>
      <c r="CQ38" s="17" t="s">
        <v>34</v>
      </c>
      <c r="CR38" s="69"/>
      <c r="CS38" s="32">
        <v>1917.6144179999997</v>
      </c>
      <c r="CT38" s="32">
        <v>29.501760276923072</v>
      </c>
      <c r="CU38" s="32">
        <v>1.4E-2</v>
      </c>
      <c r="CV38" s="32">
        <v>1917.6144179999997</v>
      </c>
      <c r="CW38" s="32">
        <v>29.501760276923072</v>
      </c>
      <c r="CX38" s="32">
        <v>1.4E-2</v>
      </c>
      <c r="CY38" s="32">
        <v>1014.7716237152777</v>
      </c>
      <c r="CZ38" s="32">
        <v>15.611871134081195</v>
      </c>
      <c r="DA38" s="32">
        <v>133.73373905555556</v>
      </c>
      <c r="DB38" s="32">
        <v>2.0574421393162394</v>
      </c>
      <c r="DC38" s="32">
        <v>574.25268138541662</v>
      </c>
      <c r="DD38" s="32">
        <v>8.8346566366987176</v>
      </c>
      <c r="DE38" s="32">
        <v>227.81665756363634</v>
      </c>
      <c r="DF38" s="32">
        <v>3.5048716548251746</v>
      </c>
      <c r="DG38" s="32">
        <v>930.15862388181824</v>
      </c>
      <c r="DH38" s="32">
        <v>14.310132675104896</v>
      </c>
      <c r="DI38" s="32">
        <v>9.1999999999999998E-2</v>
      </c>
      <c r="DJ38" s="32">
        <v>-170.65217376470591</v>
      </c>
      <c r="DK38" s="8">
        <v>-2.6254180579185524</v>
      </c>
      <c r="DL38" s="32">
        <v>1288.519564352941</v>
      </c>
      <c r="DM38" s="32">
        <v>1.1080695484162895</v>
      </c>
      <c r="DN38" s="32">
        <v>0.05</v>
      </c>
      <c r="DO38" s="32">
        <v>43131.697018500003</v>
      </c>
      <c r="DP38" s="32">
        <v>102318.061889</v>
      </c>
      <c r="DQ38" s="32">
        <v>0.14299999999999999</v>
      </c>
      <c r="DR38" s="32">
        <v>0.107</v>
      </c>
      <c r="DS38" s="32">
        <v>64.335664335664347</v>
      </c>
      <c r="DT38" s="32">
        <v>10.880701829590214</v>
      </c>
      <c r="DU38" s="32">
        <v>13.88442013524968</v>
      </c>
      <c r="DV38" s="32">
        <v>18.535375891449814</v>
      </c>
      <c r="DW38" s="32">
        <v>82.562766439875233</v>
      </c>
      <c r="DX38" s="32">
        <v>10.880701829590214</v>
      </c>
      <c r="DY38" s="32">
        <v>13.88442013524968</v>
      </c>
      <c r="DZ38" s="32">
        <v>18.535375891449814</v>
      </c>
      <c r="EA38" s="32">
        <v>0.19579626735876524</v>
      </c>
      <c r="EB38" s="32">
        <v>9.7939273504447293</v>
      </c>
      <c r="EC38" s="69"/>
      <c r="ED38" s="32">
        <v>0.87189563814587134</v>
      </c>
      <c r="EE38" s="32">
        <v>18.253840022798759</v>
      </c>
      <c r="EF38" s="32">
        <v>-11.125793587792378</v>
      </c>
      <c r="EG38" s="32">
        <v>-14.844960194036888</v>
      </c>
      <c r="EH38" s="32">
        <v>0</v>
      </c>
      <c r="EI38" s="32">
        <v>-14.844960194036888</v>
      </c>
      <c r="EJ38" s="32">
        <v>-4.1095890410958944</v>
      </c>
      <c r="EK38" s="32">
        <v>130.42199056562637</v>
      </c>
      <c r="EL38" s="32">
        <v>19.821701985154505</v>
      </c>
      <c r="EM38" s="32">
        <v>17.594929462103202</v>
      </c>
      <c r="EN38" s="32">
        <v>-11.787859734939952</v>
      </c>
      <c r="EO38" s="69"/>
      <c r="EP38" s="32">
        <v>1127.7739779999999</v>
      </c>
      <c r="EQ38" s="32">
        <v>17.350368892307692</v>
      </c>
      <c r="ER38" s="32">
        <v>0.156</v>
      </c>
      <c r="ES38" s="32">
        <v>660.38942436029424</v>
      </c>
      <c r="ET38" s="32">
        <v>10.159837297850681</v>
      </c>
      <c r="EU38" s="32">
        <v>378.69413025735298</v>
      </c>
      <c r="EV38" s="32">
        <v>5.8260635424208154</v>
      </c>
      <c r="EW38" s="32">
        <v>519.54177730882361</v>
      </c>
      <c r="EX38" s="32">
        <v>7.992950420135748</v>
      </c>
      <c r="EY38" s="32">
        <v>0.27100000000000002</v>
      </c>
      <c r="EZ38" s="32">
        <v>5.8999999999999997E-2</v>
      </c>
      <c r="FA38" s="32">
        <v>36.982033726769053</v>
      </c>
      <c r="FB38" s="32">
        <v>63.017966273230925</v>
      </c>
      <c r="FC38" s="32">
        <v>57.679339589081522</v>
      </c>
      <c r="FD38" s="32">
        <v>79.159415908569812</v>
      </c>
      <c r="FE38" s="32">
        <v>0.369461827280612</v>
      </c>
      <c r="FF38" s="32">
        <v>3.0524776708350929</v>
      </c>
      <c r="FG38" s="69"/>
      <c r="FH38" s="32">
        <v>543.58999200000017</v>
      </c>
      <c r="FI38" s="32">
        <v>8.3629229538461569</v>
      </c>
      <c r="FJ38" s="32">
        <v>2.5999999999999999E-2</v>
      </c>
      <c r="FK38" s="32">
        <v>1123.247468</v>
      </c>
      <c r="FL38" s="32">
        <v>17.280730276923077</v>
      </c>
      <c r="FM38" s="32">
        <v>7.3999999999999996E-2</v>
      </c>
      <c r="FN38" s="32">
        <v>727.56300473298438</v>
      </c>
      <c r="FO38" s="32">
        <v>11.193276995892067</v>
      </c>
      <c r="FP38" s="32">
        <v>325.57638257591611</v>
      </c>
      <c r="FQ38" s="32">
        <v>5.0088674242448636</v>
      </c>
      <c r="FR38" s="32">
        <v>526.56969365445025</v>
      </c>
      <c r="FS38" s="32">
        <v>8.101072210068466</v>
      </c>
      <c r="FT38" s="32">
        <v>0.19</v>
      </c>
      <c r="FU38" s="32">
        <v>5.8999999999999997E-2</v>
      </c>
      <c r="FV38" s="32">
        <v>33.822942908241139</v>
      </c>
      <c r="FW38" s="32">
        <v>66.177057091758854</v>
      </c>
      <c r="FX38" s="32">
        <v>95.338301885837069</v>
      </c>
      <c r="FY38" s="32">
        <v>98.443759776188216</v>
      </c>
      <c r="FZ38" s="32">
        <v>0.21888585224509771</v>
      </c>
      <c r="GA38" s="32">
        <v>5.1316586087173981</v>
      </c>
      <c r="GB38" s="69"/>
      <c r="GC38" s="32">
        <v>-9.6795220015679195</v>
      </c>
      <c r="GD38" s="32">
        <v>0.4021738671609188</v>
      </c>
      <c r="GE38" s="32">
        <v>71.304347826086968</v>
      </c>
      <c r="GF38" s="32">
        <v>35.140997830802604</v>
      </c>
      <c r="GG38" s="32">
        <v>8.923358127247436</v>
      </c>
      <c r="GH38" s="69"/>
      <c r="GI38" s="32">
        <v>1606.0640290000001</v>
      </c>
      <c r="GJ38" s="32">
        <v>24.70867736923077</v>
      </c>
      <c r="GK38" s="32">
        <v>1.2999999999999999E-2</v>
      </c>
      <c r="GL38" s="32">
        <v>1606.0640290000001</v>
      </c>
      <c r="GM38" s="32">
        <v>24.70867736923077</v>
      </c>
      <c r="GN38" s="32">
        <v>1.2999999999999999E-2</v>
      </c>
      <c r="GO38" s="32">
        <v>993.92420119867541</v>
      </c>
      <c r="GP38" s="32">
        <v>15.291141556902698</v>
      </c>
      <c r="GQ38" s="32">
        <v>154.97942682781459</v>
      </c>
      <c r="GR38" s="32">
        <v>2.3842988742740707</v>
      </c>
      <c r="GS38" s="32">
        <v>574.45181401324498</v>
      </c>
      <c r="GT38" s="32">
        <v>8.8377202155883836</v>
      </c>
      <c r="GU38" s="32">
        <v>235.37334933884298</v>
      </c>
      <c r="GV38" s="32">
        <v>3.6211284513668152</v>
      </c>
      <c r="GW38" s="32">
        <v>945.09712047107416</v>
      </c>
      <c r="GX38" s="32">
        <v>14.539955699554987</v>
      </c>
      <c r="GY38" s="32">
        <v>0.10100000000000001</v>
      </c>
      <c r="GZ38" s="32">
        <v>-169.27606063333334</v>
      </c>
      <c r="HA38" s="8">
        <v>-2.6042470866666667</v>
      </c>
      <c r="HB38" s="32">
        <v>1190.860093466667</v>
      </c>
      <c r="HC38" s="32">
        <v>1.0622753861538459</v>
      </c>
      <c r="HD38" s="32">
        <v>4.9000000000000002E-2</v>
      </c>
      <c r="HE38" s="32">
        <v>35024.805598999999</v>
      </c>
      <c r="HF38" s="32">
        <v>113655.15022850002</v>
      </c>
      <c r="HG38" s="32">
        <v>0.15</v>
      </c>
      <c r="HH38" s="32">
        <v>0.10199999999999999</v>
      </c>
      <c r="HI38" s="32">
        <v>67.333333333333343</v>
      </c>
      <c r="HJ38" s="32">
        <v>14.034496875372485</v>
      </c>
      <c r="HK38" s="32">
        <v>12.849178279693943</v>
      </c>
      <c r="HL38" s="32">
        <v>19.514552285082317</v>
      </c>
      <c r="HM38" s="32">
        <v>82.405190928297529</v>
      </c>
      <c r="HN38" s="32">
        <v>14.034496875372485</v>
      </c>
      <c r="HO38" s="32">
        <v>34.366128513039307</v>
      </c>
      <c r="HP38" s="32">
        <v>19.514552285082317</v>
      </c>
      <c r="HQ38" s="32">
        <v>24.955062252466419</v>
      </c>
      <c r="HR38" s="32">
        <v>67.333333333333343</v>
      </c>
      <c r="HS38" s="32" t="s">
        <v>34</v>
      </c>
      <c r="HT38" s="32" t="s">
        <v>34</v>
      </c>
      <c r="HU38" s="32" t="s">
        <v>34</v>
      </c>
      <c r="HV38" s="32" t="s">
        <v>34</v>
      </c>
      <c r="HW38" s="17" t="s">
        <v>34</v>
      </c>
      <c r="HX38" s="69"/>
      <c r="HY38" s="32">
        <v>2098.0055179999999</v>
      </c>
      <c r="HZ38" s="32">
        <v>32.277007969230766</v>
      </c>
      <c r="IA38" s="32">
        <v>1.7000000000000001E-2</v>
      </c>
      <c r="IB38" s="32">
        <v>2098.0055179999999</v>
      </c>
      <c r="IC38" s="32">
        <v>32.277007969230766</v>
      </c>
      <c r="ID38" s="32">
        <v>1.7000000000000001E-2</v>
      </c>
      <c r="IE38" s="32">
        <v>1006.050365224359</v>
      </c>
      <c r="IF38" s="32">
        <v>15.477697926528601</v>
      </c>
      <c r="IG38" s="32">
        <v>131.17453298076924</v>
      </c>
      <c r="IH38" s="32">
        <v>2.0180697381656807</v>
      </c>
      <c r="II38" s="32">
        <v>568.61244910256414</v>
      </c>
      <c r="IJ38" s="32">
        <v>8.7478838323471404</v>
      </c>
      <c r="IK38" s="32">
        <v>241.81756433333334</v>
      </c>
      <c r="IL38" s="32">
        <v>3.7202702205128206</v>
      </c>
      <c r="IM38" s="32">
        <v>920.80678618421041</v>
      </c>
      <c r="IN38" s="32">
        <v>14.166258248987852</v>
      </c>
      <c r="IO38" s="32">
        <v>9.9000000000000005E-2</v>
      </c>
      <c r="IP38" s="32">
        <v>-169.14226640476187</v>
      </c>
      <c r="IQ38" s="8">
        <v>-2.6021887139194133</v>
      </c>
      <c r="IR38" s="32">
        <v>1237.4257940476191</v>
      </c>
      <c r="IS38" s="32">
        <v>-2.0065665549450546</v>
      </c>
      <c r="IT38" s="32">
        <v>5.5E-2</v>
      </c>
      <c r="IU38" s="32">
        <v>51318.486099499998</v>
      </c>
      <c r="IV38" s="32">
        <v>104976.139528</v>
      </c>
      <c r="IW38" s="32">
        <v>0.155</v>
      </c>
      <c r="IX38" s="32">
        <v>0.10199999999999999</v>
      </c>
      <c r="IY38" s="32">
        <v>63.870967741935495</v>
      </c>
      <c r="IZ38" s="32">
        <v>10.679343193821039</v>
      </c>
      <c r="JA38" s="32">
        <v>13.770419230552736</v>
      </c>
      <c r="JB38" s="32">
        <v>19.687150402800853</v>
      </c>
      <c r="JC38" s="32">
        <v>81.905815682035183</v>
      </c>
      <c r="JD38" s="32">
        <v>10.679343193821039</v>
      </c>
      <c r="JE38" s="32">
        <v>13.770419230552736</v>
      </c>
      <c r="JF38" s="32">
        <v>19.687150402800853</v>
      </c>
      <c r="JG38" s="32">
        <v>0.22233098657344225</v>
      </c>
      <c r="JH38" s="32">
        <v>9.4364062802688515</v>
      </c>
      <c r="JI38" s="69"/>
      <c r="JJ38" s="32">
        <v>-1.2126318233507629</v>
      </c>
      <c r="JK38" s="32">
        <v>7.9070320890992182E-2</v>
      </c>
      <c r="JL38" s="32">
        <v>-2.7008959348783579</v>
      </c>
      <c r="JM38" s="32">
        <v>-26.562216651597865</v>
      </c>
      <c r="JN38" s="32">
        <v>-26.666666666666679</v>
      </c>
      <c r="JO38" s="32">
        <v>-26.562216651597865</v>
      </c>
      <c r="JP38" s="32">
        <v>-3.2786885245901667</v>
      </c>
      <c r="JQ38" s="32">
        <v>-144.73558984209001</v>
      </c>
      <c r="JR38" s="32">
        <v>18.444296113679663</v>
      </c>
      <c r="JS38" s="32">
        <v>1.8995032663556448</v>
      </c>
      <c r="JT38" s="32">
        <v>-0.88056439330062208</v>
      </c>
      <c r="JU38" s="69"/>
      <c r="JV38" s="32">
        <v>1071.472732</v>
      </c>
      <c r="JW38" s="32">
        <v>16.484195876923078</v>
      </c>
      <c r="JX38" s="32">
        <v>0.19500000000000001</v>
      </c>
      <c r="JY38" s="32">
        <v>612.25780741639346</v>
      </c>
      <c r="JZ38" s="32">
        <v>9.4193508833291304</v>
      </c>
      <c r="KA38" s="32">
        <v>324.01324817704915</v>
      </c>
      <c r="KB38" s="32">
        <v>4.9848192027238332</v>
      </c>
      <c r="KC38" s="32">
        <v>468.13552779672131</v>
      </c>
      <c r="KD38" s="32">
        <v>7.2020850430264813</v>
      </c>
      <c r="KE38" s="32">
        <v>0.30399999999999999</v>
      </c>
      <c r="KF38" s="32">
        <v>0.06</v>
      </c>
      <c r="KG38" s="32">
        <v>35.41318720592102</v>
      </c>
      <c r="KH38" s="32">
        <v>64.586812794078952</v>
      </c>
      <c r="KI38" s="32">
        <v>58.075028381162099</v>
      </c>
      <c r="KJ38" s="32">
        <v>82.048424719692051</v>
      </c>
      <c r="KK38" s="32">
        <v>0.4127857757079948</v>
      </c>
      <c r="KL38" s="32">
        <v>2.5957113715031719</v>
      </c>
      <c r="KM38" s="69"/>
      <c r="KN38" s="32" t="s">
        <v>34</v>
      </c>
      <c r="KO38" s="32" t="s">
        <v>34</v>
      </c>
      <c r="KP38" s="32" t="s">
        <v>34</v>
      </c>
      <c r="KQ38" s="32" t="s">
        <v>34</v>
      </c>
      <c r="KR38" s="32" t="s">
        <v>34</v>
      </c>
      <c r="KS38" s="32" t="s">
        <v>34</v>
      </c>
      <c r="KT38" s="32" t="s">
        <v>34</v>
      </c>
      <c r="KU38" s="32" t="s">
        <v>34</v>
      </c>
      <c r="KV38" s="32" t="s">
        <v>34</v>
      </c>
      <c r="KW38" s="32" t="s">
        <v>34</v>
      </c>
      <c r="KX38" s="32" t="s">
        <v>34</v>
      </c>
      <c r="KY38" s="32" t="s">
        <v>34</v>
      </c>
      <c r="KZ38" s="32" t="s">
        <v>34</v>
      </c>
      <c r="LA38" s="32" t="s">
        <v>34</v>
      </c>
      <c r="LB38" s="32" t="s">
        <v>34</v>
      </c>
      <c r="LC38" s="32" t="s">
        <v>34</v>
      </c>
      <c r="LD38" s="32" t="s">
        <v>34</v>
      </c>
      <c r="LE38" s="32" t="s">
        <v>34</v>
      </c>
      <c r="LF38" s="32" t="s">
        <v>34</v>
      </c>
      <c r="LG38" s="32" t="s">
        <v>34</v>
      </c>
      <c r="LH38" s="69"/>
      <c r="LI38" s="32" t="s">
        <v>34</v>
      </c>
      <c r="LJ38" s="32" t="s">
        <v>34</v>
      </c>
      <c r="LK38" s="32" t="s">
        <v>34</v>
      </c>
      <c r="LL38" s="32" t="s">
        <v>34</v>
      </c>
      <c r="LM38" s="32" t="s">
        <v>34</v>
      </c>
      <c r="LN38" s="69"/>
      <c r="LO38" s="32">
        <v>1738.9544530000003</v>
      </c>
      <c r="LP38" s="32">
        <v>26.753145430769234</v>
      </c>
      <c r="LQ38" s="32">
        <v>1.4999999999999999E-2</v>
      </c>
      <c r="LR38" s="32">
        <v>1738.9544530000003</v>
      </c>
      <c r="LS38" s="32">
        <v>26.753145430769234</v>
      </c>
      <c r="LT38" s="32">
        <v>1.4999999999999999E-2</v>
      </c>
      <c r="LU38" s="32">
        <v>956.53432856790107</v>
      </c>
      <c r="LV38" s="32">
        <v>14.715912747198479</v>
      </c>
      <c r="LW38" s="32">
        <v>128.99933480864198</v>
      </c>
      <c r="LX38" s="32">
        <v>1.9846051509021843</v>
      </c>
      <c r="LY38" s="32">
        <v>542.76683168827151</v>
      </c>
      <c r="LZ38" s="32">
        <v>8.3502589490503301</v>
      </c>
      <c r="MA38" s="32">
        <v>218.89423204032261</v>
      </c>
      <c r="MB38" s="32">
        <v>3.3676035698511169</v>
      </c>
      <c r="MC38" s="32">
        <v>896.08850934677434</v>
      </c>
      <c r="MD38" s="32">
        <v>13.785977066873452</v>
      </c>
      <c r="ME38" s="32">
        <v>0.107</v>
      </c>
      <c r="MF38" s="32">
        <v>-164.34190878947365</v>
      </c>
      <c r="MG38" s="8">
        <v>-2.5283370582995945</v>
      </c>
      <c r="MH38" s="32">
        <v>1153.7785807631576</v>
      </c>
      <c r="MI38" s="32">
        <v>0.67339701821862341</v>
      </c>
      <c r="MJ38" s="32">
        <v>5.3999999999999999E-2</v>
      </c>
      <c r="MK38" s="32">
        <v>43222.433093500003</v>
      </c>
      <c r="ML38" s="32">
        <v>110445.23035400001</v>
      </c>
      <c r="MM38" s="32">
        <v>0.161</v>
      </c>
      <c r="MN38" s="32">
        <v>0.10299999999999999</v>
      </c>
      <c r="MO38" s="32">
        <v>66.459627329192543</v>
      </c>
      <c r="MP38" s="32">
        <v>14.448412785628362</v>
      </c>
      <c r="MQ38" s="32">
        <v>11.341207194899749</v>
      </c>
      <c r="MR38" s="32">
        <v>19.244477834093846</v>
      </c>
      <c r="MS38" s="32">
        <v>84.095425960259533</v>
      </c>
      <c r="MT38" s="32">
        <v>14.448412785628362</v>
      </c>
      <c r="MU38" s="32">
        <v>35.148169229151598</v>
      </c>
      <c r="MV38" s="32">
        <v>19.244477834093846</v>
      </c>
      <c r="MW38" s="32">
        <v>24.474573428562813</v>
      </c>
      <c r="MX38" s="32" t="s">
        <v>34</v>
      </c>
      <c r="MY38" s="32" t="s">
        <v>34</v>
      </c>
      <c r="MZ38" s="32" t="s">
        <v>34</v>
      </c>
      <c r="NA38" s="32" t="s">
        <v>34</v>
      </c>
      <c r="NB38" s="17" t="s">
        <v>34</v>
      </c>
      <c r="NC38" s="69"/>
      <c r="ND38" s="32">
        <v>1864.4690439999999</v>
      </c>
      <c r="NE38" s="32">
        <v>28.684139138461539</v>
      </c>
      <c r="NF38" s="32">
        <v>1.7000000000000001E-2</v>
      </c>
      <c r="NG38" s="32">
        <v>1864.4690439999999</v>
      </c>
      <c r="NH38" s="32">
        <v>28.684139138461539</v>
      </c>
      <c r="NI38" s="32">
        <v>1.7000000000000001E-2</v>
      </c>
      <c r="NJ38" s="32">
        <v>962.08708916149055</v>
      </c>
      <c r="NK38" s="32">
        <v>14.801339833253701</v>
      </c>
      <c r="NL38" s="32">
        <v>111.62573090062112</v>
      </c>
      <c r="NM38" s="32">
        <v>1.7173189369326327</v>
      </c>
      <c r="NN38" s="32">
        <v>536.85641003105582</v>
      </c>
      <c r="NO38" s="32">
        <v>8.2593293850931673</v>
      </c>
      <c r="NP38" s="32">
        <v>217.72617286206898</v>
      </c>
      <c r="NQ38" s="32">
        <v>3.3496334286472149</v>
      </c>
      <c r="NR38" s="32">
        <v>881.08993562931016</v>
      </c>
      <c r="NS38" s="32">
        <v>13.555229778912464</v>
      </c>
      <c r="NT38" s="32">
        <v>0.10199999999999999</v>
      </c>
      <c r="NU38" s="32">
        <v>-161.87763059999997</v>
      </c>
      <c r="NV38" s="8">
        <v>-2.4904250861538459</v>
      </c>
      <c r="NW38" s="32">
        <v>1170.8797516000002</v>
      </c>
      <c r="NX38" s="32">
        <v>-1.0192863654700857</v>
      </c>
      <c r="NY38" s="32">
        <v>5.7000000000000002E-2</v>
      </c>
      <c r="NZ38" s="32">
        <v>52035.028401500007</v>
      </c>
      <c r="OA38" s="32">
        <v>102214.16910299999</v>
      </c>
      <c r="OB38" s="32">
        <v>0.16</v>
      </c>
      <c r="OC38" s="32">
        <v>0.10299999999999999</v>
      </c>
      <c r="OD38" s="32">
        <v>63.749999999999993</v>
      </c>
      <c r="OE38" s="32">
        <v>9.5881637938284783</v>
      </c>
      <c r="OF38" s="32">
        <v>13.904582968701746</v>
      </c>
      <c r="OG38" s="32">
        <v>18.701729348258304</v>
      </c>
      <c r="OH38" s="32">
        <v>82.639087962797888</v>
      </c>
      <c r="OI38" s="32">
        <v>9.5881637938284783</v>
      </c>
      <c r="OJ38" s="32">
        <v>13.904582968701746</v>
      </c>
      <c r="OK38" s="32">
        <v>18.701729348258304</v>
      </c>
      <c r="OL38" s="32">
        <v>0.22509113616821536</v>
      </c>
      <c r="OM38" s="32">
        <v>8.2831739878315016</v>
      </c>
      <c r="ON38" s="69"/>
      <c r="OO38" s="32">
        <v>0.5788281671702532</v>
      </c>
      <c r="OP38" s="32">
        <v>-1.5108096799386204</v>
      </c>
      <c r="OQ38" s="32">
        <v>-0.53504562092774988</v>
      </c>
      <c r="OR38" s="32">
        <v>6.9664079786622786</v>
      </c>
      <c r="OS38" s="32">
        <v>12.500000000000011</v>
      </c>
      <c r="OT38" s="32">
        <v>6.9664079786622786</v>
      </c>
      <c r="OU38" s="32">
        <v>-0.62305295950155815</v>
      </c>
      <c r="OV38" s="32">
        <v>136.50292384319664</v>
      </c>
      <c r="OW38" s="32">
        <v>16.751993187137764</v>
      </c>
      <c r="OX38" s="32">
        <v>-3.8361365524739046</v>
      </c>
      <c r="OY38" s="32">
        <v>-2.8606204737529657</v>
      </c>
    </row>
    <row r="39" spans="1:415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9"/>
      <c r="K39" s="32">
        <v>1501.7390979999998</v>
      </c>
      <c r="L39" s="32">
        <v>14.722932333333331</v>
      </c>
      <c r="M39" s="32">
        <v>0.496</v>
      </c>
      <c r="N39" s="32">
        <v>640.47198237601287</v>
      </c>
      <c r="O39" s="32">
        <v>6.2791370821177734</v>
      </c>
      <c r="P39" s="32">
        <v>282.61382947487846</v>
      </c>
      <c r="Q39" s="32">
        <v>2.7707238183811613</v>
      </c>
      <c r="R39" s="32">
        <v>461.54290592544567</v>
      </c>
      <c r="S39" s="32">
        <v>4.5249304502494674</v>
      </c>
      <c r="T39" s="32">
        <v>0.61599999999999999</v>
      </c>
      <c r="U39" s="32">
        <v>1.2999999999999999E-2</v>
      </c>
      <c r="V39" s="32">
        <v>26.800462672655179</v>
      </c>
      <c r="W39" s="32">
        <v>73.193760362005179</v>
      </c>
      <c r="X39" s="32">
        <v>83.3922172859981</v>
      </c>
      <c r="Y39" s="32">
        <v>99.873581455208608</v>
      </c>
      <c r="Z39" s="32">
        <v>0.85343202640034987</v>
      </c>
      <c r="AA39" s="32">
        <v>1.7596469918455173</v>
      </c>
      <c r="AB39" s="69"/>
      <c r="AC39" s="32">
        <v>1759.5309959999997</v>
      </c>
      <c r="AD39" s="32">
        <v>17.250303882352938</v>
      </c>
      <c r="AE39" s="32">
        <v>0.152</v>
      </c>
      <c r="AF39" s="32">
        <v>1759.5309959999997</v>
      </c>
      <c r="AG39" s="32">
        <v>17.250303882352938</v>
      </c>
      <c r="AH39" s="32">
        <v>0.152</v>
      </c>
      <c r="AI39" s="32">
        <v>1152.8589746600792</v>
      </c>
      <c r="AJ39" s="32">
        <v>11.302538967255678</v>
      </c>
      <c r="AK39" s="32">
        <v>407.3343778300395</v>
      </c>
      <c r="AL39" s="32">
        <v>3.9934742924513675</v>
      </c>
      <c r="AM39" s="32">
        <v>780.09667624505937</v>
      </c>
      <c r="AN39" s="32">
        <v>7.6480066298535236</v>
      </c>
      <c r="AO39" s="32">
        <v>0.252</v>
      </c>
      <c r="AP39" s="32">
        <v>1.2999999999999999E-2</v>
      </c>
      <c r="AQ39" s="32">
        <v>29.977554043363256</v>
      </c>
      <c r="AR39" s="32">
        <v>70.022445956636759</v>
      </c>
      <c r="AS39" s="32">
        <v>97.950386208925437</v>
      </c>
      <c r="AT39" s="32">
        <v>96.502636861060466</v>
      </c>
      <c r="AU39" s="32">
        <v>0.3632798460595944</v>
      </c>
      <c r="AV39" s="32">
        <v>4.8434588791125961</v>
      </c>
      <c r="AW39" s="69"/>
      <c r="AX39" s="32">
        <v>57.143606457439212</v>
      </c>
      <c r="AY39" s="32">
        <v>15.809294573563767</v>
      </c>
      <c r="AZ39" s="32">
        <v>-106.17283950617282</v>
      </c>
      <c r="BA39" s="32">
        <v>-83.870967741935488</v>
      </c>
      <c r="BB39" s="32">
        <v>11.191272800522963</v>
      </c>
      <c r="BC39" s="69"/>
      <c r="BD39" s="32">
        <v>1925.9100670000003</v>
      </c>
      <c r="BE39" s="32">
        <v>18.881471245098041</v>
      </c>
      <c r="BF39" s="32">
        <v>1.7999999999999999E-2</v>
      </c>
      <c r="BG39" s="32">
        <v>2351.0547320000001</v>
      </c>
      <c r="BH39" s="32">
        <v>23.049556196078431</v>
      </c>
      <c r="BI39" s="32">
        <v>7.9000000000000001E-2</v>
      </c>
      <c r="BJ39" s="32">
        <v>1488.0859375945943</v>
      </c>
      <c r="BK39" s="32">
        <v>14.589077819554845</v>
      </c>
      <c r="BL39" s="32">
        <v>171.07156943243243</v>
      </c>
      <c r="BM39" s="32">
        <v>1.6771722493375727</v>
      </c>
      <c r="BN39" s="32">
        <v>829.57875351351333</v>
      </c>
      <c r="BO39" s="32">
        <v>8.1331250344462092</v>
      </c>
      <c r="BP39" s="32">
        <v>316.87491830075186</v>
      </c>
      <c r="BQ39" s="32">
        <v>3.1066168460858026</v>
      </c>
      <c r="BR39" s="32">
        <v>1419.6946835639101</v>
      </c>
      <c r="BS39" s="32">
        <v>13.918575329057942</v>
      </c>
      <c r="BT39" s="32">
        <v>0.12</v>
      </c>
      <c r="BU39" s="32">
        <v>-201.84853440384617</v>
      </c>
      <c r="BV39" s="8">
        <v>-1.9789072000377075</v>
      </c>
      <c r="BW39" s="32">
        <v>1663.0097219423076</v>
      </c>
      <c r="BX39" s="32" t="s">
        <v>34</v>
      </c>
      <c r="BY39" s="32">
        <v>6.4000000000000001E-2</v>
      </c>
      <c r="BZ39" s="32">
        <v>85338.190769999987</v>
      </c>
      <c r="CA39" s="32">
        <v>187927.12102999998</v>
      </c>
      <c r="CB39" s="32">
        <v>0.184</v>
      </c>
      <c r="CC39" s="32">
        <v>0.104</v>
      </c>
      <c r="CD39" s="32">
        <v>65.217391304347828</v>
      </c>
      <c r="CE39" s="32">
        <v>11.295174939566724</v>
      </c>
      <c r="CF39" s="32">
        <v>9.5729370026515301</v>
      </c>
      <c r="CG39" s="32">
        <v>17.731898062766938</v>
      </c>
      <c r="CH39" s="32">
        <v>83.271305585064681</v>
      </c>
      <c r="CI39" s="32">
        <v>11.295174939566724</v>
      </c>
      <c r="CJ39" s="32">
        <v>33.975804771117133</v>
      </c>
      <c r="CK39" s="32">
        <v>17.731898062766938</v>
      </c>
      <c r="CL39" s="32">
        <v>23.090962686743843</v>
      </c>
      <c r="CM39" s="32" t="s">
        <v>34</v>
      </c>
      <c r="CN39" s="32" t="s">
        <v>34</v>
      </c>
      <c r="CO39" s="32" t="s">
        <v>34</v>
      </c>
      <c r="CP39" s="32" t="s">
        <v>34</v>
      </c>
      <c r="CQ39" s="17" t="s">
        <v>34</v>
      </c>
      <c r="CR39" s="69"/>
      <c r="CS39" s="32">
        <v>2415.182534</v>
      </c>
      <c r="CT39" s="32">
        <v>23.678260137254902</v>
      </c>
      <c r="CU39" s="32">
        <v>3.6999999999999998E-2</v>
      </c>
      <c r="CV39" s="32">
        <v>2503.8362830000001</v>
      </c>
      <c r="CW39" s="32">
        <v>24.547414539215687</v>
      </c>
      <c r="CX39" s="32">
        <v>7.4999999999999997E-2</v>
      </c>
      <c r="CY39" s="32">
        <v>1479.0692571538464</v>
      </c>
      <c r="CZ39" s="32">
        <v>14.500678991704376</v>
      </c>
      <c r="DA39" s="32">
        <v>170.10435168131866</v>
      </c>
      <c r="DB39" s="32">
        <v>1.6676897223658693</v>
      </c>
      <c r="DC39" s="32">
        <v>824.58680441758247</v>
      </c>
      <c r="DD39" s="32">
        <v>8.0841843570351219</v>
      </c>
      <c r="DE39" s="32">
        <v>298.87402211278192</v>
      </c>
      <c r="DF39" s="32">
        <v>2.9301374716939406</v>
      </c>
      <c r="DG39" s="32">
        <v>1341.6142840075188</v>
      </c>
      <c r="DH39" s="32">
        <v>13.153081215759988</v>
      </c>
      <c r="DI39" s="32">
        <v>0.121</v>
      </c>
      <c r="DJ39" s="32">
        <v>-179.41332520408164</v>
      </c>
      <c r="DK39" s="8">
        <v>-1.758954168667467</v>
      </c>
      <c r="DL39" s="32">
        <v>1852.1613271224489</v>
      </c>
      <c r="DM39" s="32">
        <v>1.0035120680272109</v>
      </c>
      <c r="DN39" s="32">
        <v>5.8999999999999997E-2</v>
      </c>
      <c r="DO39" s="32">
        <v>89524.71663000001</v>
      </c>
      <c r="DP39" s="32">
        <v>178438.92867700002</v>
      </c>
      <c r="DQ39" s="32">
        <v>0.18099999999999999</v>
      </c>
      <c r="DR39" s="32">
        <v>0.104</v>
      </c>
      <c r="DS39" s="32">
        <v>66.850828729281758</v>
      </c>
      <c r="DT39" s="32">
        <v>9.7437406371791262</v>
      </c>
      <c r="DU39" s="32">
        <v>10.276967581155843</v>
      </c>
      <c r="DV39" s="32">
        <v>17.119791033407797</v>
      </c>
      <c r="DW39" s="32">
        <v>84.722507588352329</v>
      </c>
      <c r="DX39" s="32">
        <v>9.7437406371791262</v>
      </c>
      <c r="DY39" s="32">
        <v>10.276967581155843</v>
      </c>
      <c r="DZ39" s="32">
        <v>17.119791033407797</v>
      </c>
      <c r="EA39" s="32">
        <v>0.29715143166248997</v>
      </c>
      <c r="EB39" s="32">
        <v>8.4261289571840372</v>
      </c>
      <c r="EC39" s="69"/>
      <c r="ED39" s="32">
        <v>0.60776601484859993</v>
      </c>
      <c r="EE39" s="32">
        <v>11.768923974108434</v>
      </c>
      <c r="EF39" s="32">
        <v>5.8468297731476842</v>
      </c>
      <c r="EG39" s="32">
        <v>-6.2939229955093046</v>
      </c>
      <c r="EH39" s="32">
        <v>5.1948051948051992</v>
      </c>
      <c r="EI39" s="32">
        <v>-22.541443455377685</v>
      </c>
      <c r="EJ39" s="32">
        <v>1.6438356164383578</v>
      </c>
      <c r="EK39" s="32">
        <v>-124.3801898096159</v>
      </c>
      <c r="EL39" s="32">
        <v>-1.7684576790307036</v>
      </c>
      <c r="EM39" s="32">
        <v>9.4400206880959967</v>
      </c>
      <c r="EN39" s="32">
        <v>3.5126391014794445</v>
      </c>
      <c r="EO39" s="69"/>
      <c r="EP39" s="32">
        <v>1629.129238</v>
      </c>
      <c r="EQ39" s="32">
        <v>15.971855274509803</v>
      </c>
      <c r="ER39" s="32">
        <v>0.39300000000000002</v>
      </c>
      <c r="ES39" s="32">
        <v>760.59805557061043</v>
      </c>
      <c r="ET39" s="32">
        <v>7.4568436820648083</v>
      </c>
      <c r="EU39" s="32">
        <v>279.99481341221372</v>
      </c>
      <c r="EV39" s="32">
        <v>2.7450471903158209</v>
      </c>
      <c r="EW39" s="32">
        <v>520.29643449141213</v>
      </c>
      <c r="EX39" s="32">
        <v>5.1009454361903153</v>
      </c>
      <c r="EY39" s="32">
        <v>0.52300000000000002</v>
      </c>
      <c r="EZ39" s="32">
        <v>0.04</v>
      </c>
      <c r="FA39" s="32">
        <v>26.820818831715417</v>
      </c>
      <c r="FB39" s="32">
        <v>73.179181168284586</v>
      </c>
      <c r="FC39" s="32">
        <v>90.313390673463473</v>
      </c>
      <c r="FD39" s="32">
        <v>83.511689656213235</v>
      </c>
      <c r="FE39" s="32">
        <v>0.83619073879473871</v>
      </c>
      <c r="FF39" s="32">
        <v>1.9482746727716453</v>
      </c>
      <c r="FG39" s="69"/>
      <c r="FH39" s="32">
        <v>384.73115799999999</v>
      </c>
      <c r="FI39" s="32">
        <v>3.7718740980392158</v>
      </c>
      <c r="FJ39" s="32">
        <v>1.4999999999999999E-2</v>
      </c>
      <c r="FK39" s="32">
        <v>2127.0038600000003</v>
      </c>
      <c r="FL39" s="32">
        <v>20.852979019607847</v>
      </c>
      <c r="FM39" s="32">
        <v>0.124</v>
      </c>
      <c r="FN39" s="32">
        <v>1239.2281417093022</v>
      </c>
      <c r="FO39" s="32">
        <v>12.149295506953944</v>
      </c>
      <c r="FP39" s="32">
        <v>344.58637122868214</v>
      </c>
      <c r="FQ39" s="32">
        <v>3.3782977571439425</v>
      </c>
      <c r="FR39" s="32">
        <v>791.90725646899216</v>
      </c>
      <c r="FS39" s="32">
        <v>7.7637966320489431</v>
      </c>
      <c r="FT39" s="32">
        <v>0.25700000000000001</v>
      </c>
      <c r="FU39" s="32">
        <v>0.04</v>
      </c>
      <c r="FV39" s="32">
        <v>25.347095218748322</v>
      </c>
      <c r="FW39" s="32">
        <v>74.652904781251706</v>
      </c>
      <c r="FX39" s="32">
        <v>68.784022024483676</v>
      </c>
      <c r="FY39" s="32">
        <v>99.927255265925567</v>
      </c>
      <c r="FZ39" s="32">
        <v>0.44479324767916706</v>
      </c>
      <c r="GA39" s="32">
        <v>4.782005732097411</v>
      </c>
      <c r="GB39" s="69"/>
      <c r="GC39" s="32">
        <v>47.867168335899009</v>
      </c>
      <c r="GD39" s="32">
        <v>26.509956330626295</v>
      </c>
      <c r="GE39" s="32">
        <v>-104.06189555125727</v>
      </c>
      <c r="GF39" s="32">
        <v>-68.205128205128204</v>
      </c>
      <c r="GG39" s="32">
        <v>-5.6499234818609541</v>
      </c>
      <c r="GH39" s="69"/>
      <c r="GI39" s="32">
        <v>3010.2047040000002</v>
      </c>
      <c r="GJ39" s="32">
        <v>29.511810823529412</v>
      </c>
      <c r="GK39" s="32">
        <v>0.02</v>
      </c>
      <c r="GL39" s="32">
        <v>3010.2047040000002</v>
      </c>
      <c r="GM39" s="32">
        <v>29.511810823529412</v>
      </c>
      <c r="GN39" s="32">
        <v>0.02</v>
      </c>
      <c r="GO39" s="32">
        <v>1527.0707564439028</v>
      </c>
      <c r="GP39" s="32">
        <v>14.971281925920616</v>
      </c>
      <c r="GQ39" s="32">
        <v>95.808612048780475</v>
      </c>
      <c r="GR39" s="32">
        <v>0.93930011812529879</v>
      </c>
      <c r="GS39" s="32">
        <v>811.4396842463417</v>
      </c>
      <c r="GT39" s="32">
        <v>7.9552910220229576</v>
      </c>
      <c r="GU39" s="32">
        <v>315.861472225</v>
      </c>
      <c r="GV39" s="32">
        <v>3.0966811002450982</v>
      </c>
      <c r="GW39" s="32">
        <v>1284.3942955583334</v>
      </c>
      <c r="GX39" s="32">
        <v>12.592100936846405</v>
      </c>
      <c r="GY39" s="32">
        <v>0.12</v>
      </c>
      <c r="GZ39" s="32">
        <v>-214.85424937647056</v>
      </c>
      <c r="HA39" s="8">
        <v>-2.106414209573241</v>
      </c>
      <c r="HB39" s="32">
        <v>1869.6728188705883</v>
      </c>
      <c r="HC39" s="32">
        <v>-1.5951824838523645</v>
      </c>
      <c r="HD39" s="32">
        <v>8.4000000000000005E-2</v>
      </c>
      <c r="HE39" s="32">
        <v>157723.80455450001</v>
      </c>
      <c r="HF39" s="32">
        <v>152945.2779705</v>
      </c>
      <c r="HG39" s="32">
        <v>0.20399999999999999</v>
      </c>
      <c r="HH39" s="32">
        <v>0.11799999999999999</v>
      </c>
      <c r="HI39" s="32">
        <v>58.82352941176471</v>
      </c>
      <c r="HJ39" s="32">
        <v>12.75218408070195</v>
      </c>
      <c r="HK39" s="32">
        <v>5.6865017141076271</v>
      </c>
      <c r="HL39" s="32">
        <v>18.747237485431079</v>
      </c>
      <c r="HM39" s="32">
        <v>90.635802861444489</v>
      </c>
      <c r="HN39" s="32">
        <v>12.75218408070195</v>
      </c>
      <c r="HO39" s="32">
        <v>32.4412295400261</v>
      </c>
      <c r="HP39" s="32">
        <v>18.747237485431079</v>
      </c>
      <c r="HQ39" s="32">
        <v>21.506041811271356</v>
      </c>
      <c r="HR39" s="32">
        <v>58.82352941176471</v>
      </c>
      <c r="HS39" s="32" t="s">
        <v>34</v>
      </c>
      <c r="HT39" s="32" t="s">
        <v>34</v>
      </c>
      <c r="HU39" s="32" t="s">
        <v>34</v>
      </c>
      <c r="HV39" s="32" t="s">
        <v>34</v>
      </c>
      <c r="HW39" s="17" t="s">
        <v>34</v>
      </c>
      <c r="HX39" s="69"/>
      <c r="HY39" s="32">
        <v>2432.4948079999995</v>
      </c>
      <c r="HZ39" s="32">
        <v>23.847988313725484</v>
      </c>
      <c r="IA39" s="32">
        <v>0.02</v>
      </c>
      <c r="IB39" s="32">
        <v>2585.4027189999997</v>
      </c>
      <c r="IC39" s="32">
        <v>25.347085480392153</v>
      </c>
      <c r="ID39" s="32">
        <v>8.1000000000000003E-2</v>
      </c>
      <c r="IE39" s="32">
        <v>1596.3651379788359</v>
      </c>
      <c r="IF39" s="32">
        <v>15.650638607635647</v>
      </c>
      <c r="IG39" s="32">
        <v>127.00330612698413</v>
      </c>
      <c r="IH39" s="32">
        <v>1.2451304522253346</v>
      </c>
      <c r="II39" s="32">
        <v>861.68422205291006</v>
      </c>
      <c r="IJ39" s="32">
        <v>8.4478845299304908</v>
      </c>
      <c r="IK39" s="32">
        <v>292.21837129365076</v>
      </c>
      <c r="IL39" s="32">
        <v>2.8648859930750077</v>
      </c>
      <c r="IM39" s="32">
        <v>1412.8920438571429</v>
      </c>
      <c r="IN39" s="32">
        <v>13.851882782913165</v>
      </c>
      <c r="IO39" s="32">
        <v>0.11700000000000001</v>
      </c>
      <c r="IP39" s="32">
        <v>-203.42682420634921</v>
      </c>
      <c r="IQ39" s="8">
        <v>-1.9943806294740118</v>
      </c>
      <c r="IR39" s="32">
        <v>1963.3113262222223</v>
      </c>
      <c r="IS39" s="32">
        <v>-0.67418458450046714</v>
      </c>
      <c r="IT39" s="32">
        <v>7.0000000000000007E-2</v>
      </c>
      <c r="IU39" s="32">
        <v>122410.7809465</v>
      </c>
      <c r="IV39" s="32">
        <v>178023.98275049997</v>
      </c>
      <c r="IW39" s="32">
        <v>0.188</v>
      </c>
      <c r="IX39" s="32">
        <v>0.11799999999999999</v>
      </c>
      <c r="IY39" s="32">
        <v>62.234042553191493</v>
      </c>
      <c r="IZ39" s="32">
        <v>6.831858001779116</v>
      </c>
      <c r="JA39" s="32">
        <v>10.942889749193514</v>
      </c>
      <c r="JB39" s="32">
        <v>15.719231877265431</v>
      </c>
      <c r="JC39" s="32">
        <v>85.872882165425224</v>
      </c>
      <c r="JD39" s="32">
        <v>6.831858001779116</v>
      </c>
      <c r="JE39" s="32">
        <v>10.942889749193514</v>
      </c>
      <c r="JF39" s="32">
        <v>15.719231877265431</v>
      </c>
      <c r="JG39" s="32">
        <v>0.33452630175517534</v>
      </c>
      <c r="JH39" s="32">
        <v>7.7285484143848846</v>
      </c>
      <c r="JI39" s="69"/>
      <c r="JJ39" s="32">
        <v>4.4370612285442679</v>
      </c>
      <c r="JK39" s="32">
        <v>-5.4639934206149157</v>
      </c>
      <c r="JL39" s="32">
        <v>-7.7763146347816976</v>
      </c>
      <c r="JM39" s="32">
        <v>-15.183409159617185</v>
      </c>
      <c r="JN39" s="32">
        <v>120.79207920792079</v>
      </c>
      <c r="JO39" s="32">
        <v>-21.228799963190063</v>
      </c>
      <c r="JP39" s="32">
        <v>-8.1632653061224421</v>
      </c>
      <c r="JQ39" s="32">
        <v>103.10360241745357</v>
      </c>
      <c r="JR39" s="32">
        <v>-18.298823706398938</v>
      </c>
      <c r="JS39" s="32">
        <v>-15.271480852916325</v>
      </c>
      <c r="JT39" s="32">
        <v>-17.570732739123528</v>
      </c>
      <c r="JU39" s="69"/>
      <c r="JV39" s="32">
        <v>1454.2743819999998</v>
      </c>
      <c r="JW39" s="32">
        <v>14.257591980392155</v>
      </c>
      <c r="JX39" s="32">
        <v>0.33100000000000002</v>
      </c>
      <c r="JY39" s="32">
        <v>708.06307470315801</v>
      </c>
      <c r="JZ39" s="32">
        <v>6.941794850030961</v>
      </c>
      <c r="KA39" s="32">
        <v>270.01136526315787</v>
      </c>
      <c r="KB39" s="32">
        <v>2.6471702476780181</v>
      </c>
      <c r="KC39" s="32">
        <v>489.03721998315791</v>
      </c>
      <c r="KD39" s="32">
        <v>4.7944825488544893</v>
      </c>
      <c r="KE39" s="32">
        <v>0.47399999999999998</v>
      </c>
      <c r="KF39" s="32">
        <v>0.05</v>
      </c>
      <c r="KG39" s="32">
        <v>30.471064162750601</v>
      </c>
      <c r="KH39" s="32">
        <v>69.528935837249421</v>
      </c>
      <c r="KI39" s="32">
        <v>81.382991327017535</v>
      </c>
      <c r="KJ39" s="32">
        <v>81.012450846259782</v>
      </c>
      <c r="KK39" s="32">
        <v>0.6658555800553283</v>
      </c>
      <c r="KL39" s="32">
        <v>2.1840687764141871</v>
      </c>
      <c r="KM39" s="69"/>
      <c r="KN39" s="32">
        <v>83.369837999999987</v>
      </c>
      <c r="KO39" s="32">
        <v>0.81735135294117633</v>
      </c>
      <c r="KP39" s="32">
        <v>6.0000000000000001E-3</v>
      </c>
      <c r="KQ39" s="32">
        <v>2093.5874179999996</v>
      </c>
      <c r="KR39" s="32">
        <v>20.525366843137252</v>
      </c>
      <c r="KS39" s="32">
        <v>0.129</v>
      </c>
      <c r="KT39" s="32">
        <v>1225.8345763672728</v>
      </c>
      <c r="KU39" s="32">
        <v>12.0179860428164</v>
      </c>
      <c r="KV39" s="32">
        <v>349.5596512509091</v>
      </c>
      <c r="KW39" s="32">
        <v>3.4270554044206776</v>
      </c>
      <c r="KX39" s="32">
        <v>787.69711380909098</v>
      </c>
      <c r="KY39" s="32">
        <v>7.7225207236185387</v>
      </c>
      <c r="KZ39" s="32">
        <v>0.27400000000000002</v>
      </c>
      <c r="LA39" s="32">
        <v>0.05</v>
      </c>
      <c r="LB39" s="32">
        <v>25.716453301356356</v>
      </c>
      <c r="LC39" s="32">
        <v>74.283546698643647</v>
      </c>
      <c r="LD39" s="32">
        <v>87.619052900165471</v>
      </c>
      <c r="LE39" s="32">
        <v>98.875432957157244</v>
      </c>
      <c r="LF39" s="32">
        <v>0.50326966817501539</v>
      </c>
      <c r="LG39" s="32">
        <v>4.1599713839140824</v>
      </c>
      <c r="LH39" s="69"/>
      <c r="LI39" s="32">
        <v>53.546939402664187</v>
      </c>
      <c r="LJ39" s="32">
        <v>36.039342682400985</v>
      </c>
      <c r="LK39" s="32">
        <v>-87.826086956521749</v>
      </c>
      <c r="LL39" s="32">
        <v>-53.475935828876999</v>
      </c>
      <c r="LM39" s="32">
        <v>-16.924082344202262</v>
      </c>
      <c r="LN39" s="69"/>
      <c r="LO39" s="32">
        <v>1709.523434</v>
      </c>
      <c r="LP39" s="32">
        <v>16.760033666666665</v>
      </c>
      <c r="LQ39" s="32">
        <v>1.9E-2</v>
      </c>
      <c r="LR39" s="32">
        <v>2479.472706</v>
      </c>
      <c r="LS39" s="32">
        <v>24.308555941176472</v>
      </c>
      <c r="LT39" s="32">
        <v>8.1000000000000003E-2</v>
      </c>
      <c r="LU39" s="32">
        <v>1476.3056321167514</v>
      </c>
      <c r="LV39" s="32">
        <v>14.473584628595603</v>
      </c>
      <c r="LW39" s="32">
        <v>114.23128145177662</v>
      </c>
      <c r="LX39" s="32">
        <v>1.1199145240370256</v>
      </c>
      <c r="LY39" s="32">
        <v>795.268456784264</v>
      </c>
      <c r="LZ39" s="32">
        <v>7.7967495763163139</v>
      </c>
      <c r="MA39" s="32">
        <v>284.32403926153842</v>
      </c>
      <c r="MB39" s="32">
        <v>2.7874905809954749</v>
      </c>
      <c r="MC39" s="32">
        <v>1349.9209442307692</v>
      </c>
      <c r="MD39" s="32">
        <v>13.234519061085972</v>
      </c>
      <c r="ME39" s="32">
        <v>0.123</v>
      </c>
      <c r="MF39" s="32">
        <v>-215.79944265671639</v>
      </c>
      <c r="MG39" s="8">
        <v>-2.1156808103599647</v>
      </c>
      <c r="MH39" s="32">
        <v>1721.5296533880596</v>
      </c>
      <c r="MI39" s="32">
        <v>-0.34578331109160076</v>
      </c>
      <c r="MJ39" s="32">
        <v>7.2999999999999995E-2</v>
      </c>
      <c r="MK39" s="32">
        <v>114111.821375</v>
      </c>
      <c r="ML39" s="32">
        <v>174697.08713200002</v>
      </c>
      <c r="MM39" s="32">
        <v>0.19600000000000001</v>
      </c>
      <c r="MN39" s="32">
        <v>0.115</v>
      </c>
      <c r="MO39" s="32">
        <v>62.755102040816325</v>
      </c>
      <c r="MP39" s="32">
        <v>12.444346120468319</v>
      </c>
      <c r="MQ39" s="32">
        <v>6.5872904335153919</v>
      </c>
      <c r="MR39" s="32">
        <v>16.395903119030073</v>
      </c>
      <c r="MS39" s="32">
        <v>85.133019990614144</v>
      </c>
      <c r="MT39" s="32">
        <v>12.444346120468319</v>
      </c>
      <c r="MU39" s="32">
        <v>31.099301680310148</v>
      </c>
      <c r="MV39" s="32">
        <v>16.395903119030073</v>
      </c>
      <c r="MW39" s="32">
        <v>20.664720073698863</v>
      </c>
      <c r="MX39" s="32" t="s">
        <v>34</v>
      </c>
      <c r="MY39" s="32" t="s">
        <v>34</v>
      </c>
      <c r="MZ39" s="32" t="s">
        <v>34</v>
      </c>
      <c r="NA39" s="32" t="s">
        <v>34</v>
      </c>
      <c r="NB39" s="17" t="s">
        <v>34</v>
      </c>
      <c r="NC39" s="69"/>
      <c r="ND39" s="32">
        <v>2599.7215430000001</v>
      </c>
      <c r="NE39" s="32">
        <v>25.487466107843137</v>
      </c>
      <c r="NF39" s="32">
        <v>2.1000000000000001E-2</v>
      </c>
      <c r="NG39" s="32">
        <v>2599.7215430000001</v>
      </c>
      <c r="NH39" s="32">
        <v>25.487466107843137</v>
      </c>
      <c r="NI39" s="32">
        <v>2.1000000000000001E-2</v>
      </c>
      <c r="NJ39" s="32">
        <v>1595.7316561151836</v>
      </c>
      <c r="NK39" s="32">
        <v>15.644428001129251</v>
      </c>
      <c r="NL39" s="32">
        <v>119.20196930366494</v>
      </c>
      <c r="NM39" s="32">
        <v>1.168646757879068</v>
      </c>
      <c r="NN39" s="32">
        <v>857.46681270942429</v>
      </c>
      <c r="NO39" s="32">
        <v>8.4065373795041598</v>
      </c>
      <c r="NP39" s="32">
        <v>287.11554553968256</v>
      </c>
      <c r="NQ39" s="32">
        <v>2.8148582896047309</v>
      </c>
      <c r="NR39" s="32">
        <v>1386.7407248888887</v>
      </c>
      <c r="NS39" s="32">
        <v>13.595497302832243</v>
      </c>
      <c r="NT39" s="32">
        <v>0.115</v>
      </c>
      <c r="NU39" s="32">
        <v>-206.2920400153846</v>
      </c>
      <c r="NV39" s="8">
        <v>-2.0224709805429861</v>
      </c>
      <c r="NW39" s="32">
        <v>2000.8525381846157</v>
      </c>
      <c r="NX39" s="32">
        <v>0.65869277571644036</v>
      </c>
      <c r="NY39" s="32">
        <v>7.2999999999999995E-2</v>
      </c>
      <c r="NZ39" s="32">
        <v>128785.3008365</v>
      </c>
      <c r="OA39" s="32">
        <v>174733.41597200002</v>
      </c>
      <c r="OB39" s="32">
        <v>0.19</v>
      </c>
      <c r="OC39" s="32">
        <v>0.115</v>
      </c>
      <c r="OD39" s="32">
        <v>60.526315789473685</v>
      </c>
      <c r="OE39" s="32">
        <v>6.4247982773987706</v>
      </c>
      <c r="OF39" s="32">
        <v>11.118815830596947</v>
      </c>
      <c r="OG39" s="32">
        <v>15.475075396602907</v>
      </c>
      <c r="OH39" s="32">
        <v>86.007421314341528</v>
      </c>
      <c r="OI39" s="32">
        <v>6.4247982773987706</v>
      </c>
      <c r="OJ39" s="32">
        <v>11.118815830596947</v>
      </c>
      <c r="OK39" s="32">
        <v>15.475075396602907</v>
      </c>
      <c r="OL39" s="32">
        <v>0.34170475407145212</v>
      </c>
      <c r="OM39" s="32">
        <v>7.6080929867788312</v>
      </c>
      <c r="ON39" s="69"/>
      <c r="OO39" s="32">
        <v>7.7750373965783455</v>
      </c>
      <c r="OP39" s="32">
        <v>-4.5049014403910901</v>
      </c>
      <c r="OQ39" s="32">
        <v>0.9770083670752997</v>
      </c>
      <c r="OR39" s="32">
        <v>4.7349572040358519</v>
      </c>
      <c r="OS39" s="32">
        <v>-117.64705882352939</v>
      </c>
      <c r="OT39" s="32">
        <v>41.315734600901536</v>
      </c>
      <c r="OU39" s="32">
        <v>-3.108808290155443</v>
      </c>
      <c r="OV39" s="32">
        <v>110.49555329668735</v>
      </c>
      <c r="OW39" s="32">
        <v>2.4975568446644165</v>
      </c>
      <c r="OX39" s="32">
        <v>-11.250869408988176</v>
      </c>
      <c r="OY39" s="32">
        <v>-5.7784716084289185</v>
      </c>
    </row>
    <row r="40" spans="1:415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9"/>
      <c r="K40" s="32">
        <v>1050.752121</v>
      </c>
      <c r="L40" s="32">
        <v>16.418001890625</v>
      </c>
      <c r="M40" s="32">
        <v>0.379</v>
      </c>
      <c r="N40" s="32">
        <v>534.5264492231405</v>
      </c>
      <c r="O40" s="32">
        <v>8.3519757691115704</v>
      </c>
      <c r="P40" s="32">
        <v>257.04742563636364</v>
      </c>
      <c r="Q40" s="32">
        <v>4.0163660255681819</v>
      </c>
      <c r="R40" s="32">
        <v>395.78693742975207</v>
      </c>
      <c r="S40" s="32">
        <v>6.1841708973398761</v>
      </c>
      <c r="T40" s="32">
        <v>0.48299999999999998</v>
      </c>
      <c r="U40" s="32">
        <v>5.3999999999999999E-2</v>
      </c>
      <c r="V40" s="32">
        <v>30.809882506125305</v>
      </c>
      <c r="W40" s="32">
        <v>69.042108409877812</v>
      </c>
      <c r="X40" s="32">
        <v>73.375265052173418</v>
      </c>
      <c r="Y40" s="32">
        <v>99.488490913871914</v>
      </c>
      <c r="Z40" s="32">
        <v>0.83776486051243837</v>
      </c>
      <c r="AA40" s="32">
        <v>1.2542327453998046</v>
      </c>
      <c r="AB40" s="69"/>
      <c r="AC40" s="32">
        <v>512.89672499999995</v>
      </c>
      <c r="AD40" s="32">
        <v>8.0140113281249992</v>
      </c>
      <c r="AE40" s="32">
        <v>1.4999999999999999E-2</v>
      </c>
      <c r="AF40" s="32">
        <v>1339.958719</v>
      </c>
      <c r="AG40" s="32">
        <v>20.936854984375</v>
      </c>
      <c r="AH40" s="32">
        <v>0.121</v>
      </c>
      <c r="AI40" s="32">
        <v>779.76565132017549</v>
      </c>
      <c r="AJ40" s="32">
        <v>12.183838301877742</v>
      </c>
      <c r="AK40" s="32">
        <v>320.93627559649127</v>
      </c>
      <c r="AL40" s="32">
        <v>5.0146293061951761</v>
      </c>
      <c r="AM40" s="32">
        <v>550.35096345833335</v>
      </c>
      <c r="AN40" s="32">
        <v>8.5992338040364587</v>
      </c>
      <c r="AO40" s="32">
        <v>0.22700000000000001</v>
      </c>
      <c r="AP40" s="32">
        <v>5.3999999999999999E-2</v>
      </c>
      <c r="AQ40" s="32">
        <v>32.612460806285306</v>
      </c>
      <c r="AR40" s="32">
        <v>67.387539193714701</v>
      </c>
      <c r="AS40" s="32">
        <v>90.32260026387867</v>
      </c>
      <c r="AT40" s="32">
        <v>95.713500001482458</v>
      </c>
      <c r="AU40" s="32">
        <v>0.32900575367250445</v>
      </c>
      <c r="AV40" s="32">
        <v>4.0727516283311198</v>
      </c>
      <c r="AW40" s="69"/>
      <c r="AX40" s="32">
        <v>37.318827678513081</v>
      </c>
      <c r="AY40" s="32">
        <v>24.194193054313505</v>
      </c>
      <c r="AZ40" s="32">
        <v>-103.2</v>
      </c>
      <c r="BA40" s="32">
        <v>-72.112676056338032</v>
      </c>
      <c r="BB40" s="32">
        <v>5.6843636044184711</v>
      </c>
      <c r="BC40" s="69"/>
      <c r="BD40" s="32">
        <v>1256.769198</v>
      </c>
      <c r="BE40" s="32">
        <v>19.637018718749999</v>
      </c>
      <c r="BF40" s="32">
        <v>1.2999999999999999E-2</v>
      </c>
      <c r="BG40" s="32">
        <v>1647.3793839999998</v>
      </c>
      <c r="BH40" s="32">
        <v>25.740302874999998</v>
      </c>
      <c r="BI40" s="32">
        <v>7.1999999999999995E-2</v>
      </c>
      <c r="BJ40" s="32">
        <v>1053.1821807643312</v>
      </c>
      <c r="BK40" s="32">
        <v>16.455971574442675</v>
      </c>
      <c r="BL40" s="32">
        <v>165.90392318471336</v>
      </c>
      <c r="BM40" s="32">
        <v>2.5922487997611463</v>
      </c>
      <c r="BN40" s="32">
        <v>609.54305197452231</v>
      </c>
      <c r="BO40" s="32">
        <v>9.5241101871019112</v>
      </c>
      <c r="BP40" s="32">
        <v>265.44563041379308</v>
      </c>
      <c r="BQ40" s="32">
        <v>4.1475879752155169</v>
      </c>
      <c r="BR40" s="32">
        <v>1008.6772887672414</v>
      </c>
      <c r="BS40" s="32">
        <v>15.760582636988147</v>
      </c>
      <c r="BT40" s="32">
        <v>0.10100000000000001</v>
      </c>
      <c r="BU40" s="32">
        <v>-115.72627287804876</v>
      </c>
      <c r="BV40" s="8">
        <v>-1.8082230137195119</v>
      </c>
      <c r="BW40" s="32">
        <v>1179.0984605609756</v>
      </c>
      <c r="BX40" s="32" t="s">
        <v>34</v>
      </c>
      <c r="BY40" s="32">
        <v>5.3999999999999999E-2</v>
      </c>
      <c r="BZ40" s="32">
        <v>47565.973393499989</v>
      </c>
      <c r="CA40" s="32">
        <v>117006.15973799999</v>
      </c>
      <c r="CB40" s="32">
        <v>0.156</v>
      </c>
      <c r="CC40" s="32" t="s">
        <v>34</v>
      </c>
      <c r="CD40" s="32">
        <v>64.743589743589752</v>
      </c>
      <c r="CE40" s="32">
        <v>9.2719733703187011</v>
      </c>
      <c r="CF40" s="32">
        <v>13.292199943404919</v>
      </c>
      <c r="CG40" s="32">
        <v>21.267468097393436</v>
      </c>
      <c r="CH40" s="32">
        <v>84.380814237674443</v>
      </c>
      <c r="CI40" s="32">
        <v>9.2719733703187011</v>
      </c>
      <c r="CJ40" s="32">
        <v>40.14394471308669</v>
      </c>
      <c r="CK40" s="32">
        <v>21.267468097393436</v>
      </c>
      <c r="CL40" s="32">
        <v>25.278522337396314</v>
      </c>
      <c r="CM40" s="32" t="s">
        <v>34</v>
      </c>
      <c r="CN40" s="32" t="s">
        <v>34</v>
      </c>
      <c r="CO40" s="32" t="s">
        <v>34</v>
      </c>
      <c r="CP40" s="32" t="s">
        <v>34</v>
      </c>
      <c r="CQ40" s="17" t="s">
        <v>34</v>
      </c>
      <c r="CR40" s="69"/>
      <c r="CS40" s="32" t="s">
        <v>34</v>
      </c>
      <c r="CT40" s="32" t="s">
        <v>34</v>
      </c>
      <c r="CU40" s="32" t="s">
        <v>34</v>
      </c>
      <c r="CV40" s="32" t="s">
        <v>34</v>
      </c>
      <c r="CW40" s="32" t="s">
        <v>34</v>
      </c>
      <c r="CX40" s="32" t="s">
        <v>34</v>
      </c>
      <c r="CY40" s="32" t="s">
        <v>34</v>
      </c>
      <c r="CZ40" s="32" t="s">
        <v>34</v>
      </c>
      <c r="DA40" s="32" t="s">
        <v>34</v>
      </c>
      <c r="DB40" s="32" t="s">
        <v>34</v>
      </c>
      <c r="DC40" s="32" t="s">
        <v>34</v>
      </c>
      <c r="DD40" s="32" t="s">
        <v>34</v>
      </c>
      <c r="DE40" s="32" t="s">
        <v>34</v>
      </c>
      <c r="DF40" s="32" t="s">
        <v>34</v>
      </c>
      <c r="DG40" s="32" t="s">
        <v>34</v>
      </c>
      <c r="DH40" s="32" t="s">
        <v>34</v>
      </c>
      <c r="DI40" s="32" t="s">
        <v>34</v>
      </c>
      <c r="DJ40" s="32" t="s">
        <v>34</v>
      </c>
      <c r="DK40" s="8" t="s">
        <v>34</v>
      </c>
      <c r="DL40" s="32" t="s">
        <v>34</v>
      </c>
      <c r="DM40" s="32" t="s">
        <v>34</v>
      </c>
      <c r="DN40" s="32" t="s">
        <v>34</v>
      </c>
      <c r="DO40" s="32" t="s">
        <v>34</v>
      </c>
      <c r="DP40" s="32" t="s">
        <v>34</v>
      </c>
      <c r="DQ40" s="32" t="s">
        <v>34</v>
      </c>
      <c r="DR40" s="32" t="s">
        <v>34</v>
      </c>
      <c r="DS40" s="32" t="s">
        <v>34</v>
      </c>
      <c r="DT40" s="32" t="s">
        <v>34</v>
      </c>
      <c r="DU40" s="32" t="s">
        <v>34</v>
      </c>
      <c r="DV40" s="32" t="s">
        <v>34</v>
      </c>
      <c r="DW40" s="32" t="s">
        <v>34</v>
      </c>
      <c r="DX40" s="32" t="s">
        <v>34</v>
      </c>
      <c r="DY40" s="32" t="s">
        <v>34</v>
      </c>
      <c r="DZ40" s="32" t="s">
        <v>34</v>
      </c>
      <c r="EA40" s="32" t="s">
        <v>34</v>
      </c>
      <c r="EB40" s="32" t="s">
        <v>34</v>
      </c>
      <c r="EC40" s="69"/>
      <c r="ED40" s="32" t="s">
        <v>34</v>
      </c>
      <c r="EE40" s="32" t="s">
        <v>34</v>
      </c>
      <c r="EF40" s="32" t="s">
        <v>34</v>
      </c>
      <c r="EG40" s="32" t="s">
        <v>34</v>
      </c>
      <c r="EH40" s="32" t="s">
        <v>34</v>
      </c>
      <c r="EI40" s="32" t="s">
        <v>34</v>
      </c>
      <c r="EJ40" s="32" t="s">
        <v>34</v>
      </c>
      <c r="EK40" s="32" t="s">
        <v>34</v>
      </c>
      <c r="EL40" s="32" t="s">
        <v>34</v>
      </c>
      <c r="EM40" s="32" t="s">
        <v>34</v>
      </c>
      <c r="EN40" s="32" t="s">
        <v>34</v>
      </c>
      <c r="EO40" s="69"/>
      <c r="EP40" s="32">
        <v>1510.3772889999998</v>
      </c>
      <c r="EQ40" s="32">
        <v>23.599645140624997</v>
      </c>
      <c r="ER40" s="32">
        <v>0.36699999999999999</v>
      </c>
      <c r="ES40" s="32">
        <v>671.58699068201179</v>
      </c>
      <c r="ET40" s="32">
        <v>10.493546729406434</v>
      </c>
      <c r="EU40" s="32">
        <v>69.413760653878924</v>
      </c>
      <c r="EV40" s="32">
        <v>1.0845900102168582</v>
      </c>
      <c r="EW40" s="32">
        <v>370.50037566794538</v>
      </c>
      <c r="EX40" s="32">
        <v>5.7890683698116465</v>
      </c>
      <c r="EY40" s="32">
        <v>0.33800000000000002</v>
      </c>
      <c r="EZ40" s="32">
        <v>8.6999999999999994E-2</v>
      </c>
      <c r="FA40" s="32">
        <v>21.769557692526</v>
      </c>
      <c r="FB40" s="32">
        <v>80.327861803632771</v>
      </c>
      <c r="FC40" s="32">
        <v>94.999996219202572</v>
      </c>
      <c r="FD40" s="32">
        <v>99.950963826273536</v>
      </c>
      <c r="FE40" s="32">
        <v>7.7898224221177976</v>
      </c>
      <c r="FF40" s="32">
        <v>0.19389110651759603</v>
      </c>
      <c r="FG40" s="69"/>
      <c r="FH40" s="32">
        <v>680.53809300000012</v>
      </c>
      <c r="FI40" s="32">
        <v>10.633407703125002</v>
      </c>
      <c r="FJ40" s="32">
        <v>1.6E-2</v>
      </c>
      <c r="FK40" s="32">
        <v>1726.2407869999997</v>
      </c>
      <c r="FL40" s="32">
        <v>26.972512296874996</v>
      </c>
      <c r="FM40" s="32">
        <v>9.9000000000000005E-2</v>
      </c>
      <c r="FN40" s="32">
        <v>1025.496026</v>
      </c>
      <c r="FO40" s="32">
        <v>16.02337540625</v>
      </c>
      <c r="FP40" s="32">
        <v>332.19955784834121</v>
      </c>
      <c r="FQ40" s="32">
        <v>5.1906180913803315</v>
      </c>
      <c r="FR40" s="32">
        <v>678.84779192417068</v>
      </c>
      <c r="FS40" s="32">
        <v>10.606996748815167</v>
      </c>
      <c r="FT40" s="32">
        <v>0.21</v>
      </c>
      <c r="FU40" s="32">
        <v>8.6999999999999994E-2</v>
      </c>
      <c r="FV40" s="32">
        <v>30.176556048521235</v>
      </c>
      <c r="FW40" s="32">
        <v>69.823443951478751</v>
      </c>
      <c r="FX40" s="32">
        <v>76.243090368165468</v>
      </c>
      <c r="FY40" s="32">
        <v>99.795291783564679</v>
      </c>
      <c r="FZ40" s="32">
        <v>0.38778600848429429</v>
      </c>
      <c r="GA40" s="32">
        <v>4.4515293208932638</v>
      </c>
      <c r="GB40" s="69"/>
      <c r="GC40" s="32">
        <v>41.707922575280989</v>
      </c>
      <c r="GD40" s="32">
        <v>13.338830404529938</v>
      </c>
      <c r="GE40" s="32">
        <v>-115.02145922746783</v>
      </c>
      <c r="GF40" s="32">
        <v>-46.715328467153292</v>
      </c>
      <c r="GG40" s="32">
        <v>87.764976129279205</v>
      </c>
      <c r="GH40" s="69"/>
      <c r="GI40" s="32">
        <v>1193.8495809999999</v>
      </c>
      <c r="GJ40" s="32">
        <v>18.653899703124999</v>
      </c>
      <c r="GK40" s="32">
        <v>1.4E-2</v>
      </c>
      <c r="GL40" s="32">
        <v>1660.8505490000002</v>
      </c>
      <c r="GM40" s="32">
        <v>25.950789828125004</v>
      </c>
      <c r="GN40" s="32">
        <v>7.8E-2</v>
      </c>
      <c r="GO40" s="32">
        <v>1031.2349974736844</v>
      </c>
      <c r="GP40" s="32">
        <v>16.113046835526319</v>
      </c>
      <c r="GQ40" s="32">
        <v>160.26705139766082</v>
      </c>
      <c r="GR40" s="32">
        <v>2.5041726780884503</v>
      </c>
      <c r="GS40" s="32">
        <v>595.75102443567266</v>
      </c>
      <c r="GT40" s="32">
        <v>9.3086097568073853</v>
      </c>
      <c r="GU40" s="32">
        <v>283.77017294262293</v>
      </c>
      <c r="GV40" s="32">
        <v>4.4339089522284834</v>
      </c>
      <c r="GW40" s="32">
        <v>1016.0258386065574</v>
      </c>
      <c r="GX40" s="32">
        <v>15.875403728227459</v>
      </c>
      <c r="GY40" s="32">
        <v>0.111</v>
      </c>
      <c r="GZ40" s="32">
        <v>-147.23051653061225</v>
      </c>
      <c r="HA40" s="8">
        <v>-2.3004768207908164</v>
      </c>
      <c r="HB40" s="32">
        <v>1069.1026991428573</v>
      </c>
      <c r="HC40" s="32">
        <v>-0.85192025255102055</v>
      </c>
      <c r="HD40" s="32">
        <v>5.8999999999999997E-2</v>
      </c>
      <c r="HE40" s="32">
        <v>51597.805880499989</v>
      </c>
      <c r="HF40" s="32">
        <v>123554.262947</v>
      </c>
      <c r="HG40" s="32">
        <v>0.17</v>
      </c>
      <c r="HH40" s="32">
        <v>0.113</v>
      </c>
      <c r="HI40" s="32">
        <v>65.294117647058826</v>
      </c>
      <c r="HJ40" s="32">
        <v>11.347854944839067</v>
      </c>
      <c r="HK40" s="32">
        <v>12.352651437717261</v>
      </c>
      <c r="HL40" s="32">
        <v>21.87170727989152</v>
      </c>
      <c r="HM40" s="32">
        <v>79.482877878375845</v>
      </c>
      <c r="HN40" s="32">
        <v>11.347854944839067</v>
      </c>
      <c r="HO40" s="32">
        <v>41.512422320935386</v>
      </c>
      <c r="HP40" s="32">
        <v>21.87170727989152</v>
      </c>
      <c r="HQ40" s="32">
        <v>22.513278824905452</v>
      </c>
      <c r="HR40" s="32">
        <v>65.294117647058826</v>
      </c>
      <c r="HS40" s="32" t="s">
        <v>34</v>
      </c>
      <c r="HT40" s="32" t="s">
        <v>34</v>
      </c>
      <c r="HU40" s="32" t="s">
        <v>34</v>
      </c>
      <c r="HV40" s="32" t="s">
        <v>34</v>
      </c>
      <c r="HW40" s="17" t="s">
        <v>34</v>
      </c>
      <c r="HX40" s="69"/>
      <c r="HY40" s="32">
        <v>1434.0586049999999</v>
      </c>
      <c r="HZ40" s="32">
        <v>22.407165703124999</v>
      </c>
      <c r="IA40" s="32">
        <v>1.2999999999999999E-2</v>
      </c>
      <c r="IB40" s="32">
        <v>1438.0801319999998</v>
      </c>
      <c r="IC40" s="32">
        <v>22.470002062499997</v>
      </c>
      <c r="ID40" s="32">
        <v>7.4999999999999997E-2</v>
      </c>
      <c r="IE40" s="32">
        <v>979.33420152903216</v>
      </c>
      <c r="IF40" s="32">
        <v>15.302096898891127</v>
      </c>
      <c r="IG40" s="32">
        <v>140.53297440645159</v>
      </c>
      <c r="IH40" s="32">
        <v>2.195827725100806</v>
      </c>
      <c r="II40" s="32">
        <v>559.93358796774191</v>
      </c>
      <c r="IJ40" s="32">
        <v>8.7489623119959674</v>
      </c>
      <c r="IK40" s="32">
        <v>262.74757200900899</v>
      </c>
      <c r="IL40" s="32">
        <v>4.1054308126407655</v>
      </c>
      <c r="IM40" s="32">
        <v>915.05169982882899</v>
      </c>
      <c r="IN40" s="32">
        <v>14.297682809825453</v>
      </c>
      <c r="IO40" s="32">
        <v>9.9000000000000005E-2</v>
      </c>
      <c r="IP40" s="32">
        <v>-167.78112409090909</v>
      </c>
      <c r="IQ40" s="8">
        <v>-2.6215800639204545</v>
      </c>
      <c r="IR40" s="32">
        <v>1141.5014217272726</v>
      </c>
      <c r="IS40" s="32">
        <v>1.3623647766335225</v>
      </c>
      <c r="IT40" s="32">
        <v>5.5E-2</v>
      </c>
      <c r="IU40" s="32">
        <v>49551.737087499998</v>
      </c>
      <c r="IV40" s="32">
        <v>100969.12511449998</v>
      </c>
      <c r="IW40" s="32">
        <v>0.154</v>
      </c>
      <c r="IX40" s="32">
        <v>0.113</v>
      </c>
      <c r="IY40" s="32">
        <v>64.285714285714292</v>
      </c>
      <c r="IZ40" s="32">
        <v>11.565323847527329</v>
      </c>
      <c r="JA40" s="32">
        <v>13.807741875592516</v>
      </c>
      <c r="JB40" s="32">
        <v>21.623115665700965</v>
      </c>
      <c r="JC40" s="32">
        <v>80.595442055362071</v>
      </c>
      <c r="JD40" s="32">
        <v>11.565323847527329</v>
      </c>
      <c r="JE40" s="32">
        <v>13.807741875592516</v>
      </c>
      <c r="JF40" s="32">
        <v>21.623115665700965</v>
      </c>
      <c r="JG40" s="32">
        <v>0.21457168210584585</v>
      </c>
      <c r="JH40" s="32">
        <v>6.7020965575998552</v>
      </c>
      <c r="JI40" s="69"/>
      <c r="JJ40" s="32">
        <v>5.1627962837982508</v>
      </c>
      <c r="JK40" s="32">
        <v>-13.047522637417632</v>
      </c>
      <c r="JL40" s="32">
        <v>7.6932912527751469</v>
      </c>
      <c r="JM40" s="32">
        <v>14.377244277572171</v>
      </c>
      <c r="JN40" s="32">
        <v>3.9215686274509838</v>
      </c>
      <c r="JO40" s="32">
        <v>-18.281386334552867</v>
      </c>
      <c r="JP40" s="32">
        <v>9.8765432098765515</v>
      </c>
      <c r="JQ40" s="32">
        <v>-125.52907007013701</v>
      </c>
      <c r="JR40" s="32">
        <v>6.5835638744525982</v>
      </c>
      <c r="JS40" s="32">
        <v>-19.557372844801744</v>
      </c>
      <c r="JT40" s="32">
        <v>1.1430859921030962</v>
      </c>
      <c r="JU40" s="69"/>
      <c r="JV40" s="32">
        <v>992.73768800000005</v>
      </c>
      <c r="JW40" s="32">
        <v>15.511526375000001</v>
      </c>
      <c r="JX40" s="32">
        <v>0.254</v>
      </c>
      <c r="JY40" s="32">
        <v>629.95452892286505</v>
      </c>
      <c r="JZ40" s="32">
        <v>9.8430395144197664</v>
      </c>
      <c r="KA40" s="32">
        <v>293.09298534710746</v>
      </c>
      <c r="KB40" s="32">
        <v>4.579577896048554</v>
      </c>
      <c r="KC40" s="32">
        <v>461.52375713498623</v>
      </c>
      <c r="KD40" s="32">
        <v>7.2113087052341598</v>
      </c>
      <c r="KE40" s="32">
        <v>0.36199999999999999</v>
      </c>
      <c r="KF40" s="32">
        <v>5.5E-2</v>
      </c>
      <c r="KG40" s="32">
        <v>32.859639760406722</v>
      </c>
      <c r="KH40" s="32">
        <v>67.140360239593306</v>
      </c>
      <c r="KI40" s="32">
        <v>84.878073850864638</v>
      </c>
      <c r="KJ40" s="32">
        <v>80.777844960100225</v>
      </c>
      <c r="KK40" s="32">
        <v>0.63192029021166873</v>
      </c>
      <c r="KL40" s="32">
        <v>1.5709856185619098</v>
      </c>
      <c r="KM40" s="69"/>
      <c r="KN40" s="32">
        <v>478.57858799999997</v>
      </c>
      <c r="KO40" s="32">
        <v>7.4777904374999995</v>
      </c>
      <c r="KP40" s="32">
        <v>1.2999999999999999E-2</v>
      </c>
      <c r="KQ40" s="32">
        <v>1327.731845</v>
      </c>
      <c r="KR40" s="32">
        <v>20.745810078125</v>
      </c>
      <c r="KS40" s="32">
        <v>0.123</v>
      </c>
      <c r="KT40" s="32">
        <v>796.63680719823788</v>
      </c>
      <c r="KU40" s="32">
        <v>12.447450112472467</v>
      </c>
      <c r="KV40" s="32">
        <v>295.59370814537442</v>
      </c>
      <c r="KW40" s="32">
        <v>4.6186516897714753</v>
      </c>
      <c r="KX40" s="32">
        <v>546.11525767180615</v>
      </c>
      <c r="KY40" s="32">
        <v>8.5330509011219711</v>
      </c>
      <c r="KZ40" s="32">
        <v>0.22600000000000001</v>
      </c>
      <c r="LA40" s="32">
        <v>5.5E-2</v>
      </c>
      <c r="LB40" s="32">
        <v>31.461577731001725</v>
      </c>
      <c r="LC40" s="32">
        <v>68.538422268998289</v>
      </c>
      <c r="LD40" s="32">
        <v>74.468135311662323</v>
      </c>
      <c r="LE40" s="32">
        <v>95.296626043260702</v>
      </c>
      <c r="LF40" s="32">
        <v>0.3328575914556211</v>
      </c>
      <c r="LG40" s="32">
        <v>3.9888885790277144</v>
      </c>
      <c r="LH40" s="69"/>
      <c r="LI40" s="32">
        <v>-23.367908391842811</v>
      </c>
      <c r="LJ40" s="32">
        <v>-28.872963185765734</v>
      </c>
      <c r="LK40" s="32">
        <v>69.49602122015915</v>
      </c>
      <c r="LL40" s="32">
        <v>46.258503401360542</v>
      </c>
      <c r="LM40" s="32">
        <v>4.3471255176155204</v>
      </c>
      <c r="LN40" s="69"/>
      <c r="LO40" s="32">
        <v>1413.4099819999999</v>
      </c>
      <c r="LP40" s="32">
        <v>22.084530968749998</v>
      </c>
      <c r="LQ40" s="32">
        <v>1.4999999999999999E-2</v>
      </c>
      <c r="LR40" s="32">
        <v>1655.0797699999998</v>
      </c>
      <c r="LS40" s="32">
        <v>25.860621406249997</v>
      </c>
      <c r="LT40" s="32">
        <v>7.8E-2</v>
      </c>
      <c r="LU40" s="32">
        <v>1058.6994183139534</v>
      </c>
      <c r="LV40" s="32">
        <v>16.542178411155522</v>
      </c>
      <c r="LW40" s="32">
        <v>113.67244734302325</v>
      </c>
      <c r="LX40" s="32">
        <v>1.7761319897347383</v>
      </c>
      <c r="LY40" s="32">
        <v>586.18593282848838</v>
      </c>
      <c r="LZ40" s="32">
        <v>9.1591552004451309</v>
      </c>
      <c r="MA40" s="32">
        <v>244.21265026956522</v>
      </c>
      <c r="MB40" s="32">
        <v>3.8158226604619565</v>
      </c>
      <c r="MC40" s="32">
        <v>960.04757134782596</v>
      </c>
      <c r="MD40" s="32">
        <v>15.000743302309781</v>
      </c>
      <c r="ME40" s="32">
        <v>0.105</v>
      </c>
      <c r="MF40" s="32">
        <v>-149.69813750877196</v>
      </c>
      <c r="MG40" s="8">
        <v>-2.3390333985745619</v>
      </c>
      <c r="MH40" s="32">
        <v>1257.7338464035088</v>
      </c>
      <c r="MI40" s="32">
        <v>0.49928360498903507</v>
      </c>
      <c r="MJ40" s="32">
        <v>6.6000000000000003E-2</v>
      </c>
      <c r="MK40" s="32">
        <v>70868.212582000007</v>
      </c>
      <c r="ML40" s="32">
        <v>110194.6566395</v>
      </c>
      <c r="MM40" s="32">
        <v>0.17100000000000001</v>
      </c>
      <c r="MN40" s="32" t="s">
        <v>34</v>
      </c>
      <c r="MO40" s="32">
        <v>61.403508771929815</v>
      </c>
      <c r="MP40" s="32">
        <v>12.002965019536383</v>
      </c>
      <c r="MQ40" s="32">
        <v>9.1143846666993333</v>
      </c>
      <c r="MR40" s="32">
        <v>19.581244945963991</v>
      </c>
      <c r="MS40" s="32">
        <v>84.887709998938817</v>
      </c>
      <c r="MT40" s="32">
        <v>12.002965019536383</v>
      </c>
      <c r="MU40" s="32">
        <v>36.673962165467842</v>
      </c>
      <c r="MV40" s="32">
        <v>19.581244945963991</v>
      </c>
      <c r="MW40" s="32">
        <v>23.266453588258557</v>
      </c>
      <c r="MX40" s="32" t="s">
        <v>34</v>
      </c>
      <c r="MY40" s="32" t="s">
        <v>34</v>
      </c>
      <c r="MZ40" s="32" t="s">
        <v>34</v>
      </c>
      <c r="NA40" s="32" t="s">
        <v>34</v>
      </c>
      <c r="NB40" s="17" t="s">
        <v>34</v>
      </c>
      <c r="NC40" s="69"/>
      <c r="ND40" s="32" t="s">
        <v>34</v>
      </c>
      <c r="NE40" s="32" t="s">
        <v>34</v>
      </c>
      <c r="NF40" s="32" t="s">
        <v>34</v>
      </c>
      <c r="NG40" s="32" t="s">
        <v>34</v>
      </c>
      <c r="NH40" s="32" t="s">
        <v>34</v>
      </c>
      <c r="NI40" s="32" t="s">
        <v>34</v>
      </c>
      <c r="NJ40" s="32" t="s">
        <v>34</v>
      </c>
      <c r="NK40" s="32" t="s">
        <v>34</v>
      </c>
      <c r="NL40" s="32" t="s">
        <v>34</v>
      </c>
      <c r="NM40" s="32" t="s">
        <v>34</v>
      </c>
      <c r="NN40" s="32" t="s">
        <v>34</v>
      </c>
      <c r="NO40" s="32" t="s">
        <v>34</v>
      </c>
      <c r="NP40" s="32" t="s">
        <v>34</v>
      </c>
      <c r="NQ40" s="32" t="s">
        <v>34</v>
      </c>
      <c r="NR40" s="32" t="s">
        <v>34</v>
      </c>
      <c r="NS40" s="32" t="s">
        <v>34</v>
      </c>
      <c r="NT40" s="32" t="s">
        <v>34</v>
      </c>
      <c r="NU40" s="32" t="s">
        <v>34</v>
      </c>
      <c r="NV40" s="8" t="s">
        <v>34</v>
      </c>
      <c r="NW40" s="32" t="s">
        <v>34</v>
      </c>
      <c r="NX40" s="32" t="s">
        <v>34</v>
      </c>
      <c r="NY40" s="32" t="s">
        <v>34</v>
      </c>
      <c r="NZ40" s="32" t="s">
        <v>34</v>
      </c>
      <c r="OA40" s="32" t="s">
        <v>34</v>
      </c>
      <c r="OB40" s="32" t="s">
        <v>34</v>
      </c>
      <c r="OC40" s="32" t="s">
        <v>34</v>
      </c>
      <c r="OD40" s="32" t="s">
        <v>34</v>
      </c>
      <c r="OE40" s="32" t="s">
        <v>34</v>
      </c>
      <c r="OF40" s="32" t="s">
        <v>34</v>
      </c>
      <c r="OG40" s="32" t="s">
        <v>34</v>
      </c>
      <c r="OH40" s="32" t="s">
        <v>34</v>
      </c>
      <c r="OI40" s="32" t="s">
        <v>34</v>
      </c>
      <c r="OJ40" s="32" t="s">
        <v>34</v>
      </c>
      <c r="OK40" s="32" t="s">
        <v>34</v>
      </c>
      <c r="OL40" s="32" t="s">
        <v>34</v>
      </c>
      <c r="OM40" s="32" t="s">
        <v>34</v>
      </c>
      <c r="ON40" s="69"/>
      <c r="OO40" s="32" t="s">
        <v>34</v>
      </c>
      <c r="OP40" s="32" t="s">
        <v>34</v>
      </c>
      <c r="OQ40" s="32" t="s">
        <v>34</v>
      </c>
      <c r="OR40" s="32" t="s">
        <v>34</v>
      </c>
      <c r="OS40" s="32" t="s">
        <v>34</v>
      </c>
      <c r="OT40" s="32" t="s">
        <v>34</v>
      </c>
      <c r="OU40" s="32" t="s">
        <v>34</v>
      </c>
      <c r="OV40" s="32" t="s">
        <v>34</v>
      </c>
      <c r="OW40" s="32" t="s">
        <v>34</v>
      </c>
      <c r="OX40" s="32" t="s">
        <v>34</v>
      </c>
      <c r="OY40" s="32" t="s">
        <v>34</v>
      </c>
    </row>
    <row r="41" spans="1:415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9"/>
      <c r="K41" s="32" t="s">
        <v>34</v>
      </c>
      <c r="L41" s="32" t="s">
        <v>34</v>
      </c>
      <c r="M41" s="32" t="s">
        <v>34</v>
      </c>
      <c r="N41" s="32" t="s">
        <v>34</v>
      </c>
      <c r="O41" s="32" t="s">
        <v>34</v>
      </c>
      <c r="P41" s="32" t="s">
        <v>34</v>
      </c>
      <c r="Q41" s="32" t="s">
        <v>34</v>
      </c>
      <c r="R41" s="32" t="s">
        <v>34</v>
      </c>
      <c r="S41" s="32" t="s">
        <v>34</v>
      </c>
      <c r="T41" s="32" t="s">
        <v>34</v>
      </c>
      <c r="U41" s="32" t="s">
        <v>34</v>
      </c>
      <c r="V41" s="32" t="s">
        <v>34</v>
      </c>
      <c r="W41" s="32" t="s">
        <v>34</v>
      </c>
      <c r="X41" s="32" t="s">
        <v>34</v>
      </c>
      <c r="Y41" s="32" t="s">
        <v>34</v>
      </c>
      <c r="Z41" s="32" t="s">
        <v>34</v>
      </c>
      <c r="AA41" s="32" t="s">
        <v>34</v>
      </c>
      <c r="AB41" s="69"/>
      <c r="AC41" s="32" t="s">
        <v>34</v>
      </c>
      <c r="AD41" s="32" t="s">
        <v>34</v>
      </c>
      <c r="AE41" s="32" t="s">
        <v>34</v>
      </c>
      <c r="AF41" s="32" t="s">
        <v>34</v>
      </c>
      <c r="AG41" s="32" t="s">
        <v>34</v>
      </c>
      <c r="AH41" s="32" t="s">
        <v>34</v>
      </c>
      <c r="AI41" s="32" t="s">
        <v>34</v>
      </c>
      <c r="AJ41" s="32" t="s">
        <v>34</v>
      </c>
      <c r="AK41" s="32" t="s">
        <v>34</v>
      </c>
      <c r="AL41" s="32" t="s">
        <v>34</v>
      </c>
      <c r="AM41" s="32" t="s">
        <v>34</v>
      </c>
      <c r="AN41" s="32" t="s">
        <v>34</v>
      </c>
      <c r="AO41" s="32" t="s">
        <v>34</v>
      </c>
      <c r="AP41" s="32" t="s">
        <v>34</v>
      </c>
      <c r="AQ41" s="32" t="s">
        <v>34</v>
      </c>
      <c r="AR41" s="32" t="s">
        <v>34</v>
      </c>
      <c r="AS41" s="32" t="s">
        <v>34</v>
      </c>
      <c r="AT41" s="32" t="s">
        <v>34</v>
      </c>
      <c r="AU41" s="32" t="s">
        <v>34</v>
      </c>
      <c r="AV41" s="32" t="s">
        <v>34</v>
      </c>
      <c r="AW41" s="69"/>
      <c r="AX41" s="32" t="s">
        <v>34</v>
      </c>
      <c r="AY41" s="32" t="s">
        <v>34</v>
      </c>
      <c r="AZ41" s="32" t="s">
        <v>34</v>
      </c>
      <c r="BA41" s="32" t="s">
        <v>34</v>
      </c>
      <c r="BB41" s="32" t="s">
        <v>34</v>
      </c>
      <c r="BC41" s="69"/>
      <c r="BD41" s="32" t="s">
        <v>34</v>
      </c>
      <c r="BE41" s="32" t="s">
        <v>34</v>
      </c>
      <c r="BF41" s="32" t="s">
        <v>34</v>
      </c>
      <c r="BG41" s="32" t="s">
        <v>34</v>
      </c>
      <c r="BH41" s="32" t="s">
        <v>34</v>
      </c>
      <c r="BI41" s="32" t="s">
        <v>34</v>
      </c>
      <c r="BJ41" s="32" t="s">
        <v>34</v>
      </c>
      <c r="BK41" s="32" t="s">
        <v>34</v>
      </c>
      <c r="BL41" s="32" t="s">
        <v>34</v>
      </c>
      <c r="BM41" s="32" t="s">
        <v>34</v>
      </c>
      <c r="BN41" s="32" t="s">
        <v>34</v>
      </c>
      <c r="BO41" s="32" t="s">
        <v>34</v>
      </c>
      <c r="BP41" s="32" t="s">
        <v>34</v>
      </c>
      <c r="BQ41" s="32" t="s">
        <v>34</v>
      </c>
      <c r="BR41" s="32" t="s">
        <v>34</v>
      </c>
      <c r="BS41" s="32" t="s">
        <v>34</v>
      </c>
      <c r="BT41" s="32" t="s">
        <v>34</v>
      </c>
      <c r="BU41" s="32" t="s">
        <v>34</v>
      </c>
      <c r="BV41" s="8" t="s">
        <v>34</v>
      </c>
      <c r="BW41" s="32" t="s">
        <v>34</v>
      </c>
      <c r="BX41" s="32" t="s">
        <v>34</v>
      </c>
      <c r="BY41" s="32" t="s">
        <v>34</v>
      </c>
      <c r="BZ41" s="32" t="s">
        <v>34</v>
      </c>
      <c r="CA41" s="32" t="s">
        <v>34</v>
      </c>
      <c r="CB41" s="32" t="s">
        <v>34</v>
      </c>
      <c r="CC41" s="32" t="s">
        <v>34</v>
      </c>
      <c r="CD41" s="32" t="s">
        <v>34</v>
      </c>
      <c r="CE41" s="32" t="s">
        <v>34</v>
      </c>
      <c r="CF41" s="32" t="s">
        <v>34</v>
      </c>
      <c r="CG41" s="32" t="s">
        <v>34</v>
      </c>
      <c r="CH41" s="32" t="s">
        <v>34</v>
      </c>
      <c r="CI41" s="32" t="s">
        <v>34</v>
      </c>
      <c r="CJ41" s="32" t="s">
        <v>34</v>
      </c>
      <c r="CK41" s="32" t="s">
        <v>34</v>
      </c>
      <c r="CL41" s="32" t="s">
        <v>34</v>
      </c>
      <c r="CM41" s="32" t="s">
        <v>34</v>
      </c>
      <c r="CN41" s="32" t="s">
        <v>34</v>
      </c>
      <c r="CO41" s="32" t="s">
        <v>34</v>
      </c>
      <c r="CP41" s="32" t="s">
        <v>34</v>
      </c>
      <c r="CQ41" s="17" t="s">
        <v>34</v>
      </c>
      <c r="CR41" s="69"/>
      <c r="CS41" s="32" t="s">
        <v>34</v>
      </c>
      <c r="CT41" s="32" t="s">
        <v>34</v>
      </c>
      <c r="CU41" s="32" t="s">
        <v>34</v>
      </c>
      <c r="CV41" s="32" t="s">
        <v>34</v>
      </c>
      <c r="CW41" s="32" t="s">
        <v>34</v>
      </c>
      <c r="CX41" s="32" t="s">
        <v>34</v>
      </c>
      <c r="CY41" s="32" t="s">
        <v>34</v>
      </c>
      <c r="CZ41" s="32" t="s">
        <v>34</v>
      </c>
      <c r="DA41" s="32" t="s">
        <v>34</v>
      </c>
      <c r="DB41" s="32" t="s">
        <v>34</v>
      </c>
      <c r="DC41" s="32" t="s">
        <v>34</v>
      </c>
      <c r="DD41" s="32" t="s">
        <v>34</v>
      </c>
      <c r="DE41" s="32" t="s">
        <v>34</v>
      </c>
      <c r="DF41" s="32" t="s">
        <v>34</v>
      </c>
      <c r="DG41" s="32" t="s">
        <v>34</v>
      </c>
      <c r="DH41" s="32" t="s">
        <v>34</v>
      </c>
      <c r="DI41" s="32" t="s">
        <v>34</v>
      </c>
      <c r="DJ41" s="32" t="s">
        <v>34</v>
      </c>
      <c r="DK41" s="8" t="s">
        <v>34</v>
      </c>
      <c r="DL41" s="32" t="s">
        <v>34</v>
      </c>
      <c r="DM41" s="32" t="s">
        <v>34</v>
      </c>
      <c r="DN41" s="32" t="s">
        <v>34</v>
      </c>
      <c r="DO41" s="32" t="s">
        <v>34</v>
      </c>
      <c r="DP41" s="32" t="s">
        <v>34</v>
      </c>
      <c r="DQ41" s="32" t="s">
        <v>34</v>
      </c>
      <c r="DR41" s="32" t="s">
        <v>34</v>
      </c>
      <c r="DS41" s="32" t="s">
        <v>34</v>
      </c>
      <c r="DT41" s="32" t="s">
        <v>34</v>
      </c>
      <c r="DU41" s="32" t="s">
        <v>34</v>
      </c>
      <c r="DV41" s="32" t="s">
        <v>34</v>
      </c>
      <c r="DW41" s="32" t="s">
        <v>34</v>
      </c>
      <c r="DX41" s="32" t="s">
        <v>34</v>
      </c>
      <c r="DY41" s="32" t="s">
        <v>34</v>
      </c>
      <c r="DZ41" s="32" t="s">
        <v>34</v>
      </c>
      <c r="EA41" s="32" t="s">
        <v>34</v>
      </c>
      <c r="EB41" s="32" t="s">
        <v>34</v>
      </c>
      <c r="EC41" s="69"/>
      <c r="ED41" s="32" t="s">
        <v>34</v>
      </c>
      <c r="EE41" s="32" t="s">
        <v>34</v>
      </c>
      <c r="EF41" s="32" t="s">
        <v>34</v>
      </c>
      <c r="EG41" s="32" t="s">
        <v>34</v>
      </c>
      <c r="EH41" s="32" t="s">
        <v>34</v>
      </c>
      <c r="EI41" s="32" t="s">
        <v>34</v>
      </c>
      <c r="EJ41" s="32" t="s">
        <v>34</v>
      </c>
      <c r="EK41" s="32" t="s">
        <v>34</v>
      </c>
      <c r="EL41" s="32" t="s">
        <v>34</v>
      </c>
      <c r="EM41" s="32" t="s">
        <v>34</v>
      </c>
      <c r="EN41" s="32" t="s">
        <v>34</v>
      </c>
      <c r="EO41" s="69"/>
      <c r="EP41" s="32" t="s">
        <v>34</v>
      </c>
      <c r="EQ41" s="32" t="s">
        <v>34</v>
      </c>
      <c r="ER41" s="32" t="s">
        <v>34</v>
      </c>
      <c r="ES41" s="32" t="s">
        <v>34</v>
      </c>
      <c r="ET41" s="32" t="s">
        <v>34</v>
      </c>
      <c r="EU41" s="32" t="s">
        <v>34</v>
      </c>
      <c r="EV41" s="32" t="s">
        <v>34</v>
      </c>
      <c r="EW41" s="32" t="s">
        <v>34</v>
      </c>
      <c r="EX41" s="32" t="s">
        <v>34</v>
      </c>
      <c r="EY41" s="32" t="s">
        <v>34</v>
      </c>
      <c r="EZ41" s="32" t="s">
        <v>34</v>
      </c>
      <c r="FA41" s="32" t="s">
        <v>34</v>
      </c>
      <c r="FB41" s="32" t="s">
        <v>34</v>
      </c>
      <c r="FC41" s="32" t="s">
        <v>34</v>
      </c>
      <c r="FD41" s="32" t="s">
        <v>34</v>
      </c>
      <c r="FE41" s="32" t="s">
        <v>34</v>
      </c>
      <c r="FF41" s="32" t="s">
        <v>34</v>
      </c>
      <c r="FG41" s="69"/>
      <c r="FH41" s="32" t="s">
        <v>34</v>
      </c>
      <c r="FI41" s="32" t="s">
        <v>34</v>
      </c>
      <c r="FJ41" s="32" t="s">
        <v>34</v>
      </c>
      <c r="FK41" s="32" t="s">
        <v>34</v>
      </c>
      <c r="FL41" s="32" t="s">
        <v>34</v>
      </c>
      <c r="FM41" s="32" t="s">
        <v>34</v>
      </c>
      <c r="FN41" s="32" t="s">
        <v>34</v>
      </c>
      <c r="FO41" s="32" t="s">
        <v>34</v>
      </c>
      <c r="FP41" s="32" t="s">
        <v>34</v>
      </c>
      <c r="FQ41" s="32" t="s">
        <v>34</v>
      </c>
      <c r="FR41" s="32" t="s">
        <v>34</v>
      </c>
      <c r="FS41" s="32" t="s">
        <v>34</v>
      </c>
      <c r="FT41" s="32" t="s">
        <v>34</v>
      </c>
      <c r="FU41" s="32" t="s">
        <v>34</v>
      </c>
      <c r="FV41" s="32" t="s">
        <v>34</v>
      </c>
      <c r="FW41" s="32" t="s">
        <v>34</v>
      </c>
      <c r="FX41" s="32" t="s">
        <v>34</v>
      </c>
      <c r="FY41" s="32" t="s">
        <v>34</v>
      </c>
      <c r="FZ41" s="32" t="s">
        <v>34</v>
      </c>
      <c r="GA41" s="32" t="s">
        <v>34</v>
      </c>
      <c r="GB41" s="69"/>
      <c r="GC41" s="32" t="s">
        <v>34</v>
      </c>
      <c r="GD41" s="32" t="s">
        <v>34</v>
      </c>
      <c r="GE41" s="32" t="s">
        <v>34</v>
      </c>
      <c r="GF41" s="32" t="s">
        <v>34</v>
      </c>
      <c r="GG41" s="32" t="s">
        <v>34</v>
      </c>
      <c r="GH41" s="69"/>
      <c r="GI41" s="32" t="s">
        <v>34</v>
      </c>
      <c r="GJ41" s="32" t="s">
        <v>34</v>
      </c>
      <c r="GK41" s="32" t="s">
        <v>34</v>
      </c>
      <c r="GL41" s="32" t="s">
        <v>34</v>
      </c>
      <c r="GM41" s="32" t="s">
        <v>34</v>
      </c>
      <c r="GN41" s="32" t="s">
        <v>34</v>
      </c>
      <c r="GO41" s="32" t="s">
        <v>34</v>
      </c>
      <c r="GP41" s="32" t="s">
        <v>34</v>
      </c>
      <c r="GQ41" s="32" t="s">
        <v>34</v>
      </c>
      <c r="GR41" s="32" t="s">
        <v>34</v>
      </c>
      <c r="GS41" s="32" t="s">
        <v>34</v>
      </c>
      <c r="GT41" s="32" t="s">
        <v>34</v>
      </c>
      <c r="GU41" s="32" t="s">
        <v>34</v>
      </c>
      <c r="GV41" s="32" t="s">
        <v>34</v>
      </c>
      <c r="GW41" s="32" t="s">
        <v>34</v>
      </c>
      <c r="GX41" s="32" t="s">
        <v>34</v>
      </c>
      <c r="GY41" s="32" t="s">
        <v>34</v>
      </c>
      <c r="GZ41" s="32" t="s">
        <v>34</v>
      </c>
      <c r="HA41" s="8" t="s">
        <v>34</v>
      </c>
      <c r="HB41" s="32" t="s">
        <v>34</v>
      </c>
      <c r="HC41" s="32" t="s">
        <v>34</v>
      </c>
      <c r="HD41" s="32" t="s">
        <v>34</v>
      </c>
      <c r="HE41" s="32" t="s">
        <v>34</v>
      </c>
      <c r="HF41" s="32" t="s">
        <v>34</v>
      </c>
      <c r="HG41" s="32" t="s">
        <v>34</v>
      </c>
      <c r="HH41" s="32" t="s">
        <v>34</v>
      </c>
      <c r="HI41" s="32" t="s">
        <v>34</v>
      </c>
      <c r="HJ41" s="32" t="s">
        <v>34</v>
      </c>
      <c r="HK41" s="32" t="s">
        <v>34</v>
      </c>
      <c r="HL41" s="32" t="s">
        <v>34</v>
      </c>
      <c r="HM41" s="32" t="s">
        <v>34</v>
      </c>
      <c r="HN41" s="32" t="s">
        <v>34</v>
      </c>
      <c r="HO41" s="32" t="s">
        <v>34</v>
      </c>
      <c r="HP41" s="32" t="s">
        <v>34</v>
      </c>
      <c r="HQ41" s="32" t="s">
        <v>34</v>
      </c>
      <c r="HR41" s="32" t="s">
        <v>34</v>
      </c>
      <c r="HS41" s="32" t="s">
        <v>34</v>
      </c>
      <c r="HT41" s="32" t="s">
        <v>34</v>
      </c>
      <c r="HU41" s="32" t="s">
        <v>34</v>
      </c>
      <c r="HV41" s="32" t="s">
        <v>34</v>
      </c>
      <c r="HW41" s="17" t="s">
        <v>34</v>
      </c>
      <c r="HX41" s="69"/>
      <c r="HY41" s="32" t="s">
        <v>34</v>
      </c>
      <c r="HZ41" s="32" t="s">
        <v>34</v>
      </c>
      <c r="IA41" s="32" t="s">
        <v>34</v>
      </c>
      <c r="IB41" s="32" t="s">
        <v>34</v>
      </c>
      <c r="IC41" s="32" t="s">
        <v>34</v>
      </c>
      <c r="ID41" s="32" t="s">
        <v>34</v>
      </c>
      <c r="IE41" s="32" t="s">
        <v>34</v>
      </c>
      <c r="IF41" s="32" t="s">
        <v>34</v>
      </c>
      <c r="IG41" s="32" t="s">
        <v>34</v>
      </c>
      <c r="IH41" s="32" t="s">
        <v>34</v>
      </c>
      <c r="II41" s="32" t="s">
        <v>34</v>
      </c>
      <c r="IJ41" s="32" t="s">
        <v>34</v>
      </c>
      <c r="IK41" s="32" t="s">
        <v>34</v>
      </c>
      <c r="IL41" s="32" t="s">
        <v>34</v>
      </c>
      <c r="IM41" s="32" t="s">
        <v>34</v>
      </c>
      <c r="IN41" s="32" t="s">
        <v>34</v>
      </c>
      <c r="IO41" s="32" t="s">
        <v>34</v>
      </c>
      <c r="IP41" s="32" t="s">
        <v>34</v>
      </c>
      <c r="IQ41" s="8" t="s">
        <v>34</v>
      </c>
      <c r="IR41" s="32" t="s">
        <v>34</v>
      </c>
      <c r="IS41" s="32" t="s">
        <v>34</v>
      </c>
      <c r="IT41" s="32" t="s">
        <v>34</v>
      </c>
      <c r="IU41" s="32" t="s">
        <v>34</v>
      </c>
      <c r="IV41" s="32" t="s">
        <v>34</v>
      </c>
      <c r="IW41" s="32" t="s">
        <v>34</v>
      </c>
      <c r="IX41" s="32" t="s">
        <v>34</v>
      </c>
      <c r="IY41" s="32" t="s">
        <v>34</v>
      </c>
      <c r="IZ41" s="32" t="s">
        <v>34</v>
      </c>
      <c r="JA41" s="32" t="s">
        <v>34</v>
      </c>
      <c r="JB41" s="32" t="s">
        <v>34</v>
      </c>
      <c r="JC41" s="32" t="s">
        <v>34</v>
      </c>
      <c r="JD41" s="32" t="s">
        <v>34</v>
      </c>
      <c r="JE41" s="32" t="s">
        <v>34</v>
      </c>
      <c r="JF41" s="32" t="s">
        <v>34</v>
      </c>
      <c r="JG41" s="32" t="s">
        <v>34</v>
      </c>
      <c r="JH41" s="32" t="s">
        <v>34</v>
      </c>
      <c r="JI41" s="69"/>
      <c r="JJ41" s="32" t="s">
        <v>34</v>
      </c>
      <c r="JK41" s="32" t="s">
        <v>34</v>
      </c>
      <c r="JL41" s="32" t="s">
        <v>34</v>
      </c>
      <c r="JM41" s="32" t="s">
        <v>34</v>
      </c>
      <c r="JN41" s="32" t="s">
        <v>34</v>
      </c>
      <c r="JO41" s="32" t="s">
        <v>34</v>
      </c>
      <c r="JP41" s="32" t="s">
        <v>34</v>
      </c>
      <c r="JQ41" s="32" t="s">
        <v>34</v>
      </c>
      <c r="JR41" s="32" t="s">
        <v>34</v>
      </c>
      <c r="JS41" s="32" t="s">
        <v>34</v>
      </c>
      <c r="JT41" s="32" t="s">
        <v>34</v>
      </c>
      <c r="JU41" s="69"/>
      <c r="JV41" s="32" t="s">
        <v>34</v>
      </c>
      <c r="JW41" s="32" t="s">
        <v>34</v>
      </c>
      <c r="JX41" s="32" t="s">
        <v>34</v>
      </c>
      <c r="JY41" s="32" t="s">
        <v>34</v>
      </c>
      <c r="JZ41" s="32" t="s">
        <v>34</v>
      </c>
      <c r="KA41" s="32" t="s">
        <v>34</v>
      </c>
      <c r="KB41" s="32" t="s">
        <v>34</v>
      </c>
      <c r="KC41" s="32" t="s">
        <v>34</v>
      </c>
      <c r="KD41" s="32" t="s">
        <v>34</v>
      </c>
      <c r="KE41" s="32" t="s">
        <v>34</v>
      </c>
      <c r="KF41" s="32" t="s">
        <v>34</v>
      </c>
      <c r="KG41" s="32" t="s">
        <v>34</v>
      </c>
      <c r="KH41" s="32" t="s">
        <v>34</v>
      </c>
      <c r="KI41" s="32" t="s">
        <v>34</v>
      </c>
      <c r="KJ41" s="32" t="s">
        <v>34</v>
      </c>
      <c r="KK41" s="32" t="s">
        <v>34</v>
      </c>
      <c r="KL41" s="32" t="s">
        <v>34</v>
      </c>
      <c r="KM41" s="69"/>
      <c r="KN41" s="32" t="s">
        <v>34</v>
      </c>
      <c r="KO41" s="32" t="s">
        <v>34</v>
      </c>
      <c r="KP41" s="32" t="s">
        <v>34</v>
      </c>
      <c r="KQ41" s="32" t="s">
        <v>34</v>
      </c>
      <c r="KR41" s="32" t="s">
        <v>34</v>
      </c>
      <c r="KS41" s="32" t="s">
        <v>34</v>
      </c>
      <c r="KT41" s="32" t="s">
        <v>34</v>
      </c>
      <c r="KU41" s="32" t="s">
        <v>34</v>
      </c>
      <c r="KV41" s="32" t="s">
        <v>34</v>
      </c>
      <c r="KW41" s="32" t="s">
        <v>34</v>
      </c>
      <c r="KX41" s="32" t="s">
        <v>34</v>
      </c>
      <c r="KY41" s="32" t="s">
        <v>34</v>
      </c>
      <c r="KZ41" s="32" t="s">
        <v>34</v>
      </c>
      <c r="LA41" s="32" t="s">
        <v>34</v>
      </c>
      <c r="LB41" s="32" t="s">
        <v>34</v>
      </c>
      <c r="LC41" s="32" t="s">
        <v>34</v>
      </c>
      <c r="LD41" s="32" t="s">
        <v>34</v>
      </c>
      <c r="LE41" s="32" t="s">
        <v>34</v>
      </c>
      <c r="LF41" s="32" t="s">
        <v>34</v>
      </c>
      <c r="LG41" s="32" t="s">
        <v>34</v>
      </c>
      <c r="LH41" s="69"/>
      <c r="LI41" s="32" t="s">
        <v>34</v>
      </c>
      <c r="LJ41" s="32" t="s">
        <v>34</v>
      </c>
      <c r="LK41" s="32" t="s">
        <v>34</v>
      </c>
      <c r="LL41" s="32" t="s">
        <v>34</v>
      </c>
      <c r="LM41" s="32" t="s">
        <v>34</v>
      </c>
      <c r="LN41" s="69"/>
      <c r="LO41" s="32" t="s">
        <v>34</v>
      </c>
      <c r="LP41" s="32" t="s">
        <v>34</v>
      </c>
      <c r="LQ41" s="32" t="s">
        <v>34</v>
      </c>
      <c r="LR41" s="32" t="s">
        <v>34</v>
      </c>
      <c r="LS41" s="32" t="s">
        <v>34</v>
      </c>
      <c r="LT41" s="32" t="s">
        <v>34</v>
      </c>
      <c r="LU41" s="32" t="s">
        <v>34</v>
      </c>
      <c r="LV41" s="32" t="s">
        <v>34</v>
      </c>
      <c r="LW41" s="32" t="s">
        <v>34</v>
      </c>
      <c r="LX41" s="32" t="s">
        <v>34</v>
      </c>
      <c r="LY41" s="32" t="s">
        <v>34</v>
      </c>
      <c r="LZ41" s="32" t="s">
        <v>34</v>
      </c>
      <c r="MA41" s="32" t="s">
        <v>34</v>
      </c>
      <c r="MB41" s="32" t="s">
        <v>34</v>
      </c>
      <c r="MC41" s="32" t="s">
        <v>34</v>
      </c>
      <c r="MD41" s="32" t="s">
        <v>34</v>
      </c>
      <c r="ME41" s="32" t="s">
        <v>34</v>
      </c>
      <c r="MF41" s="32" t="s">
        <v>34</v>
      </c>
      <c r="MG41" s="8" t="s">
        <v>34</v>
      </c>
      <c r="MH41" s="32" t="s">
        <v>34</v>
      </c>
      <c r="MI41" s="32" t="s">
        <v>34</v>
      </c>
      <c r="MJ41" s="32" t="s">
        <v>34</v>
      </c>
      <c r="MK41" s="32" t="s">
        <v>34</v>
      </c>
      <c r="ML41" s="32" t="s">
        <v>34</v>
      </c>
      <c r="MM41" s="32" t="s">
        <v>34</v>
      </c>
      <c r="MN41" s="32" t="s">
        <v>34</v>
      </c>
      <c r="MO41" s="32" t="s">
        <v>34</v>
      </c>
      <c r="MP41" s="32" t="s">
        <v>34</v>
      </c>
      <c r="MQ41" s="32" t="s">
        <v>34</v>
      </c>
      <c r="MR41" s="32" t="s">
        <v>34</v>
      </c>
      <c r="MS41" s="32" t="s">
        <v>34</v>
      </c>
      <c r="MT41" s="32" t="s">
        <v>34</v>
      </c>
      <c r="MU41" s="32" t="s">
        <v>34</v>
      </c>
      <c r="MV41" s="32" t="s">
        <v>34</v>
      </c>
      <c r="MW41" s="32" t="s">
        <v>34</v>
      </c>
      <c r="MX41" s="32" t="s">
        <v>34</v>
      </c>
      <c r="MY41" s="32" t="s">
        <v>34</v>
      </c>
      <c r="MZ41" s="32" t="s">
        <v>34</v>
      </c>
      <c r="NA41" s="32" t="s">
        <v>34</v>
      </c>
      <c r="NB41" s="17" t="s">
        <v>34</v>
      </c>
      <c r="NC41" s="69"/>
      <c r="ND41" s="32" t="s">
        <v>34</v>
      </c>
      <c r="NE41" s="32" t="s">
        <v>34</v>
      </c>
      <c r="NF41" s="32" t="s">
        <v>34</v>
      </c>
      <c r="NG41" s="32" t="s">
        <v>34</v>
      </c>
      <c r="NH41" s="32" t="s">
        <v>34</v>
      </c>
      <c r="NI41" s="32" t="s">
        <v>34</v>
      </c>
      <c r="NJ41" s="32" t="s">
        <v>34</v>
      </c>
      <c r="NK41" s="32" t="s">
        <v>34</v>
      </c>
      <c r="NL41" s="32" t="s">
        <v>34</v>
      </c>
      <c r="NM41" s="32" t="s">
        <v>34</v>
      </c>
      <c r="NN41" s="32" t="s">
        <v>34</v>
      </c>
      <c r="NO41" s="32" t="s">
        <v>34</v>
      </c>
      <c r="NP41" s="32" t="s">
        <v>34</v>
      </c>
      <c r="NQ41" s="32" t="s">
        <v>34</v>
      </c>
      <c r="NR41" s="32" t="s">
        <v>34</v>
      </c>
      <c r="NS41" s="32" t="s">
        <v>34</v>
      </c>
      <c r="NT41" s="32" t="s">
        <v>34</v>
      </c>
      <c r="NU41" s="32" t="s">
        <v>34</v>
      </c>
      <c r="NV41" s="8" t="s">
        <v>34</v>
      </c>
      <c r="NW41" s="32" t="s">
        <v>34</v>
      </c>
      <c r="NX41" s="32" t="s">
        <v>34</v>
      </c>
      <c r="NY41" s="32" t="s">
        <v>34</v>
      </c>
      <c r="NZ41" s="32" t="s">
        <v>34</v>
      </c>
      <c r="OA41" s="32" t="s">
        <v>34</v>
      </c>
      <c r="OB41" s="32" t="s">
        <v>34</v>
      </c>
      <c r="OC41" s="32" t="s">
        <v>34</v>
      </c>
      <c r="OD41" s="32" t="s">
        <v>34</v>
      </c>
      <c r="OE41" s="32" t="s">
        <v>34</v>
      </c>
      <c r="OF41" s="32" t="s">
        <v>34</v>
      </c>
      <c r="OG41" s="32" t="s">
        <v>34</v>
      </c>
      <c r="OH41" s="32" t="s">
        <v>34</v>
      </c>
      <c r="OI41" s="32" t="s">
        <v>34</v>
      </c>
      <c r="OJ41" s="32" t="s">
        <v>34</v>
      </c>
      <c r="OK41" s="32" t="s">
        <v>34</v>
      </c>
      <c r="OL41" s="32" t="s">
        <v>34</v>
      </c>
      <c r="OM41" s="32" t="s">
        <v>34</v>
      </c>
      <c r="ON41" s="69"/>
      <c r="OO41" s="32" t="s">
        <v>34</v>
      </c>
      <c r="OP41" s="32" t="s">
        <v>34</v>
      </c>
      <c r="OQ41" s="32" t="s">
        <v>34</v>
      </c>
      <c r="OR41" s="32" t="s">
        <v>34</v>
      </c>
      <c r="OS41" s="32" t="s">
        <v>34</v>
      </c>
      <c r="OT41" s="32" t="s">
        <v>34</v>
      </c>
      <c r="OU41" s="32" t="s">
        <v>34</v>
      </c>
      <c r="OV41" s="32" t="s">
        <v>34</v>
      </c>
      <c r="OW41" s="32" t="s">
        <v>34</v>
      </c>
      <c r="OX41" s="32" t="s">
        <v>34</v>
      </c>
      <c r="OY41" s="32" t="s">
        <v>34</v>
      </c>
    </row>
    <row r="42" spans="1:415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9"/>
      <c r="K42" s="32" t="s">
        <v>34</v>
      </c>
      <c r="L42" s="32" t="s">
        <v>34</v>
      </c>
      <c r="M42" s="32" t="s">
        <v>34</v>
      </c>
      <c r="N42" s="32" t="s">
        <v>34</v>
      </c>
      <c r="O42" s="32" t="s">
        <v>34</v>
      </c>
      <c r="P42" s="32" t="s">
        <v>34</v>
      </c>
      <c r="Q42" s="32" t="s">
        <v>34</v>
      </c>
      <c r="R42" s="32" t="s">
        <v>34</v>
      </c>
      <c r="S42" s="32" t="s">
        <v>34</v>
      </c>
      <c r="T42" s="32" t="s">
        <v>34</v>
      </c>
      <c r="U42" s="32" t="s">
        <v>34</v>
      </c>
      <c r="V42" s="32" t="s">
        <v>34</v>
      </c>
      <c r="W42" s="32" t="s">
        <v>34</v>
      </c>
      <c r="X42" s="32" t="s">
        <v>34</v>
      </c>
      <c r="Y42" s="32" t="s">
        <v>34</v>
      </c>
      <c r="Z42" s="32" t="s">
        <v>34</v>
      </c>
      <c r="AA42" s="32" t="s">
        <v>34</v>
      </c>
      <c r="AB42" s="69"/>
      <c r="AC42" s="32" t="s">
        <v>34</v>
      </c>
      <c r="AD42" s="32" t="s">
        <v>34</v>
      </c>
      <c r="AE42" s="32" t="s">
        <v>34</v>
      </c>
      <c r="AF42" s="32" t="s">
        <v>34</v>
      </c>
      <c r="AG42" s="32" t="s">
        <v>34</v>
      </c>
      <c r="AH42" s="32" t="s">
        <v>34</v>
      </c>
      <c r="AI42" s="32" t="s">
        <v>34</v>
      </c>
      <c r="AJ42" s="32" t="s">
        <v>34</v>
      </c>
      <c r="AK42" s="32" t="s">
        <v>34</v>
      </c>
      <c r="AL42" s="32" t="s">
        <v>34</v>
      </c>
      <c r="AM42" s="32" t="s">
        <v>34</v>
      </c>
      <c r="AN42" s="32" t="s">
        <v>34</v>
      </c>
      <c r="AO42" s="32" t="s">
        <v>34</v>
      </c>
      <c r="AP42" s="32" t="s">
        <v>34</v>
      </c>
      <c r="AQ42" s="32" t="s">
        <v>34</v>
      </c>
      <c r="AR42" s="32" t="s">
        <v>34</v>
      </c>
      <c r="AS42" s="32" t="s">
        <v>34</v>
      </c>
      <c r="AT42" s="32" t="s">
        <v>34</v>
      </c>
      <c r="AU42" s="32" t="s">
        <v>34</v>
      </c>
      <c r="AV42" s="32" t="s">
        <v>34</v>
      </c>
      <c r="AW42" s="69"/>
      <c r="AX42" s="32" t="s">
        <v>34</v>
      </c>
      <c r="AY42" s="32" t="s">
        <v>34</v>
      </c>
      <c r="AZ42" s="32" t="s">
        <v>34</v>
      </c>
      <c r="BA42" s="32" t="s">
        <v>34</v>
      </c>
      <c r="BB42" s="32" t="s">
        <v>34</v>
      </c>
      <c r="BC42" s="69"/>
      <c r="BD42" s="32" t="s">
        <v>34</v>
      </c>
      <c r="BE42" s="32" t="s">
        <v>34</v>
      </c>
      <c r="BF42" s="32" t="s">
        <v>34</v>
      </c>
      <c r="BG42" s="32" t="s">
        <v>34</v>
      </c>
      <c r="BH42" s="32" t="s">
        <v>34</v>
      </c>
      <c r="BI42" s="32" t="s">
        <v>34</v>
      </c>
      <c r="BJ42" s="32" t="s">
        <v>34</v>
      </c>
      <c r="BK42" s="32" t="s">
        <v>34</v>
      </c>
      <c r="BL42" s="32" t="s">
        <v>34</v>
      </c>
      <c r="BM42" s="32" t="s">
        <v>34</v>
      </c>
      <c r="BN42" s="32" t="s">
        <v>34</v>
      </c>
      <c r="BO42" s="32" t="s">
        <v>34</v>
      </c>
      <c r="BP42" s="32" t="s">
        <v>34</v>
      </c>
      <c r="BQ42" s="32" t="s">
        <v>34</v>
      </c>
      <c r="BR42" s="32" t="s">
        <v>34</v>
      </c>
      <c r="BS42" s="32" t="s">
        <v>34</v>
      </c>
      <c r="BT42" s="32" t="s">
        <v>34</v>
      </c>
      <c r="BU42" s="32" t="s">
        <v>34</v>
      </c>
      <c r="BV42" s="8" t="s">
        <v>34</v>
      </c>
      <c r="BW42" s="32" t="s">
        <v>34</v>
      </c>
      <c r="BX42" s="32" t="s">
        <v>34</v>
      </c>
      <c r="BY42" s="32" t="s">
        <v>34</v>
      </c>
      <c r="BZ42" s="32" t="s">
        <v>34</v>
      </c>
      <c r="CA42" s="32" t="s">
        <v>34</v>
      </c>
      <c r="CB42" s="32" t="s">
        <v>34</v>
      </c>
      <c r="CC42" s="32" t="s">
        <v>34</v>
      </c>
      <c r="CD42" s="32" t="s">
        <v>34</v>
      </c>
      <c r="CE42" s="32" t="s">
        <v>34</v>
      </c>
      <c r="CF42" s="32" t="s">
        <v>34</v>
      </c>
      <c r="CG42" s="32" t="s">
        <v>34</v>
      </c>
      <c r="CH42" s="32" t="s">
        <v>34</v>
      </c>
      <c r="CI42" s="32" t="s">
        <v>34</v>
      </c>
      <c r="CJ42" s="32" t="s">
        <v>34</v>
      </c>
      <c r="CK42" s="32" t="s">
        <v>34</v>
      </c>
      <c r="CL42" s="32" t="s">
        <v>34</v>
      </c>
      <c r="CM42" s="32" t="s">
        <v>34</v>
      </c>
      <c r="CN42" s="32" t="s">
        <v>34</v>
      </c>
      <c r="CO42" s="32" t="s">
        <v>34</v>
      </c>
      <c r="CP42" s="32" t="s">
        <v>34</v>
      </c>
      <c r="CQ42" s="17" t="s">
        <v>34</v>
      </c>
      <c r="CR42" s="69"/>
      <c r="CS42" s="32" t="s">
        <v>34</v>
      </c>
      <c r="CT42" s="32" t="s">
        <v>34</v>
      </c>
      <c r="CU42" s="32" t="s">
        <v>34</v>
      </c>
      <c r="CV42" s="32" t="s">
        <v>34</v>
      </c>
      <c r="CW42" s="32" t="s">
        <v>34</v>
      </c>
      <c r="CX42" s="32" t="s">
        <v>34</v>
      </c>
      <c r="CY42" s="32" t="s">
        <v>34</v>
      </c>
      <c r="CZ42" s="32" t="s">
        <v>34</v>
      </c>
      <c r="DA42" s="32" t="s">
        <v>34</v>
      </c>
      <c r="DB42" s="32" t="s">
        <v>34</v>
      </c>
      <c r="DC42" s="32" t="s">
        <v>34</v>
      </c>
      <c r="DD42" s="32" t="s">
        <v>34</v>
      </c>
      <c r="DE42" s="32" t="s">
        <v>34</v>
      </c>
      <c r="DF42" s="32" t="s">
        <v>34</v>
      </c>
      <c r="DG42" s="32" t="s">
        <v>34</v>
      </c>
      <c r="DH42" s="32" t="s">
        <v>34</v>
      </c>
      <c r="DI42" s="32" t="s">
        <v>34</v>
      </c>
      <c r="DJ42" s="32" t="s">
        <v>34</v>
      </c>
      <c r="DK42" s="8" t="s">
        <v>34</v>
      </c>
      <c r="DL42" s="32" t="s">
        <v>34</v>
      </c>
      <c r="DM42" s="32" t="s">
        <v>34</v>
      </c>
      <c r="DN42" s="32" t="s">
        <v>34</v>
      </c>
      <c r="DO42" s="32" t="s">
        <v>34</v>
      </c>
      <c r="DP42" s="32" t="s">
        <v>34</v>
      </c>
      <c r="DQ42" s="32" t="s">
        <v>34</v>
      </c>
      <c r="DR42" s="32" t="s">
        <v>34</v>
      </c>
      <c r="DS42" s="32" t="s">
        <v>34</v>
      </c>
      <c r="DT42" s="32" t="s">
        <v>34</v>
      </c>
      <c r="DU42" s="32" t="s">
        <v>34</v>
      </c>
      <c r="DV42" s="32" t="s">
        <v>34</v>
      </c>
      <c r="DW42" s="32" t="s">
        <v>34</v>
      </c>
      <c r="DX42" s="32" t="s">
        <v>34</v>
      </c>
      <c r="DY42" s="32" t="s">
        <v>34</v>
      </c>
      <c r="DZ42" s="32" t="s">
        <v>34</v>
      </c>
      <c r="EA42" s="32" t="s">
        <v>34</v>
      </c>
      <c r="EB42" s="32" t="s">
        <v>34</v>
      </c>
      <c r="EC42" s="69"/>
      <c r="ED42" s="32" t="s">
        <v>34</v>
      </c>
      <c r="EE42" s="32" t="s">
        <v>34</v>
      </c>
      <c r="EF42" s="32" t="s">
        <v>34</v>
      </c>
      <c r="EG42" s="32" t="s">
        <v>34</v>
      </c>
      <c r="EH42" s="32" t="s">
        <v>34</v>
      </c>
      <c r="EI42" s="32" t="s">
        <v>34</v>
      </c>
      <c r="EJ42" s="32" t="s">
        <v>34</v>
      </c>
      <c r="EK42" s="32" t="s">
        <v>34</v>
      </c>
      <c r="EL42" s="32" t="s">
        <v>34</v>
      </c>
      <c r="EM42" s="32" t="s">
        <v>34</v>
      </c>
      <c r="EN42" s="32" t="s">
        <v>34</v>
      </c>
      <c r="EO42" s="69"/>
      <c r="EP42" s="32" t="s">
        <v>34</v>
      </c>
      <c r="EQ42" s="32" t="s">
        <v>34</v>
      </c>
      <c r="ER42" s="32" t="s">
        <v>34</v>
      </c>
      <c r="ES42" s="32" t="s">
        <v>34</v>
      </c>
      <c r="ET42" s="32" t="s">
        <v>34</v>
      </c>
      <c r="EU42" s="32" t="s">
        <v>34</v>
      </c>
      <c r="EV42" s="32" t="s">
        <v>34</v>
      </c>
      <c r="EW42" s="32" t="s">
        <v>34</v>
      </c>
      <c r="EX42" s="32" t="s">
        <v>34</v>
      </c>
      <c r="EY42" s="32" t="s">
        <v>34</v>
      </c>
      <c r="EZ42" s="32" t="s">
        <v>34</v>
      </c>
      <c r="FA42" s="32" t="s">
        <v>34</v>
      </c>
      <c r="FB42" s="32" t="s">
        <v>34</v>
      </c>
      <c r="FC42" s="32" t="s">
        <v>34</v>
      </c>
      <c r="FD42" s="32" t="s">
        <v>34</v>
      </c>
      <c r="FE42" s="32" t="s">
        <v>34</v>
      </c>
      <c r="FF42" s="32" t="s">
        <v>34</v>
      </c>
      <c r="FG42" s="69"/>
      <c r="FH42" s="32" t="s">
        <v>34</v>
      </c>
      <c r="FI42" s="32" t="s">
        <v>34</v>
      </c>
      <c r="FJ42" s="32" t="s">
        <v>34</v>
      </c>
      <c r="FK42" s="32" t="s">
        <v>34</v>
      </c>
      <c r="FL42" s="32" t="s">
        <v>34</v>
      </c>
      <c r="FM42" s="32" t="s">
        <v>34</v>
      </c>
      <c r="FN42" s="32" t="s">
        <v>34</v>
      </c>
      <c r="FO42" s="32" t="s">
        <v>34</v>
      </c>
      <c r="FP42" s="32" t="s">
        <v>34</v>
      </c>
      <c r="FQ42" s="32" t="s">
        <v>34</v>
      </c>
      <c r="FR42" s="32" t="s">
        <v>34</v>
      </c>
      <c r="FS42" s="32" t="s">
        <v>34</v>
      </c>
      <c r="FT42" s="32" t="s">
        <v>34</v>
      </c>
      <c r="FU42" s="32" t="s">
        <v>34</v>
      </c>
      <c r="FV42" s="32" t="s">
        <v>34</v>
      </c>
      <c r="FW42" s="32" t="s">
        <v>34</v>
      </c>
      <c r="FX42" s="32" t="s">
        <v>34</v>
      </c>
      <c r="FY42" s="32" t="s">
        <v>34</v>
      </c>
      <c r="FZ42" s="32" t="s">
        <v>34</v>
      </c>
      <c r="GA42" s="32" t="s">
        <v>34</v>
      </c>
      <c r="GB42" s="69"/>
      <c r="GC42" s="32" t="s">
        <v>34</v>
      </c>
      <c r="GD42" s="32" t="s">
        <v>34</v>
      </c>
      <c r="GE42" s="32" t="s">
        <v>34</v>
      </c>
      <c r="GF42" s="32" t="s">
        <v>34</v>
      </c>
      <c r="GG42" s="32" t="s">
        <v>34</v>
      </c>
      <c r="GH42" s="69"/>
      <c r="GI42" s="32" t="s">
        <v>34</v>
      </c>
      <c r="GJ42" s="32" t="s">
        <v>34</v>
      </c>
      <c r="GK42" s="32" t="s">
        <v>34</v>
      </c>
      <c r="GL42" s="32" t="s">
        <v>34</v>
      </c>
      <c r="GM42" s="32" t="s">
        <v>34</v>
      </c>
      <c r="GN42" s="32" t="s">
        <v>34</v>
      </c>
      <c r="GO42" s="32" t="s">
        <v>34</v>
      </c>
      <c r="GP42" s="32" t="s">
        <v>34</v>
      </c>
      <c r="GQ42" s="32" t="s">
        <v>34</v>
      </c>
      <c r="GR42" s="32" t="s">
        <v>34</v>
      </c>
      <c r="GS42" s="32" t="s">
        <v>34</v>
      </c>
      <c r="GT42" s="32" t="s">
        <v>34</v>
      </c>
      <c r="GU42" s="32" t="s">
        <v>34</v>
      </c>
      <c r="GV42" s="32" t="s">
        <v>34</v>
      </c>
      <c r="GW42" s="32" t="s">
        <v>34</v>
      </c>
      <c r="GX42" s="32" t="s">
        <v>34</v>
      </c>
      <c r="GY42" s="32" t="s">
        <v>34</v>
      </c>
      <c r="GZ42" s="32" t="s">
        <v>34</v>
      </c>
      <c r="HA42" s="8" t="s">
        <v>34</v>
      </c>
      <c r="HB42" s="32" t="s">
        <v>34</v>
      </c>
      <c r="HC42" s="32" t="s">
        <v>34</v>
      </c>
      <c r="HD42" s="32" t="s">
        <v>34</v>
      </c>
      <c r="HE42" s="32" t="s">
        <v>34</v>
      </c>
      <c r="HF42" s="32" t="s">
        <v>34</v>
      </c>
      <c r="HG42" s="32" t="s">
        <v>34</v>
      </c>
      <c r="HH42" s="32" t="s">
        <v>34</v>
      </c>
      <c r="HI42" s="32" t="s">
        <v>34</v>
      </c>
      <c r="HJ42" s="32" t="s">
        <v>34</v>
      </c>
      <c r="HK42" s="32" t="s">
        <v>34</v>
      </c>
      <c r="HL42" s="32" t="s">
        <v>34</v>
      </c>
      <c r="HM42" s="32" t="s">
        <v>34</v>
      </c>
      <c r="HN42" s="32" t="s">
        <v>34</v>
      </c>
      <c r="HO42" s="32" t="s">
        <v>34</v>
      </c>
      <c r="HP42" s="32" t="s">
        <v>34</v>
      </c>
      <c r="HQ42" s="32" t="s">
        <v>34</v>
      </c>
      <c r="HR42" s="32" t="s">
        <v>34</v>
      </c>
      <c r="HS42" s="32" t="s">
        <v>34</v>
      </c>
      <c r="HT42" s="32" t="s">
        <v>34</v>
      </c>
      <c r="HU42" s="32" t="s">
        <v>34</v>
      </c>
      <c r="HV42" s="32" t="s">
        <v>34</v>
      </c>
      <c r="HW42" s="17" t="s">
        <v>34</v>
      </c>
      <c r="HX42" s="69"/>
      <c r="HY42" s="32" t="s">
        <v>34</v>
      </c>
      <c r="HZ42" s="32" t="s">
        <v>34</v>
      </c>
      <c r="IA42" s="32" t="s">
        <v>34</v>
      </c>
      <c r="IB42" s="32" t="s">
        <v>34</v>
      </c>
      <c r="IC42" s="32" t="s">
        <v>34</v>
      </c>
      <c r="ID42" s="32" t="s">
        <v>34</v>
      </c>
      <c r="IE42" s="32" t="s">
        <v>34</v>
      </c>
      <c r="IF42" s="32" t="s">
        <v>34</v>
      </c>
      <c r="IG42" s="32" t="s">
        <v>34</v>
      </c>
      <c r="IH42" s="32" t="s">
        <v>34</v>
      </c>
      <c r="II42" s="32" t="s">
        <v>34</v>
      </c>
      <c r="IJ42" s="32" t="s">
        <v>34</v>
      </c>
      <c r="IK42" s="32" t="s">
        <v>34</v>
      </c>
      <c r="IL42" s="32" t="s">
        <v>34</v>
      </c>
      <c r="IM42" s="32" t="s">
        <v>34</v>
      </c>
      <c r="IN42" s="32" t="s">
        <v>34</v>
      </c>
      <c r="IO42" s="32" t="s">
        <v>34</v>
      </c>
      <c r="IP42" s="32" t="s">
        <v>34</v>
      </c>
      <c r="IQ42" s="8" t="s">
        <v>34</v>
      </c>
      <c r="IR42" s="32" t="s">
        <v>34</v>
      </c>
      <c r="IS42" s="32" t="s">
        <v>34</v>
      </c>
      <c r="IT42" s="32" t="s">
        <v>34</v>
      </c>
      <c r="IU42" s="32" t="s">
        <v>34</v>
      </c>
      <c r="IV42" s="32" t="s">
        <v>34</v>
      </c>
      <c r="IW42" s="32" t="s">
        <v>34</v>
      </c>
      <c r="IX42" s="32" t="s">
        <v>34</v>
      </c>
      <c r="IY42" s="32" t="s">
        <v>34</v>
      </c>
      <c r="IZ42" s="32" t="s">
        <v>34</v>
      </c>
      <c r="JA42" s="32" t="s">
        <v>34</v>
      </c>
      <c r="JB42" s="32" t="s">
        <v>34</v>
      </c>
      <c r="JC42" s="32" t="s">
        <v>34</v>
      </c>
      <c r="JD42" s="32" t="s">
        <v>34</v>
      </c>
      <c r="JE42" s="32" t="s">
        <v>34</v>
      </c>
      <c r="JF42" s="32" t="s">
        <v>34</v>
      </c>
      <c r="JG42" s="32" t="s">
        <v>34</v>
      </c>
      <c r="JH42" s="32" t="s">
        <v>34</v>
      </c>
      <c r="JI42" s="69"/>
      <c r="JJ42" s="32" t="s">
        <v>34</v>
      </c>
      <c r="JK42" s="32" t="s">
        <v>34</v>
      </c>
      <c r="JL42" s="32" t="s">
        <v>34</v>
      </c>
      <c r="JM42" s="32" t="s">
        <v>34</v>
      </c>
      <c r="JN42" s="32" t="s">
        <v>34</v>
      </c>
      <c r="JO42" s="32" t="s">
        <v>34</v>
      </c>
      <c r="JP42" s="32" t="s">
        <v>34</v>
      </c>
      <c r="JQ42" s="32" t="s">
        <v>34</v>
      </c>
      <c r="JR42" s="32" t="s">
        <v>34</v>
      </c>
      <c r="JS42" s="32" t="s">
        <v>34</v>
      </c>
      <c r="JT42" s="32" t="s">
        <v>34</v>
      </c>
      <c r="JU42" s="69"/>
      <c r="JV42" s="32" t="s">
        <v>34</v>
      </c>
      <c r="JW42" s="32" t="s">
        <v>34</v>
      </c>
      <c r="JX42" s="32" t="s">
        <v>34</v>
      </c>
      <c r="JY42" s="32" t="s">
        <v>34</v>
      </c>
      <c r="JZ42" s="32" t="s">
        <v>34</v>
      </c>
      <c r="KA42" s="32" t="s">
        <v>34</v>
      </c>
      <c r="KB42" s="32" t="s">
        <v>34</v>
      </c>
      <c r="KC42" s="32" t="s">
        <v>34</v>
      </c>
      <c r="KD42" s="32" t="s">
        <v>34</v>
      </c>
      <c r="KE42" s="32" t="s">
        <v>34</v>
      </c>
      <c r="KF42" s="32" t="s">
        <v>34</v>
      </c>
      <c r="KG42" s="32" t="s">
        <v>34</v>
      </c>
      <c r="KH42" s="32" t="s">
        <v>34</v>
      </c>
      <c r="KI42" s="32" t="s">
        <v>34</v>
      </c>
      <c r="KJ42" s="32" t="s">
        <v>34</v>
      </c>
      <c r="KK42" s="32" t="s">
        <v>34</v>
      </c>
      <c r="KL42" s="32" t="s">
        <v>34</v>
      </c>
      <c r="KM42" s="69"/>
      <c r="KN42" s="32" t="s">
        <v>34</v>
      </c>
      <c r="KO42" s="32" t="s">
        <v>34</v>
      </c>
      <c r="KP42" s="32" t="s">
        <v>34</v>
      </c>
      <c r="KQ42" s="32" t="s">
        <v>34</v>
      </c>
      <c r="KR42" s="32" t="s">
        <v>34</v>
      </c>
      <c r="KS42" s="32" t="s">
        <v>34</v>
      </c>
      <c r="KT42" s="32" t="s">
        <v>34</v>
      </c>
      <c r="KU42" s="32" t="s">
        <v>34</v>
      </c>
      <c r="KV42" s="32" t="s">
        <v>34</v>
      </c>
      <c r="KW42" s="32" t="s">
        <v>34</v>
      </c>
      <c r="KX42" s="32" t="s">
        <v>34</v>
      </c>
      <c r="KY42" s="32" t="s">
        <v>34</v>
      </c>
      <c r="KZ42" s="32" t="s">
        <v>34</v>
      </c>
      <c r="LA42" s="32" t="s">
        <v>34</v>
      </c>
      <c r="LB42" s="32" t="s">
        <v>34</v>
      </c>
      <c r="LC42" s="32" t="s">
        <v>34</v>
      </c>
      <c r="LD42" s="32" t="s">
        <v>34</v>
      </c>
      <c r="LE42" s="32" t="s">
        <v>34</v>
      </c>
      <c r="LF42" s="32" t="s">
        <v>34</v>
      </c>
      <c r="LG42" s="32" t="s">
        <v>34</v>
      </c>
      <c r="LH42" s="69"/>
      <c r="LI42" s="32" t="s">
        <v>34</v>
      </c>
      <c r="LJ42" s="32" t="s">
        <v>34</v>
      </c>
      <c r="LK42" s="32" t="s">
        <v>34</v>
      </c>
      <c r="LL42" s="32" t="s">
        <v>34</v>
      </c>
      <c r="LM42" s="32" t="s">
        <v>34</v>
      </c>
      <c r="LN42" s="69"/>
      <c r="LO42" s="32" t="s">
        <v>34</v>
      </c>
      <c r="LP42" s="32" t="s">
        <v>34</v>
      </c>
      <c r="LQ42" s="32" t="s">
        <v>34</v>
      </c>
      <c r="LR42" s="32" t="s">
        <v>34</v>
      </c>
      <c r="LS42" s="32" t="s">
        <v>34</v>
      </c>
      <c r="LT42" s="32" t="s">
        <v>34</v>
      </c>
      <c r="LU42" s="32" t="s">
        <v>34</v>
      </c>
      <c r="LV42" s="32" t="s">
        <v>34</v>
      </c>
      <c r="LW42" s="32" t="s">
        <v>34</v>
      </c>
      <c r="LX42" s="32" t="s">
        <v>34</v>
      </c>
      <c r="LY42" s="32" t="s">
        <v>34</v>
      </c>
      <c r="LZ42" s="32" t="s">
        <v>34</v>
      </c>
      <c r="MA42" s="32" t="s">
        <v>34</v>
      </c>
      <c r="MB42" s="32" t="s">
        <v>34</v>
      </c>
      <c r="MC42" s="32" t="s">
        <v>34</v>
      </c>
      <c r="MD42" s="32" t="s">
        <v>34</v>
      </c>
      <c r="ME42" s="32" t="s">
        <v>34</v>
      </c>
      <c r="MF42" s="32" t="s">
        <v>34</v>
      </c>
      <c r="MG42" s="8" t="s">
        <v>34</v>
      </c>
      <c r="MH42" s="32" t="s">
        <v>34</v>
      </c>
      <c r="MI42" s="32" t="s">
        <v>34</v>
      </c>
      <c r="MJ42" s="32" t="s">
        <v>34</v>
      </c>
      <c r="MK42" s="32" t="s">
        <v>34</v>
      </c>
      <c r="ML42" s="32" t="s">
        <v>34</v>
      </c>
      <c r="MM42" s="32" t="s">
        <v>34</v>
      </c>
      <c r="MN42" s="32" t="s">
        <v>34</v>
      </c>
      <c r="MO42" s="32" t="s">
        <v>34</v>
      </c>
      <c r="MP42" s="32" t="s">
        <v>34</v>
      </c>
      <c r="MQ42" s="32" t="s">
        <v>34</v>
      </c>
      <c r="MR42" s="32" t="s">
        <v>34</v>
      </c>
      <c r="MS42" s="32" t="s">
        <v>34</v>
      </c>
      <c r="MT42" s="32" t="s">
        <v>34</v>
      </c>
      <c r="MU42" s="32" t="s">
        <v>34</v>
      </c>
      <c r="MV42" s="32" t="s">
        <v>34</v>
      </c>
      <c r="MW42" s="32" t="s">
        <v>34</v>
      </c>
      <c r="MX42" s="32" t="s">
        <v>34</v>
      </c>
      <c r="MY42" s="32" t="s">
        <v>34</v>
      </c>
      <c r="MZ42" s="32" t="s">
        <v>34</v>
      </c>
      <c r="NA42" s="32" t="s">
        <v>34</v>
      </c>
      <c r="NB42" s="17" t="s">
        <v>34</v>
      </c>
      <c r="NC42" s="69"/>
      <c r="ND42" s="32" t="s">
        <v>34</v>
      </c>
      <c r="NE42" s="32" t="s">
        <v>34</v>
      </c>
      <c r="NF42" s="32" t="s">
        <v>34</v>
      </c>
      <c r="NG42" s="32" t="s">
        <v>34</v>
      </c>
      <c r="NH42" s="32" t="s">
        <v>34</v>
      </c>
      <c r="NI42" s="32" t="s">
        <v>34</v>
      </c>
      <c r="NJ42" s="32" t="s">
        <v>34</v>
      </c>
      <c r="NK42" s="32" t="s">
        <v>34</v>
      </c>
      <c r="NL42" s="32" t="s">
        <v>34</v>
      </c>
      <c r="NM42" s="32" t="s">
        <v>34</v>
      </c>
      <c r="NN42" s="32" t="s">
        <v>34</v>
      </c>
      <c r="NO42" s="32" t="s">
        <v>34</v>
      </c>
      <c r="NP42" s="32" t="s">
        <v>34</v>
      </c>
      <c r="NQ42" s="32" t="s">
        <v>34</v>
      </c>
      <c r="NR42" s="32" t="s">
        <v>34</v>
      </c>
      <c r="NS42" s="32" t="s">
        <v>34</v>
      </c>
      <c r="NT42" s="32" t="s">
        <v>34</v>
      </c>
      <c r="NU42" s="32" t="s">
        <v>34</v>
      </c>
      <c r="NV42" s="8" t="s">
        <v>34</v>
      </c>
      <c r="NW42" s="32" t="s">
        <v>34</v>
      </c>
      <c r="NX42" s="32" t="s">
        <v>34</v>
      </c>
      <c r="NY42" s="32" t="s">
        <v>34</v>
      </c>
      <c r="NZ42" s="32" t="s">
        <v>34</v>
      </c>
      <c r="OA42" s="32" t="s">
        <v>34</v>
      </c>
      <c r="OB42" s="32" t="s">
        <v>34</v>
      </c>
      <c r="OC42" s="32" t="s">
        <v>34</v>
      </c>
      <c r="OD42" s="32" t="s">
        <v>34</v>
      </c>
      <c r="OE42" s="32" t="s">
        <v>34</v>
      </c>
      <c r="OF42" s="32" t="s">
        <v>34</v>
      </c>
      <c r="OG42" s="32" t="s">
        <v>34</v>
      </c>
      <c r="OH42" s="32" t="s">
        <v>34</v>
      </c>
      <c r="OI42" s="32" t="s">
        <v>34</v>
      </c>
      <c r="OJ42" s="32" t="s">
        <v>34</v>
      </c>
      <c r="OK42" s="32" t="s">
        <v>34</v>
      </c>
      <c r="OL42" s="32" t="s">
        <v>34</v>
      </c>
      <c r="OM42" s="32" t="s">
        <v>34</v>
      </c>
      <c r="ON42" s="69"/>
      <c r="OO42" s="32" t="s">
        <v>34</v>
      </c>
      <c r="OP42" s="32" t="s">
        <v>34</v>
      </c>
      <c r="OQ42" s="32" t="s">
        <v>34</v>
      </c>
      <c r="OR42" s="32" t="s">
        <v>34</v>
      </c>
      <c r="OS42" s="32" t="s">
        <v>34</v>
      </c>
      <c r="OT42" s="32" t="s">
        <v>34</v>
      </c>
      <c r="OU42" s="32" t="s">
        <v>34</v>
      </c>
      <c r="OV42" s="32" t="s">
        <v>34</v>
      </c>
      <c r="OW42" s="32" t="s">
        <v>34</v>
      </c>
      <c r="OX42" s="32" t="s">
        <v>34</v>
      </c>
      <c r="OY42" s="32" t="s">
        <v>34</v>
      </c>
    </row>
    <row r="43" spans="1:415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9"/>
      <c r="K43" s="32" t="s">
        <v>34</v>
      </c>
      <c r="L43" s="32" t="s">
        <v>34</v>
      </c>
      <c r="M43" s="32" t="s">
        <v>34</v>
      </c>
      <c r="N43" s="32" t="s">
        <v>34</v>
      </c>
      <c r="O43" s="32" t="s">
        <v>34</v>
      </c>
      <c r="P43" s="32" t="s">
        <v>34</v>
      </c>
      <c r="Q43" s="32" t="s">
        <v>34</v>
      </c>
      <c r="R43" s="32" t="s">
        <v>34</v>
      </c>
      <c r="S43" s="32" t="s">
        <v>34</v>
      </c>
      <c r="T43" s="32" t="s">
        <v>34</v>
      </c>
      <c r="U43" s="32" t="s">
        <v>34</v>
      </c>
      <c r="V43" s="32" t="s">
        <v>34</v>
      </c>
      <c r="W43" s="32" t="s">
        <v>34</v>
      </c>
      <c r="X43" s="32" t="s">
        <v>34</v>
      </c>
      <c r="Y43" s="32" t="s">
        <v>34</v>
      </c>
      <c r="Z43" s="32" t="s">
        <v>34</v>
      </c>
      <c r="AA43" s="32" t="s">
        <v>34</v>
      </c>
      <c r="AB43" s="69"/>
      <c r="AC43" s="32" t="s">
        <v>34</v>
      </c>
      <c r="AD43" s="32" t="s">
        <v>34</v>
      </c>
      <c r="AE43" s="32" t="s">
        <v>34</v>
      </c>
      <c r="AF43" s="32" t="s">
        <v>34</v>
      </c>
      <c r="AG43" s="32" t="s">
        <v>34</v>
      </c>
      <c r="AH43" s="32" t="s">
        <v>34</v>
      </c>
      <c r="AI43" s="32" t="s">
        <v>34</v>
      </c>
      <c r="AJ43" s="32" t="s">
        <v>34</v>
      </c>
      <c r="AK43" s="32" t="s">
        <v>34</v>
      </c>
      <c r="AL43" s="32" t="s">
        <v>34</v>
      </c>
      <c r="AM43" s="32" t="s">
        <v>34</v>
      </c>
      <c r="AN43" s="32" t="s">
        <v>34</v>
      </c>
      <c r="AO43" s="32" t="s">
        <v>34</v>
      </c>
      <c r="AP43" s="32" t="s">
        <v>34</v>
      </c>
      <c r="AQ43" s="32" t="s">
        <v>34</v>
      </c>
      <c r="AR43" s="32" t="s">
        <v>34</v>
      </c>
      <c r="AS43" s="32" t="s">
        <v>34</v>
      </c>
      <c r="AT43" s="32" t="s">
        <v>34</v>
      </c>
      <c r="AU43" s="32" t="s">
        <v>34</v>
      </c>
      <c r="AV43" s="32" t="s">
        <v>34</v>
      </c>
      <c r="AW43" s="69"/>
      <c r="AX43" s="32" t="s">
        <v>34</v>
      </c>
      <c r="AY43" s="32" t="s">
        <v>34</v>
      </c>
      <c r="AZ43" s="32" t="s">
        <v>34</v>
      </c>
      <c r="BA43" s="32" t="s">
        <v>34</v>
      </c>
      <c r="BB43" s="32" t="s">
        <v>34</v>
      </c>
      <c r="BC43" s="69"/>
      <c r="BD43" s="32" t="s">
        <v>34</v>
      </c>
      <c r="BE43" s="32" t="s">
        <v>34</v>
      </c>
      <c r="BF43" s="32" t="s">
        <v>34</v>
      </c>
      <c r="BG43" s="32" t="s">
        <v>34</v>
      </c>
      <c r="BH43" s="32" t="s">
        <v>34</v>
      </c>
      <c r="BI43" s="32" t="s">
        <v>34</v>
      </c>
      <c r="BJ43" s="32" t="s">
        <v>34</v>
      </c>
      <c r="BK43" s="32" t="s">
        <v>34</v>
      </c>
      <c r="BL43" s="32" t="s">
        <v>34</v>
      </c>
      <c r="BM43" s="32" t="s">
        <v>34</v>
      </c>
      <c r="BN43" s="32" t="s">
        <v>34</v>
      </c>
      <c r="BO43" s="32" t="s">
        <v>34</v>
      </c>
      <c r="BP43" s="32" t="s">
        <v>34</v>
      </c>
      <c r="BQ43" s="32" t="s">
        <v>34</v>
      </c>
      <c r="BR43" s="32" t="s">
        <v>34</v>
      </c>
      <c r="BS43" s="32" t="s">
        <v>34</v>
      </c>
      <c r="BT43" s="32" t="s">
        <v>34</v>
      </c>
      <c r="BU43" s="32" t="s">
        <v>34</v>
      </c>
      <c r="BV43" s="8" t="s">
        <v>34</v>
      </c>
      <c r="BW43" s="32" t="s">
        <v>34</v>
      </c>
      <c r="BX43" s="32" t="s">
        <v>34</v>
      </c>
      <c r="BY43" s="32" t="s">
        <v>34</v>
      </c>
      <c r="BZ43" s="32" t="s">
        <v>34</v>
      </c>
      <c r="CA43" s="32" t="s">
        <v>34</v>
      </c>
      <c r="CB43" s="32" t="s">
        <v>34</v>
      </c>
      <c r="CC43" s="32" t="s">
        <v>34</v>
      </c>
      <c r="CD43" s="32" t="s">
        <v>34</v>
      </c>
      <c r="CE43" s="32" t="s">
        <v>34</v>
      </c>
      <c r="CF43" s="32" t="s">
        <v>34</v>
      </c>
      <c r="CG43" s="32" t="s">
        <v>34</v>
      </c>
      <c r="CH43" s="32" t="s">
        <v>34</v>
      </c>
      <c r="CI43" s="32" t="s">
        <v>34</v>
      </c>
      <c r="CJ43" s="32" t="s">
        <v>34</v>
      </c>
      <c r="CK43" s="32" t="s">
        <v>34</v>
      </c>
      <c r="CL43" s="32" t="s">
        <v>34</v>
      </c>
      <c r="CM43" s="32" t="s">
        <v>34</v>
      </c>
      <c r="CN43" s="32" t="s">
        <v>34</v>
      </c>
      <c r="CO43" s="32" t="s">
        <v>34</v>
      </c>
      <c r="CP43" s="32" t="s">
        <v>34</v>
      </c>
      <c r="CQ43" s="17" t="s">
        <v>34</v>
      </c>
      <c r="CR43" s="69"/>
      <c r="CS43" s="32" t="s">
        <v>34</v>
      </c>
      <c r="CT43" s="32" t="s">
        <v>34</v>
      </c>
      <c r="CU43" s="32" t="s">
        <v>34</v>
      </c>
      <c r="CV43" s="32" t="s">
        <v>34</v>
      </c>
      <c r="CW43" s="32" t="s">
        <v>34</v>
      </c>
      <c r="CX43" s="32" t="s">
        <v>34</v>
      </c>
      <c r="CY43" s="32" t="s">
        <v>34</v>
      </c>
      <c r="CZ43" s="32" t="s">
        <v>34</v>
      </c>
      <c r="DA43" s="32" t="s">
        <v>34</v>
      </c>
      <c r="DB43" s="32" t="s">
        <v>34</v>
      </c>
      <c r="DC43" s="32" t="s">
        <v>34</v>
      </c>
      <c r="DD43" s="32" t="s">
        <v>34</v>
      </c>
      <c r="DE43" s="32" t="s">
        <v>34</v>
      </c>
      <c r="DF43" s="32" t="s">
        <v>34</v>
      </c>
      <c r="DG43" s="32" t="s">
        <v>34</v>
      </c>
      <c r="DH43" s="32" t="s">
        <v>34</v>
      </c>
      <c r="DI43" s="32" t="s">
        <v>34</v>
      </c>
      <c r="DJ43" s="32" t="s">
        <v>34</v>
      </c>
      <c r="DK43" s="8" t="s">
        <v>34</v>
      </c>
      <c r="DL43" s="32" t="s">
        <v>34</v>
      </c>
      <c r="DM43" s="32" t="s">
        <v>34</v>
      </c>
      <c r="DN43" s="32" t="s">
        <v>34</v>
      </c>
      <c r="DO43" s="32" t="s">
        <v>34</v>
      </c>
      <c r="DP43" s="32" t="s">
        <v>34</v>
      </c>
      <c r="DQ43" s="32" t="s">
        <v>34</v>
      </c>
      <c r="DR43" s="32" t="s">
        <v>34</v>
      </c>
      <c r="DS43" s="32" t="s">
        <v>34</v>
      </c>
      <c r="DT43" s="32" t="s">
        <v>34</v>
      </c>
      <c r="DU43" s="32" t="s">
        <v>34</v>
      </c>
      <c r="DV43" s="32" t="s">
        <v>34</v>
      </c>
      <c r="DW43" s="32" t="s">
        <v>34</v>
      </c>
      <c r="DX43" s="32" t="s">
        <v>34</v>
      </c>
      <c r="DY43" s="32" t="s">
        <v>34</v>
      </c>
      <c r="DZ43" s="32" t="s">
        <v>34</v>
      </c>
      <c r="EA43" s="32" t="s">
        <v>34</v>
      </c>
      <c r="EB43" s="32" t="s">
        <v>34</v>
      </c>
      <c r="EC43" s="69"/>
      <c r="ED43" s="32" t="s">
        <v>34</v>
      </c>
      <c r="EE43" s="32" t="s">
        <v>34</v>
      </c>
      <c r="EF43" s="32" t="s">
        <v>34</v>
      </c>
      <c r="EG43" s="32" t="s">
        <v>34</v>
      </c>
      <c r="EH43" s="32" t="s">
        <v>34</v>
      </c>
      <c r="EI43" s="32" t="s">
        <v>34</v>
      </c>
      <c r="EJ43" s="32" t="s">
        <v>34</v>
      </c>
      <c r="EK43" s="32" t="s">
        <v>34</v>
      </c>
      <c r="EL43" s="32" t="s">
        <v>34</v>
      </c>
      <c r="EM43" s="32" t="s">
        <v>34</v>
      </c>
      <c r="EN43" s="32" t="s">
        <v>34</v>
      </c>
      <c r="EO43" s="69"/>
      <c r="EP43" s="32" t="s">
        <v>34</v>
      </c>
      <c r="EQ43" s="32" t="s">
        <v>34</v>
      </c>
      <c r="ER43" s="32" t="s">
        <v>34</v>
      </c>
      <c r="ES43" s="32" t="s">
        <v>34</v>
      </c>
      <c r="ET43" s="32" t="s">
        <v>34</v>
      </c>
      <c r="EU43" s="32" t="s">
        <v>34</v>
      </c>
      <c r="EV43" s="32" t="s">
        <v>34</v>
      </c>
      <c r="EW43" s="32" t="s">
        <v>34</v>
      </c>
      <c r="EX43" s="32" t="s">
        <v>34</v>
      </c>
      <c r="EY43" s="32" t="s">
        <v>34</v>
      </c>
      <c r="EZ43" s="32" t="s">
        <v>34</v>
      </c>
      <c r="FA43" s="32" t="s">
        <v>34</v>
      </c>
      <c r="FB43" s="32" t="s">
        <v>34</v>
      </c>
      <c r="FC43" s="32" t="s">
        <v>34</v>
      </c>
      <c r="FD43" s="32" t="s">
        <v>34</v>
      </c>
      <c r="FE43" s="32" t="s">
        <v>34</v>
      </c>
      <c r="FF43" s="32" t="s">
        <v>34</v>
      </c>
      <c r="FG43" s="69"/>
      <c r="FH43" s="32" t="s">
        <v>34</v>
      </c>
      <c r="FI43" s="32" t="s">
        <v>34</v>
      </c>
      <c r="FJ43" s="32" t="s">
        <v>34</v>
      </c>
      <c r="FK43" s="32" t="s">
        <v>34</v>
      </c>
      <c r="FL43" s="32" t="s">
        <v>34</v>
      </c>
      <c r="FM43" s="32" t="s">
        <v>34</v>
      </c>
      <c r="FN43" s="32" t="s">
        <v>34</v>
      </c>
      <c r="FO43" s="32" t="s">
        <v>34</v>
      </c>
      <c r="FP43" s="32" t="s">
        <v>34</v>
      </c>
      <c r="FQ43" s="32" t="s">
        <v>34</v>
      </c>
      <c r="FR43" s="32" t="s">
        <v>34</v>
      </c>
      <c r="FS43" s="32" t="s">
        <v>34</v>
      </c>
      <c r="FT43" s="32" t="s">
        <v>34</v>
      </c>
      <c r="FU43" s="32" t="s">
        <v>34</v>
      </c>
      <c r="FV43" s="32" t="s">
        <v>34</v>
      </c>
      <c r="FW43" s="32" t="s">
        <v>34</v>
      </c>
      <c r="FX43" s="32" t="s">
        <v>34</v>
      </c>
      <c r="FY43" s="32" t="s">
        <v>34</v>
      </c>
      <c r="FZ43" s="32" t="s">
        <v>34</v>
      </c>
      <c r="GA43" s="32" t="s">
        <v>34</v>
      </c>
      <c r="GB43" s="69"/>
      <c r="GC43" s="32" t="s">
        <v>34</v>
      </c>
      <c r="GD43" s="32" t="s">
        <v>34</v>
      </c>
      <c r="GE43" s="32" t="s">
        <v>34</v>
      </c>
      <c r="GF43" s="32" t="s">
        <v>34</v>
      </c>
      <c r="GG43" s="32" t="s">
        <v>34</v>
      </c>
      <c r="GH43" s="69"/>
      <c r="GI43" s="32" t="s">
        <v>34</v>
      </c>
      <c r="GJ43" s="32" t="s">
        <v>34</v>
      </c>
      <c r="GK43" s="32" t="s">
        <v>34</v>
      </c>
      <c r="GL43" s="32" t="s">
        <v>34</v>
      </c>
      <c r="GM43" s="32" t="s">
        <v>34</v>
      </c>
      <c r="GN43" s="32" t="s">
        <v>34</v>
      </c>
      <c r="GO43" s="32" t="s">
        <v>34</v>
      </c>
      <c r="GP43" s="32" t="s">
        <v>34</v>
      </c>
      <c r="GQ43" s="32" t="s">
        <v>34</v>
      </c>
      <c r="GR43" s="32" t="s">
        <v>34</v>
      </c>
      <c r="GS43" s="32" t="s">
        <v>34</v>
      </c>
      <c r="GT43" s="32" t="s">
        <v>34</v>
      </c>
      <c r="GU43" s="32" t="s">
        <v>34</v>
      </c>
      <c r="GV43" s="32" t="s">
        <v>34</v>
      </c>
      <c r="GW43" s="32" t="s">
        <v>34</v>
      </c>
      <c r="GX43" s="32" t="s">
        <v>34</v>
      </c>
      <c r="GY43" s="32" t="s">
        <v>34</v>
      </c>
      <c r="GZ43" s="32" t="s">
        <v>34</v>
      </c>
      <c r="HA43" s="8" t="s">
        <v>34</v>
      </c>
      <c r="HB43" s="32" t="s">
        <v>34</v>
      </c>
      <c r="HC43" s="32" t="s">
        <v>34</v>
      </c>
      <c r="HD43" s="32" t="s">
        <v>34</v>
      </c>
      <c r="HE43" s="32" t="s">
        <v>34</v>
      </c>
      <c r="HF43" s="32" t="s">
        <v>34</v>
      </c>
      <c r="HG43" s="32" t="s">
        <v>34</v>
      </c>
      <c r="HH43" s="32" t="s">
        <v>34</v>
      </c>
      <c r="HI43" s="32" t="s">
        <v>34</v>
      </c>
      <c r="HJ43" s="32" t="s">
        <v>34</v>
      </c>
      <c r="HK43" s="32" t="s">
        <v>34</v>
      </c>
      <c r="HL43" s="32" t="s">
        <v>34</v>
      </c>
      <c r="HM43" s="32" t="s">
        <v>34</v>
      </c>
      <c r="HN43" s="32" t="s">
        <v>34</v>
      </c>
      <c r="HO43" s="32" t="s">
        <v>34</v>
      </c>
      <c r="HP43" s="32" t="s">
        <v>34</v>
      </c>
      <c r="HQ43" s="32" t="s">
        <v>34</v>
      </c>
      <c r="HR43" s="32" t="s">
        <v>34</v>
      </c>
      <c r="HS43" s="32" t="s">
        <v>34</v>
      </c>
      <c r="HT43" s="32" t="s">
        <v>34</v>
      </c>
      <c r="HU43" s="32" t="s">
        <v>34</v>
      </c>
      <c r="HV43" s="32" t="s">
        <v>34</v>
      </c>
      <c r="HW43" s="17" t="s">
        <v>34</v>
      </c>
      <c r="HX43" s="69"/>
      <c r="HY43" s="32" t="s">
        <v>34</v>
      </c>
      <c r="HZ43" s="32" t="s">
        <v>34</v>
      </c>
      <c r="IA43" s="32" t="s">
        <v>34</v>
      </c>
      <c r="IB43" s="32" t="s">
        <v>34</v>
      </c>
      <c r="IC43" s="32" t="s">
        <v>34</v>
      </c>
      <c r="ID43" s="32" t="s">
        <v>34</v>
      </c>
      <c r="IE43" s="32" t="s">
        <v>34</v>
      </c>
      <c r="IF43" s="32" t="s">
        <v>34</v>
      </c>
      <c r="IG43" s="32" t="s">
        <v>34</v>
      </c>
      <c r="IH43" s="32" t="s">
        <v>34</v>
      </c>
      <c r="II43" s="32" t="s">
        <v>34</v>
      </c>
      <c r="IJ43" s="32" t="s">
        <v>34</v>
      </c>
      <c r="IK43" s="32" t="s">
        <v>34</v>
      </c>
      <c r="IL43" s="32" t="s">
        <v>34</v>
      </c>
      <c r="IM43" s="32" t="s">
        <v>34</v>
      </c>
      <c r="IN43" s="32" t="s">
        <v>34</v>
      </c>
      <c r="IO43" s="32" t="s">
        <v>34</v>
      </c>
      <c r="IP43" s="32" t="s">
        <v>34</v>
      </c>
      <c r="IQ43" s="8" t="s">
        <v>34</v>
      </c>
      <c r="IR43" s="32" t="s">
        <v>34</v>
      </c>
      <c r="IS43" s="32" t="s">
        <v>34</v>
      </c>
      <c r="IT43" s="32" t="s">
        <v>34</v>
      </c>
      <c r="IU43" s="32" t="s">
        <v>34</v>
      </c>
      <c r="IV43" s="32" t="s">
        <v>34</v>
      </c>
      <c r="IW43" s="32" t="s">
        <v>34</v>
      </c>
      <c r="IX43" s="32" t="s">
        <v>34</v>
      </c>
      <c r="IY43" s="32" t="s">
        <v>34</v>
      </c>
      <c r="IZ43" s="32" t="s">
        <v>34</v>
      </c>
      <c r="JA43" s="32" t="s">
        <v>34</v>
      </c>
      <c r="JB43" s="32" t="s">
        <v>34</v>
      </c>
      <c r="JC43" s="32" t="s">
        <v>34</v>
      </c>
      <c r="JD43" s="32" t="s">
        <v>34</v>
      </c>
      <c r="JE43" s="32" t="s">
        <v>34</v>
      </c>
      <c r="JF43" s="32" t="s">
        <v>34</v>
      </c>
      <c r="JG43" s="32" t="s">
        <v>34</v>
      </c>
      <c r="JH43" s="32" t="s">
        <v>34</v>
      </c>
      <c r="JI43" s="69"/>
      <c r="JJ43" s="32" t="s">
        <v>34</v>
      </c>
      <c r="JK43" s="32" t="s">
        <v>34</v>
      </c>
      <c r="JL43" s="32" t="s">
        <v>34</v>
      </c>
      <c r="JM43" s="32" t="s">
        <v>34</v>
      </c>
      <c r="JN43" s="32" t="s">
        <v>34</v>
      </c>
      <c r="JO43" s="32" t="s">
        <v>34</v>
      </c>
      <c r="JP43" s="32" t="s">
        <v>34</v>
      </c>
      <c r="JQ43" s="32" t="s">
        <v>34</v>
      </c>
      <c r="JR43" s="32" t="s">
        <v>34</v>
      </c>
      <c r="JS43" s="32" t="s">
        <v>34</v>
      </c>
      <c r="JT43" s="32" t="s">
        <v>34</v>
      </c>
      <c r="JU43" s="69"/>
      <c r="JV43" s="32" t="s">
        <v>34</v>
      </c>
      <c r="JW43" s="32" t="s">
        <v>34</v>
      </c>
      <c r="JX43" s="32" t="s">
        <v>34</v>
      </c>
      <c r="JY43" s="32" t="s">
        <v>34</v>
      </c>
      <c r="JZ43" s="32" t="s">
        <v>34</v>
      </c>
      <c r="KA43" s="32" t="s">
        <v>34</v>
      </c>
      <c r="KB43" s="32" t="s">
        <v>34</v>
      </c>
      <c r="KC43" s="32" t="s">
        <v>34</v>
      </c>
      <c r="KD43" s="32" t="s">
        <v>34</v>
      </c>
      <c r="KE43" s="32" t="s">
        <v>34</v>
      </c>
      <c r="KF43" s="32" t="s">
        <v>34</v>
      </c>
      <c r="KG43" s="32" t="s">
        <v>34</v>
      </c>
      <c r="KH43" s="32" t="s">
        <v>34</v>
      </c>
      <c r="KI43" s="32" t="s">
        <v>34</v>
      </c>
      <c r="KJ43" s="32" t="s">
        <v>34</v>
      </c>
      <c r="KK43" s="32" t="s">
        <v>34</v>
      </c>
      <c r="KL43" s="32" t="s">
        <v>34</v>
      </c>
      <c r="KM43" s="69"/>
      <c r="KN43" s="32" t="s">
        <v>34</v>
      </c>
      <c r="KO43" s="32" t="s">
        <v>34</v>
      </c>
      <c r="KP43" s="32" t="s">
        <v>34</v>
      </c>
      <c r="KQ43" s="32" t="s">
        <v>34</v>
      </c>
      <c r="KR43" s="32" t="s">
        <v>34</v>
      </c>
      <c r="KS43" s="32" t="s">
        <v>34</v>
      </c>
      <c r="KT43" s="32" t="s">
        <v>34</v>
      </c>
      <c r="KU43" s="32" t="s">
        <v>34</v>
      </c>
      <c r="KV43" s="32" t="s">
        <v>34</v>
      </c>
      <c r="KW43" s="32" t="s">
        <v>34</v>
      </c>
      <c r="KX43" s="32" t="s">
        <v>34</v>
      </c>
      <c r="KY43" s="32" t="s">
        <v>34</v>
      </c>
      <c r="KZ43" s="32" t="s">
        <v>34</v>
      </c>
      <c r="LA43" s="32" t="s">
        <v>34</v>
      </c>
      <c r="LB43" s="32" t="s">
        <v>34</v>
      </c>
      <c r="LC43" s="32" t="s">
        <v>34</v>
      </c>
      <c r="LD43" s="32" t="s">
        <v>34</v>
      </c>
      <c r="LE43" s="32" t="s">
        <v>34</v>
      </c>
      <c r="LF43" s="32" t="s">
        <v>34</v>
      </c>
      <c r="LG43" s="32" t="s">
        <v>34</v>
      </c>
      <c r="LH43" s="69"/>
      <c r="LI43" s="32" t="s">
        <v>34</v>
      </c>
      <c r="LJ43" s="32" t="s">
        <v>34</v>
      </c>
      <c r="LK43" s="32" t="s">
        <v>34</v>
      </c>
      <c r="LL43" s="32" t="s">
        <v>34</v>
      </c>
      <c r="LM43" s="32" t="s">
        <v>34</v>
      </c>
      <c r="LN43" s="69"/>
      <c r="LO43" s="32" t="s">
        <v>34</v>
      </c>
      <c r="LP43" s="32" t="s">
        <v>34</v>
      </c>
      <c r="LQ43" s="32" t="s">
        <v>34</v>
      </c>
      <c r="LR43" s="32" t="s">
        <v>34</v>
      </c>
      <c r="LS43" s="32" t="s">
        <v>34</v>
      </c>
      <c r="LT43" s="32" t="s">
        <v>34</v>
      </c>
      <c r="LU43" s="32" t="s">
        <v>34</v>
      </c>
      <c r="LV43" s="32" t="s">
        <v>34</v>
      </c>
      <c r="LW43" s="32" t="s">
        <v>34</v>
      </c>
      <c r="LX43" s="32" t="s">
        <v>34</v>
      </c>
      <c r="LY43" s="32" t="s">
        <v>34</v>
      </c>
      <c r="LZ43" s="32" t="s">
        <v>34</v>
      </c>
      <c r="MA43" s="32" t="s">
        <v>34</v>
      </c>
      <c r="MB43" s="32" t="s">
        <v>34</v>
      </c>
      <c r="MC43" s="32" t="s">
        <v>34</v>
      </c>
      <c r="MD43" s="32" t="s">
        <v>34</v>
      </c>
      <c r="ME43" s="32" t="s">
        <v>34</v>
      </c>
      <c r="MF43" s="32" t="s">
        <v>34</v>
      </c>
      <c r="MG43" s="8" t="s">
        <v>34</v>
      </c>
      <c r="MH43" s="32" t="s">
        <v>34</v>
      </c>
      <c r="MI43" s="32" t="s">
        <v>34</v>
      </c>
      <c r="MJ43" s="32" t="s">
        <v>34</v>
      </c>
      <c r="MK43" s="32" t="s">
        <v>34</v>
      </c>
      <c r="ML43" s="32" t="s">
        <v>34</v>
      </c>
      <c r="MM43" s="32" t="s">
        <v>34</v>
      </c>
      <c r="MN43" s="32" t="s">
        <v>34</v>
      </c>
      <c r="MO43" s="32" t="s">
        <v>34</v>
      </c>
      <c r="MP43" s="32" t="s">
        <v>34</v>
      </c>
      <c r="MQ43" s="32" t="s">
        <v>34</v>
      </c>
      <c r="MR43" s="32" t="s">
        <v>34</v>
      </c>
      <c r="MS43" s="32" t="s">
        <v>34</v>
      </c>
      <c r="MT43" s="32" t="s">
        <v>34</v>
      </c>
      <c r="MU43" s="32" t="s">
        <v>34</v>
      </c>
      <c r="MV43" s="32" t="s">
        <v>34</v>
      </c>
      <c r="MW43" s="32" t="s">
        <v>34</v>
      </c>
      <c r="MX43" s="32" t="s">
        <v>34</v>
      </c>
      <c r="MY43" s="32" t="s">
        <v>34</v>
      </c>
      <c r="MZ43" s="32" t="s">
        <v>34</v>
      </c>
      <c r="NA43" s="32" t="s">
        <v>34</v>
      </c>
      <c r="NB43" s="17" t="s">
        <v>34</v>
      </c>
      <c r="NC43" s="69"/>
      <c r="ND43" s="32" t="s">
        <v>34</v>
      </c>
      <c r="NE43" s="32" t="s">
        <v>34</v>
      </c>
      <c r="NF43" s="32" t="s">
        <v>34</v>
      </c>
      <c r="NG43" s="32" t="s">
        <v>34</v>
      </c>
      <c r="NH43" s="32" t="s">
        <v>34</v>
      </c>
      <c r="NI43" s="32" t="s">
        <v>34</v>
      </c>
      <c r="NJ43" s="32" t="s">
        <v>34</v>
      </c>
      <c r="NK43" s="32" t="s">
        <v>34</v>
      </c>
      <c r="NL43" s="32" t="s">
        <v>34</v>
      </c>
      <c r="NM43" s="32" t="s">
        <v>34</v>
      </c>
      <c r="NN43" s="32" t="s">
        <v>34</v>
      </c>
      <c r="NO43" s="32" t="s">
        <v>34</v>
      </c>
      <c r="NP43" s="32" t="s">
        <v>34</v>
      </c>
      <c r="NQ43" s="32" t="s">
        <v>34</v>
      </c>
      <c r="NR43" s="32" t="s">
        <v>34</v>
      </c>
      <c r="NS43" s="32" t="s">
        <v>34</v>
      </c>
      <c r="NT43" s="32" t="s">
        <v>34</v>
      </c>
      <c r="NU43" s="32" t="s">
        <v>34</v>
      </c>
      <c r="NV43" s="8" t="s">
        <v>34</v>
      </c>
      <c r="NW43" s="32" t="s">
        <v>34</v>
      </c>
      <c r="NX43" s="32" t="s">
        <v>34</v>
      </c>
      <c r="NY43" s="32" t="s">
        <v>34</v>
      </c>
      <c r="NZ43" s="32" t="s">
        <v>34</v>
      </c>
      <c r="OA43" s="32" t="s">
        <v>34</v>
      </c>
      <c r="OB43" s="32" t="s">
        <v>34</v>
      </c>
      <c r="OC43" s="32" t="s">
        <v>34</v>
      </c>
      <c r="OD43" s="32" t="s">
        <v>34</v>
      </c>
      <c r="OE43" s="32" t="s">
        <v>34</v>
      </c>
      <c r="OF43" s="32" t="s">
        <v>34</v>
      </c>
      <c r="OG43" s="32" t="s">
        <v>34</v>
      </c>
      <c r="OH43" s="32" t="s">
        <v>34</v>
      </c>
      <c r="OI43" s="32" t="s">
        <v>34</v>
      </c>
      <c r="OJ43" s="32" t="s">
        <v>34</v>
      </c>
      <c r="OK43" s="32" t="s">
        <v>34</v>
      </c>
      <c r="OL43" s="32" t="s">
        <v>34</v>
      </c>
      <c r="OM43" s="32" t="s">
        <v>34</v>
      </c>
      <c r="ON43" s="69"/>
      <c r="OO43" s="32" t="s">
        <v>34</v>
      </c>
      <c r="OP43" s="32" t="s">
        <v>34</v>
      </c>
      <c r="OQ43" s="32" t="s">
        <v>34</v>
      </c>
      <c r="OR43" s="32" t="s">
        <v>34</v>
      </c>
      <c r="OS43" s="32" t="s">
        <v>34</v>
      </c>
      <c r="OT43" s="32" t="s">
        <v>34</v>
      </c>
      <c r="OU43" s="32" t="s">
        <v>34</v>
      </c>
      <c r="OV43" s="32" t="s">
        <v>34</v>
      </c>
      <c r="OW43" s="32" t="s">
        <v>34</v>
      </c>
      <c r="OX43" s="32" t="s">
        <v>34</v>
      </c>
      <c r="OY43" s="32" t="s">
        <v>34</v>
      </c>
    </row>
    <row r="44" spans="1:415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9"/>
      <c r="K44" s="32" t="s">
        <v>34</v>
      </c>
      <c r="L44" s="32" t="s">
        <v>34</v>
      </c>
      <c r="M44" s="32" t="s">
        <v>34</v>
      </c>
      <c r="N44" s="32" t="s">
        <v>34</v>
      </c>
      <c r="O44" s="32" t="s">
        <v>34</v>
      </c>
      <c r="P44" s="32" t="s">
        <v>34</v>
      </c>
      <c r="Q44" s="32" t="s">
        <v>34</v>
      </c>
      <c r="R44" s="32" t="s">
        <v>34</v>
      </c>
      <c r="S44" s="32" t="s">
        <v>34</v>
      </c>
      <c r="T44" s="32" t="s">
        <v>34</v>
      </c>
      <c r="U44" s="32" t="s">
        <v>34</v>
      </c>
      <c r="V44" s="32" t="s">
        <v>34</v>
      </c>
      <c r="W44" s="32" t="s">
        <v>34</v>
      </c>
      <c r="X44" s="32" t="s">
        <v>34</v>
      </c>
      <c r="Y44" s="32" t="s">
        <v>34</v>
      </c>
      <c r="Z44" s="32" t="s">
        <v>34</v>
      </c>
      <c r="AA44" s="32" t="s">
        <v>34</v>
      </c>
      <c r="AB44" s="69"/>
      <c r="AC44" s="32" t="s">
        <v>34</v>
      </c>
      <c r="AD44" s="32" t="s">
        <v>34</v>
      </c>
      <c r="AE44" s="32" t="s">
        <v>34</v>
      </c>
      <c r="AF44" s="32" t="s">
        <v>34</v>
      </c>
      <c r="AG44" s="32" t="s">
        <v>34</v>
      </c>
      <c r="AH44" s="32" t="s">
        <v>34</v>
      </c>
      <c r="AI44" s="32" t="s">
        <v>34</v>
      </c>
      <c r="AJ44" s="32" t="s">
        <v>34</v>
      </c>
      <c r="AK44" s="32" t="s">
        <v>34</v>
      </c>
      <c r="AL44" s="32" t="s">
        <v>34</v>
      </c>
      <c r="AM44" s="32" t="s">
        <v>34</v>
      </c>
      <c r="AN44" s="32" t="s">
        <v>34</v>
      </c>
      <c r="AO44" s="32" t="s">
        <v>34</v>
      </c>
      <c r="AP44" s="32" t="s">
        <v>34</v>
      </c>
      <c r="AQ44" s="32" t="s">
        <v>34</v>
      </c>
      <c r="AR44" s="32" t="s">
        <v>34</v>
      </c>
      <c r="AS44" s="32" t="s">
        <v>34</v>
      </c>
      <c r="AT44" s="32" t="s">
        <v>34</v>
      </c>
      <c r="AU44" s="32" t="s">
        <v>34</v>
      </c>
      <c r="AV44" s="32" t="s">
        <v>34</v>
      </c>
      <c r="AW44" s="69"/>
      <c r="AX44" s="32" t="s">
        <v>34</v>
      </c>
      <c r="AY44" s="32" t="s">
        <v>34</v>
      </c>
      <c r="AZ44" s="32" t="s">
        <v>34</v>
      </c>
      <c r="BA44" s="32" t="s">
        <v>34</v>
      </c>
      <c r="BB44" s="32" t="s">
        <v>34</v>
      </c>
      <c r="BC44" s="69"/>
      <c r="BD44" s="32" t="s">
        <v>34</v>
      </c>
      <c r="BE44" s="32" t="s">
        <v>34</v>
      </c>
      <c r="BF44" s="32" t="s">
        <v>34</v>
      </c>
      <c r="BG44" s="32" t="s">
        <v>34</v>
      </c>
      <c r="BH44" s="32" t="s">
        <v>34</v>
      </c>
      <c r="BI44" s="32" t="s">
        <v>34</v>
      </c>
      <c r="BJ44" s="32" t="s">
        <v>34</v>
      </c>
      <c r="BK44" s="32" t="s">
        <v>34</v>
      </c>
      <c r="BL44" s="32" t="s">
        <v>34</v>
      </c>
      <c r="BM44" s="32" t="s">
        <v>34</v>
      </c>
      <c r="BN44" s="32" t="s">
        <v>34</v>
      </c>
      <c r="BO44" s="32" t="s">
        <v>34</v>
      </c>
      <c r="BP44" s="32" t="s">
        <v>34</v>
      </c>
      <c r="BQ44" s="32" t="s">
        <v>34</v>
      </c>
      <c r="BR44" s="32" t="s">
        <v>34</v>
      </c>
      <c r="BS44" s="32" t="s">
        <v>34</v>
      </c>
      <c r="BT44" s="32" t="s">
        <v>34</v>
      </c>
      <c r="BU44" s="32" t="s">
        <v>34</v>
      </c>
      <c r="BV44" s="8" t="s">
        <v>34</v>
      </c>
      <c r="BW44" s="32" t="s">
        <v>34</v>
      </c>
      <c r="BX44" s="32" t="s">
        <v>34</v>
      </c>
      <c r="BY44" s="32" t="s">
        <v>34</v>
      </c>
      <c r="BZ44" s="32" t="s">
        <v>34</v>
      </c>
      <c r="CA44" s="32" t="s">
        <v>34</v>
      </c>
      <c r="CB44" s="32" t="s">
        <v>34</v>
      </c>
      <c r="CC44" s="32" t="s">
        <v>34</v>
      </c>
      <c r="CD44" s="32" t="s">
        <v>34</v>
      </c>
      <c r="CE44" s="32" t="s">
        <v>34</v>
      </c>
      <c r="CF44" s="32" t="s">
        <v>34</v>
      </c>
      <c r="CG44" s="32" t="s">
        <v>34</v>
      </c>
      <c r="CH44" s="32" t="s">
        <v>34</v>
      </c>
      <c r="CI44" s="32" t="s">
        <v>34</v>
      </c>
      <c r="CJ44" s="32" t="s">
        <v>34</v>
      </c>
      <c r="CK44" s="32" t="s">
        <v>34</v>
      </c>
      <c r="CL44" s="32" t="s">
        <v>34</v>
      </c>
      <c r="CM44" s="32" t="s">
        <v>34</v>
      </c>
      <c r="CN44" s="32" t="s">
        <v>34</v>
      </c>
      <c r="CO44" s="32" t="s">
        <v>34</v>
      </c>
      <c r="CP44" s="32" t="s">
        <v>34</v>
      </c>
      <c r="CQ44" s="17" t="s">
        <v>34</v>
      </c>
      <c r="CR44" s="69"/>
      <c r="CS44" s="32" t="s">
        <v>34</v>
      </c>
      <c r="CT44" s="32" t="s">
        <v>34</v>
      </c>
      <c r="CU44" s="32" t="s">
        <v>34</v>
      </c>
      <c r="CV44" s="32" t="s">
        <v>34</v>
      </c>
      <c r="CW44" s="32" t="s">
        <v>34</v>
      </c>
      <c r="CX44" s="32" t="s">
        <v>34</v>
      </c>
      <c r="CY44" s="32" t="s">
        <v>34</v>
      </c>
      <c r="CZ44" s="32" t="s">
        <v>34</v>
      </c>
      <c r="DA44" s="32" t="s">
        <v>34</v>
      </c>
      <c r="DB44" s="32" t="s">
        <v>34</v>
      </c>
      <c r="DC44" s="32" t="s">
        <v>34</v>
      </c>
      <c r="DD44" s="32" t="s">
        <v>34</v>
      </c>
      <c r="DE44" s="32" t="s">
        <v>34</v>
      </c>
      <c r="DF44" s="32" t="s">
        <v>34</v>
      </c>
      <c r="DG44" s="32" t="s">
        <v>34</v>
      </c>
      <c r="DH44" s="32" t="s">
        <v>34</v>
      </c>
      <c r="DI44" s="32" t="s">
        <v>34</v>
      </c>
      <c r="DJ44" s="32" t="s">
        <v>34</v>
      </c>
      <c r="DK44" s="8" t="s">
        <v>34</v>
      </c>
      <c r="DL44" s="32" t="s">
        <v>34</v>
      </c>
      <c r="DM44" s="32" t="s">
        <v>34</v>
      </c>
      <c r="DN44" s="32" t="s">
        <v>34</v>
      </c>
      <c r="DO44" s="32" t="s">
        <v>34</v>
      </c>
      <c r="DP44" s="32" t="s">
        <v>34</v>
      </c>
      <c r="DQ44" s="32" t="s">
        <v>34</v>
      </c>
      <c r="DR44" s="32" t="s">
        <v>34</v>
      </c>
      <c r="DS44" s="32" t="s">
        <v>34</v>
      </c>
      <c r="DT44" s="32" t="s">
        <v>34</v>
      </c>
      <c r="DU44" s="32" t="s">
        <v>34</v>
      </c>
      <c r="DV44" s="32" t="s">
        <v>34</v>
      </c>
      <c r="DW44" s="32" t="s">
        <v>34</v>
      </c>
      <c r="DX44" s="32" t="s">
        <v>34</v>
      </c>
      <c r="DY44" s="32" t="s">
        <v>34</v>
      </c>
      <c r="DZ44" s="32" t="s">
        <v>34</v>
      </c>
      <c r="EA44" s="32" t="s">
        <v>34</v>
      </c>
      <c r="EB44" s="32" t="s">
        <v>34</v>
      </c>
      <c r="EC44" s="69"/>
      <c r="ED44" s="32" t="s">
        <v>34</v>
      </c>
      <c r="EE44" s="32" t="s">
        <v>34</v>
      </c>
      <c r="EF44" s="32" t="s">
        <v>34</v>
      </c>
      <c r="EG44" s="32" t="s">
        <v>34</v>
      </c>
      <c r="EH44" s="32" t="s">
        <v>34</v>
      </c>
      <c r="EI44" s="32" t="s">
        <v>34</v>
      </c>
      <c r="EJ44" s="32" t="s">
        <v>34</v>
      </c>
      <c r="EK44" s="32" t="s">
        <v>34</v>
      </c>
      <c r="EL44" s="32" t="s">
        <v>34</v>
      </c>
      <c r="EM44" s="32" t="s">
        <v>34</v>
      </c>
      <c r="EN44" s="32" t="s">
        <v>34</v>
      </c>
      <c r="EO44" s="69"/>
      <c r="EP44" s="32" t="s">
        <v>34</v>
      </c>
      <c r="EQ44" s="32" t="s">
        <v>34</v>
      </c>
      <c r="ER44" s="32" t="s">
        <v>34</v>
      </c>
      <c r="ES44" s="32" t="s">
        <v>34</v>
      </c>
      <c r="ET44" s="32" t="s">
        <v>34</v>
      </c>
      <c r="EU44" s="32" t="s">
        <v>34</v>
      </c>
      <c r="EV44" s="32" t="s">
        <v>34</v>
      </c>
      <c r="EW44" s="32" t="s">
        <v>34</v>
      </c>
      <c r="EX44" s="32" t="s">
        <v>34</v>
      </c>
      <c r="EY44" s="32" t="s">
        <v>34</v>
      </c>
      <c r="EZ44" s="32" t="s">
        <v>34</v>
      </c>
      <c r="FA44" s="32" t="s">
        <v>34</v>
      </c>
      <c r="FB44" s="32" t="s">
        <v>34</v>
      </c>
      <c r="FC44" s="32" t="s">
        <v>34</v>
      </c>
      <c r="FD44" s="32" t="s">
        <v>34</v>
      </c>
      <c r="FE44" s="32" t="s">
        <v>34</v>
      </c>
      <c r="FF44" s="32" t="s">
        <v>34</v>
      </c>
      <c r="FG44" s="69"/>
      <c r="FH44" s="32" t="s">
        <v>34</v>
      </c>
      <c r="FI44" s="32" t="s">
        <v>34</v>
      </c>
      <c r="FJ44" s="32" t="s">
        <v>34</v>
      </c>
      <c r="FK44" s="32" t="s">
        <v>34</v>
      </c>
      <c r="FL44" s="32" t="s">
        <v>34</v>
      </c>
      <c r="FM44" s="32" t="s">
        <v>34</v>
      </c>
      <c r="FN44" s="32" t="s">
        <v>34</v>
      </c>
      <c r="FO44" s="32" t="s">
        <v>34</v>
      </c>
      <c r="FP44" s="32" t="s">
        <v>34</v>
      </c>
      <c r="FQ44" s="32" t="s">
        <v>34</v>
      </c>
      <c r="FR44" s="32" t="s">
        <v>34</v>
      </c>
      <c r="FS44" s="32" t="s">
        <v>34</v>
      </c>
      <c r="FT44" s="32" t="s">
        <v>34</v>
      </c>
      <c r="FU44" s="32" t="s">
        <v>34</v>
      </c>
      <c r="FV44" s="32" t="s">
        <v>34</v>
      </c>
      <c r="FW44" s="32" t="s">
        <v>34</v>
      </c>
      <c r="FX44" s="32" t="s">
        <v>34</v>
      </c>
      <c r="FY44" s="32" t="s">
        <v>34</v>
      </c>
      <c r="FZ44" s="32" t="s">
        <v>34</v>
      </c>
      <c r="GA44" s="32" t="s">
        <v>34</v>
      </c>
      <c r="GB44" s="69"/>
      <c r="GC44" s="32" t="s">
        <v>34</v>
      </c>
      <c r="GD44" s="32" t="s">
        <v>34</v>
      </c>
      <c r="GE44" s="32" t="s">
        <v>34</v>
      </c>
      <c r="GF44" s="32" t="s">
        <v>34</v>
      </c>
      <c r="GG44" s="32" t="s">
        <v>34</v>
      </c>
      <c r="GH44" s="69"/>
      <c r="GI44" s="32" t="s">
        <v>34</v>
      </c>
      <c r="GJ44" s="32" t="s">
        <v>34</v>
      </c>
      <c r="GK44" s="32" t="s">
        <v>34</v>
      </c>
      <c r="GL44" s="32" t="s">
        <v>34</v>
      </c>
      <c r="GM44" s="32" t="s">
        <v>34</v>
      </c>
      <c r="GN44" s="32" t="s">
        <v>34</v>
      </c>
      <c r="GO44" s="32" t="s">
        <v>34</v>
      </c>
      <c r="GP44" s="32" t="s">
        <v>34</v>
      </c>
      <c r="GQ44" s="32" t="s">
        <v>34</v>
      </c>
      <c r="GR44" s="32" t="s">
        <v>34</v>
      </c>
      <c r="GS44" s="32" t="s">
        <v>34</v>
      </c>
      <c r="GT44" s="32" t="s">
        <v>34</v>
      </c>
      <c r="GU44" s="32" t="s">
        <v>34</v>
      </c>
      <c r="GV44" s="32" t="s">
        <v>34</v>
      </c>
      <c r="GW44" s="32" t="s">
        <v>34</v>
      </c>
      <c r="GX44" s="32" t="s">
        <v>34</v>
      </c>
      <c r="GY44" s="32" t="s">
        <v>34</v>
      </c>
      <c r="GZ44" s="32" t="s">
        <v>34</v>
      </c>
      <c r="HA44" s="8" t="s">
        <v>34</v>
      </c>
      <c r="HB44" s="32" t="s">
        <v>34</v>
      </c>
      <c r="HC44" s="32" t="s">
        <v>34</v>
      </c>
      <c r="HD44" s="32" t="s">
        <v>34</v>
      </c>
      <c r="HE44" s="32" t="s">
        <v>34</v>
      </c>
      <c r="HF44" s="32" t="s">
        <v>34</v>
      </c>
      <c r="HG44" s="32" t="s">
        <v>34</v>
      </c>
      <c r="HH44" s="32" t="s">
        <v>34</v>
      </c>
      <c r="HI44" s="32" t="s">
        <v>34</v>
      </c>
      <c r="HJ44" s="32" t="s">
        <v>34</v>
      </c>
      <c r="HK44" s="32" t="s">
        <v>34</v>
      </c>
      <c r="HL44" s="32" t="s">
        <v>34</v>
      </c>
      <c r="HM44" s="32" t="s">
        <v>34</v>
      </c>
      <c r="HN44" s="32" t="s">
        <v>34</v>
      </c>
      <c r="HO44" s="32" t="s">
        <v>34</v>
      </c>
      <c r="HP44" s="32" t="s">
        <v>34</v>
      </c>
      <c r="HQ44" s="32" t="s">
        <v>34</v>
      </c>
      <c r="HR44" s="32" t="s">
        <v>34</v>
      </c>
      <c r="HS44" s="32" t="s">
        <v>34</v>
      </c>
      <c r="HT44" s="32" t="s">
        <v>34</v>
      </c>
      <c r="HU44" s="32" t="s">
        <v>34</v>
      </c>
      <c r="HV44" s="32" t="s">
        <v>34</v>
      </c>
      <c r="HW44" s="17" t="s">
        <v>34</v>
      </c>
      <c r="HX44" s="69"/>
      <c r="HY44" s="32" t="s">
        <v>34</v>
      </c>
      <c r="HZ44" s="32" t="s">
        <v>34</v>
      </c>
      <c r="IA44" s="32" t="s">
        <v>34</v>
      </c>
      <c r="IB44" s="32" t="s">
        <v>34</v>
      </c>
      <c r="IC44" s="32" t="s">
        <v>34</v>
      </c>
      <c r="ID44" s="32" t="s">
        <v>34</v>
      </c>
      <c r="IE44" s="32" t="s">
        <v>34</v>
      </c>
      <c r="IF44" s="32" t="s">
        <v>34</v>
      </c>
      <c r="IG44" s="32" t="s">
        <v>34</v>
      </c>
      <c r="IH44" s="32" t="s">
        <v>34</v>
      </c>
      <c r="II44" s="32" t="s">
        <v>34</v>
      </c>
      <c r="IJ44" s="32" t="s">
        <v>34</v>
      </c>
      <c r="IK44" s="32" t="s">
        <v>34</v>
      </c>
      <c r="IL44" s="32" t="s">
        <v>34</v>
      </c>
      <c r="IM44" s="32" t="s">
        <v>34</v>
      </c>
      <c r="IN44" s="32" t="s">
        <v>34</v>
      </c>
      <c r="IO44" s="32" t="s">
        <v>34</v>
      </c>
      <c r="IP44" s="32" t="s">
        <v>34</v>
      </c>
      <c r="IQ44" s="8" t="s">
        <v>34</v>
      </c>
      <c r="IR44" s="32" t="s">
        <v>34</v>
      </c>
      <c r="IS44" s="32" t="s">
        <v>34</v>
      </c>
      <c r="IT44" s="32" t="s">
        <v>34</v>
      </c>
      <c r="IU44" s="32" t="s">
        <v>34</v>
      </c>
      <c r="IV44" s="32" t="s">
        <v>34</v>
      </c>
      <c r="IW44" s="32" t="s">
        <v>34</v>
      </c>
      <c r="IX44" s="32" t="s">
        <v>34</v>
      </c>
      <c r="IY44" s="32" t="s">
        <v>34</v>
      </c>
      <c r="IZ44" s="32" t="s">
        <v>34</v>
      </c>
      <c r="JA44" s="32" t="s">
        <v>34</v>
      </c>
      <c r="JB44" s="32" t="s">
        <v>34</v>
      </c>
      <c r="JC44" s="32" t="s">
        <v>34</v>
      </c>
      <c r="JD44" s="32" t="s">
        <v>34</v>
      </c>
      <c r="JE44" s="32" t="s">
        <v>34</v>
      </c>
      <c r="JF44" s="32" t="s">
        <v>34</v>
      </c>
      <c r="JG44" s="32" t="s">
        <v>34</v>
      </c>
      <c r="JH44" s="32" t="s">
        <v>34</v>
      </c>
      <c r="JI44" s="69"/>
      <c r="JJ44" s="32" t="s">
        <v>34</v>
      </c>
      <c r="JK44" s="32" t="s">
        <v>34</v>
      </c>
      <c r="JL44" s="32" t="s">
        <v>34</v>
      </c>
      <c r="JM44" s="32" t="s">
        <v>34</v>
      </c>
      <c r="JN44" s="32" t="s">
        <v>34</v>
      </c>
      <c r="JO44" s="32" t="s">
        <v>34</v>
      </c>
      <c r="JP44" s="32" t="s">
        <v>34</v>
      </c>
      <c r="JQ44" s="32" t="s">
        <v>34</v>
      </c>
      <c r="JR44" s="32" t="s">
        <v>34</v>
      </c>
      <c r="JS44" s="32" t="s">
        <v>34</v>
      </c>
      <c r="JT44" s="32" t="s">
        <v>34</v>
      </c>
      <c r="JU44" s="69"/>
      <c r="JV44" s="32" t="s">
        <v>34</v>
      </c>
      <c r="JW44" s="32" t="s">
        <v>34</v>
      </c>
      <c r="JX44" s="32" t="s">
        <v>34</v>
      </c>
      <c r="JY44" s="32" t="s">
        <v>34</v>
      </c>
      <c r="JZ44" s="32" t="s">
        <v>34</v>
      </c>
      <c r="KA44" s="32" t="s">
        <v>34</v>
      </c>
      <c r="KB44" s="32" t="s">
        <v>34</v>
      </c>
      <c r="KC44" s="32" t="s">
        <v>34</v>
      </c>
      <c r="KD44" s="32" t="s">
        <v>34</v>
      </c>
      <c r="KE44" s="32" t="s">
        <v>34</v>
      </c>
      <c r="KF44" s="32" t="s">
        <v>34</v>
      </c>
      <c r="KG44" s="32" t="s">
        <v>34</v>
      </c>
      <c r="KH44" s="32" t="s">
        <v>34</v>
      </c>
      <c r="KI44" s="32" t="s">
        <v>34</v>
      </c>
      <c r="KJ44" s="32" t="s">
        <v>34</v>
      </c>
      <c r="KK44" s="32" t="s">
        <v>34</v>
      </c>
      <c r="KL44" s="32" t="s">
        <v>34</v>
      </c>
      <c r="KM44" s="69"/>
      <c r="KN44" s="32" t="s">
        <v>34</v>
      </c>
      <c r="KO44" s="32" t="s">
        <v>34</v>
      </c>
      <c r="KP44" s="32" t="s">
        <v>34</v>
      </c>
      <c r="KQ44" s="32" t="s">
        <v>34</v>
      </c>
      <c r="KR44" s="32" t="s">
        <v>34</v>
      </c>
      <c r="KS44" s="32" t="s">
        <v>34</v>
      </c>
      <c r="KT44" s="32" t="s">
        <v>34</v>
      </c>
      <c r="KU44" s="32" t="s">
        <v>34</v>
      </c>
      <c r="KV44" s="32" t="s">
        <v>34</v>
      </c>
      <c r="KW44" s="32" t="s">
        <v>34</v>
      </c>
      <c r="KX44" s="32" t="s">
        <v>34</v>
      </c>
      <c r="KY44" s="32" t="s">
        <v>34</v>
      </c>
      <c r="KZ44" s="32" t="s">
        <v>34</v>
      </c>
      <c r="LA44" s="32" t="s">
        <v>34</v>
      </c>
      <c r="LB44" s="32" t="s">
        <v>34</v>
      </c>
      <c r="LC44" s="32" t="s">
        <v>34</v>
      </c>
      <c r="LD44" s="32" t="s">
        <v>34</v>
      </c>
      <c r="LE44" s="32" t="s">
        <v>34</v>
      </c>
      <c r="LF44" s="32" t="s">
        <v>34</v>
      </c>
      <c r="LG44" s="32" t="s">
        <v>34</v>
      </c>
      <c r="LH44" s="69"/>
      <c r="LI44" s="32" t="s">
        <v>34</v>
      </c>
      <c r="LJ44" s="32" t="s">
        <v>34</v>
      </c>
      <c r="LK44" s="32" t="s">
        <v>34</v>
      </c>
      <c r="LL44" s="32" t="s">
        <v>34</v>
      </c>
      <c r="LM44" s="32" t="s">
        <v>34</v>
      </c>
      <c r="LN44" s="69"/>
      <c r="LO44" s="32" t="s">
        <v>34</v>
      </c>
      <c r="LP44" s="32" t="s">
        <v>34</v>
      </c>
      <c r="LQ44" s="32" t="s">
        <v>34</v>
      </c>
      <c r="LR44" s="32" t="s">
        <v>34</v>
      </c>
      <c r="LS44" s="32" t="s">
        <v>34</v>
      </c>
      <c r="LT44" s="32" t="s">
        <v>34</v>
      </c>
      <c r="LU44" s="32" t="s">
        <v>34</v>
      </c>
      <c r="LV44" s="32" t="s">
        <v>34</v>
      </c>
      <c r="LW44" s="32" t="s">
        <v>34</v>
      </c>
      <c r="LX44" s="32" t="s">
        <v>34</v>
      </c>
      <c r="LY44" s="32" t="s">
        <v>34</v>
      </c>
      <c r="LZ44" s="32" t="s">
        <v>34</v>
      </c>
      <c r="MA44" s="32" t="s">
        <v>34</v>
      </c>
      <c r="MB44" s="32" t="s">
        <v>34</v>
      </c>
      <c r="MC44" s="32" t="s">
        <v>34</v>
      </c>
      <c r="MD44" s="32" t="s">
        <v>34</v>
      </c>
      <c r="ME44" s="32" t="s">
        <v>34</v>
      </c>
      <c r="MF44" s="32" t="s">
        <v>34</v>
      </c>
      <c r="MG44" s="8" t="s">
        <v>34</v>
      </c>
      <c r="MH44" s="32" t="s">
        <v>34</v>
      </c>
      <c r="MI44" s="32" t="s">
        <v>34</v>
      </c>
      <c r="MJ44" s="32" t="s">
        <v>34</v>
      </c>
      <c r="MK44" s="32" t="s">
        <v>34</v>
      </c>
      <c r="ML44" s="32" t="s">
        <v>34</v>
      </c>
      <c r="MM44" s="32" t="s">
        <v>34</v>
      </c>
      <c r="MN44" s="32" t="s">
        <v>34</v>
      </c>
      <c r="MO44" s="32" t="s">
        <v>34</v>
      </c>
      <c r="MP44" s="32" t="s">
        <v>34</v>
      </c>
      <c r="MQ44" s="32" t="s">
        <v>34</v>
      </c>
      <c r="MR44" s="32" t="s">
        <v>34</v>
      </c>
      <c r="MS44" s="32" t="s">
        <v>34</v>
      </c>
      <c r="MT44" s="32" t="s">
        <v>34</v>
      </c>
      <c r="MU44" s="32" t="s">
        <v>34</v>
      </c>
      <c r="MV44" s="32" t="s">
        <v>34</v>
      </c>
      <c r="MW44" s="32" t="s">
        <v>34</v>
      </c>
      <c r="MX44" s="32" t="s">
        <v>34</v>
      </c>
      <c r="MY44" s="32" t="s">
        <v>34</v>
      </c>
      <c r="MZ44" s="32" t="s">
        <v>34</v>
      </c>
      <c r="NA44" s="32" t="s">
        <v>34</v>
      </c>
      <c r="NB44" s="17" t="s">
        <v>34</v>
      </c>
      <c r="NC44" s="69"/>
      <c r="ND44" s="32" t="s">
        <v>34</v>
      </c>
      <c r="NE44" s="32" t="s">
        <v>34</v>
      </c>
      <c r="NF44" s="32" t="s">
        <v>34</v>
      </c>
      <c r="NG44" s="32" t="s">
        <v>34</v>
      </c>
      <c r="NH44" s="32" t="s">
        <v>34</v>
      </c>
      <c r="NI44" s="32" t="s">
        <v>34</v>
      </c>
      <c r="NJ44" s="32" t="s">
        <v>34</v>
      </c>
      <c r="NK44" s="32" t="s">
        <v>34</v>
      </c>
      <c r="NL44" s="32" t="s">
        <v>34</v>
      </c>
      <c r="NM44" s="32" t="s">
        <v>34</v>
      </c>
      <c r="NN44" s="32" t="s">
        <v>34</v>
      </c>
      <c r="NO44" s="32" t="s">
        <v>34</v>
      </c>
      <c r="NP44" s="32" t="s">
        <v>34</v>
      </c>
      <c r="NQ44" s="32" t="s">
        <v>34</v>
      </c>
      <c r="NR44" s="32" t="s">
        <v>34</v>
      </c>
      <c r="NS44" s="32" t="s">
        <v>34</v>
      </c>
      <c r="NT44" s="32" t="s">
        <v>34</v>
      </c>
      <c r="NU44" s="32" t="s">
        <v>34</v>
      </c>
      <c r="NV44" s="8" t="s">
        <v>34</v>
      </c>
      <c r="NW44" s="32" t="s">
        <v>34</v>
      </c>
      <c r="NX44" s="32" t="s">
        <v>34</v>
      </c>
      <c r="NY44" s="32" t="s">
        <v>34</v>
      </c>
      <c r="NZ44" s="32" t="s">
        <v>34</v>
      </c>
      <c r="OA44" s="32" t="s">
        <v>34</v>
      </c>
      <c r="OB44" s="32" t="s">
        <v>34</v>
      </c>
      <c r="OC44" s="32" t="s">
        <v>34</v>
      </c>
      <c r="OD44" s="32" t="s">
        <v>34</v>
      </c>
      <c r="OE44" s="32" t="s">
        <v>34</v>
      </c>
      <c r="OF44" s="32" t="s">
        <v>34</v>
      </c>
      <c r="OG44" s="32" t="s">
        <v>34</v>
      </c>
      <c r="OH44" s="32" t="s">
        <v>34</v>
      </c>
      <c r="OI44" s="32" t="s">
        <v>34</v>
      </c>
      <c r="OJ44" s="32" t="s">
        <v>34</v>
      </c>
      <c r="OK44" s="32" t="s">
        <v>34</v>
      </c>
      <c r="OL44" s="32" t="s">
        <v>34</v>
      </c>
      <c r="OM44" s="32" t="s">
        <v>34</v>
      </c>
      <c r="ON44" s="69"/>
      <c r="OO44" s="32" t="s">
        <v>34</v>
      </c>
      <c r="OP44" s="32" t="s">
        <v>34</v>
      </c>
      <c r="OQ44" s="32" t="s">
        <v>34</v>
      </c>
      <c r="OR44" s="32" t="s">
        <v>34</v>
      </c>
      <c r="OS44" s="32" t="s">
        <v>34</v>
      </c>
      <c r="OT44" s="32" t="s">
        <v>34</v>
      </c>
      <c r="OU44" s="32" t="s">
        <v>34</v>
      </c>
      <c r="OV44" s="32" t="s">
        <v>34</v>
      </c>
      <c r="OW44" s="32" t="s">
        <v>34</v>
      </c>
      <c r="OX44" s="32" t="s">
        <v>34</v>
      </c>
      <c r="OY44" s="32" t="s">
        <v>34</v>
      </c>
    </row>
    <row r="45" spans="1:415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9"/>
      <c r="K45" s="32" t="s">
        <v>34</v>
      </c>
      <c r="L45" s="32" t="s">
        <v>34</v>
      </c>
      <c r="M45" s="32" t="s">
        <v>34</v>
      </c>
      <c r="N45" s="32" t="s">
        <v>34</v>
      </c>
      <c r="O45" s="32" t="s">
        <v>34</v>
      </c>
      <c r="P45" s="32" t="s">
        <v>34</v>
      </c>
      <c r="Q45" s="32" t="s">
        <v>34</v>
      </c>
      <c r="R45" s="32" t="s">
        <v>34</v>
      </c>
      <c r="S45" s="32" t="s">
        <v>34</v>
      </c>
      <c r="T45" s="32" t="s">
        <v>34</v>
      </c>
      <c r="U45" s="32" t="s">
        <v>34</v>
      </c>
      <c r="V45" s="32" t="s">
        <v>34</v>
      </c>
      <c r="W45" s="32" t="s">
        <v>34</v>
      </c>
      <c r="X45" s="32" t="s">
        <v>34</v>
      </c>
      <c r="Y45" s="32" t="s">
        <v>34</v>
      </c>
      <c r="Z45" s="32" t="s">
        <v>34</v>
      </c>
      <c r="AA45" s="32" t="s">
        <v>34</v>
      </c>
      <c r="AB45" s="69"/>
      <c r="AC45" s="32" t="s">
        <v>34</v>
      </c>
      <c r="AD45" s="32" t="s">
        <v>34</v>
      </c>
      <c r="AE45" s="32" t="s">
        <v>34</v>
      </c>
      <c r="AF45" s="32" t="s">
        <v>34</v>
      </c>
      <c r="AG45" s="32" t="s">
        <v>34</v>
      </c>
      <c r="AH45" s="32" t="s">
        <v>34</v>
      </c>
      <c r="AI45" s="32" t="s">
        <v>34</v>
      </c>
      <c r="AJ45" s="32" t="s">
        <v>34</v>
      </c>
      <c r="AK45" s="32" t="s">
        <v>34</v>
      </c>
      <c r="AL45" s="32" t="s">
        <v>34</v>
      </c>
      <c r="AM45" s="32" t="s">
        <v>34</v>
      </c>
      <c r="AN45" s="32" t="s">
        <v>34</v>
      </c>
      <c r="AO45" s="32" t="s">
        <v>34</v>
      </c>
      <c r="AP45" s="32" t="s">
        <v>34</v>
      </c>
      <c r="AQ45" s="32" t="s">
        <v>34</v>
      </c>
      <c r="AR45" s="32" t="s">
        <v>34</v>
      </c>
      <c r="AS45" s="32" t="s">
        <v>34</v>
      </c>
      <c r="AT45" s="32" t="s">
        <v>34</v>
      </c>
      <c r="AU45" s="32" t="s">
        <v>34</v>
      </c>
      <c r="AV45" s="32" t="s">
        <v>34</v>
      </c>
      <c r="AW45" s="69"/>
      <c r="AX45" s="32" t="s">
        <v>34</v>
      </c>
      <c r="AY45" s="32" t="s">
        <v>34</v>
      </c>
      <c r="AZ45" s="32" t="s">
        <v>34</v>
      </c>
      <c r="BA45" s="32" t="s">
        <v>34</v>
      </c>
      <c r="BB45" s="32" t="s">
        <v>34</v>
      </c>
      <c r="BC45" s="69"/>
      <c r="BD45" s="32" t="s">
        <v>34</v>
      </c>
      <c r="BE45" s="32" t="s">
        <v>34</v>
      </c>
      <c r="BF45" s="32" t="s">
        <v>34</v>
      </c>
      <c r="BG45" s="32" t="s">
        <v>34</v>
      </c>
      <c r="BH45" s="32" t="s">
        <v>34</v>
      </c>
      <c r="BI45" s="32" t="s">
        <v>34</v>
      </c>
      <c r="BJ45" s="32" t="s">
        <v>34</v>
      </c>
      <c r="BK45" s="32" t="s">
        <v>34</v>
      </c>
      <c r="BL45" s="32" t="s">
        <v>34</v>
      </c>
      <c r="BM45" s="32" t="s">
        <v>34</v>
      </c>
      <c r="BN45" s="32" t="s">
        <v>34</v>
      </c>
      <c r="BO45" s="32" t="s">
        <v>34</v>
      </c>
      <c r="BP45" s="32" t="s">
        <v>34</v>
      </c>
      <c r="BQ45" s="32" t="s">
        <v>34</v>
      </c>
      <c r="BR45" s="32" t="s">
        <v>34</v>
      </c>
      <c r="BS45" s="32" t="s">
        <v>34</v>
      </c>
      <c r="BT45" s="32" t="s">
        <v>34</v>
      </c>
      <c r="BU45" s="32" t="s">
        <v>34</v>
      </c>
      <c r="BV45" s="8" t="s">
        <v>34</v>
      </c>
      <c r="BW45" s="32" t="s">
        <v>34</v>
      </c>
      <c r="BX45" s="32" t="s">
        <v>34</v>
      </c>
      <c r="BY45" s="32" t="s">
        <v>34</v>
      </c>
      <c r="BZ45" s="32" t="s">
        <v>34</v>
      </c>
      <c r="CA45" s="32" t="s">
        <v>34</v>
      </c>
      <c r="CB45" s="32" t="s">
        <v>34</v>
      </c>
      <c r="CC45" s="32" t="s">
        <v>34</v>
      </c>
      <c r="CD45" s="32" t="s">
        <v>34</v>
      </c>
      <c r="CE45" s="32" t="s">
        <v>34</v>
      </c>
      <c r="CF45" s="32" t="s">
        <v>34</v>
      </c>
      <c r="CG45" s="32" t="s">
        <v>34</v>
      </c>
      <c r="CH45" s="32" t="s">
        <v>34</v>
      </c>
      <c r="CI45" s="32" t="s">
        <v>34</v>
      </c>
      <c r="CJ45" s="32" t="s">
        <v>34</v>
      </c>
      <c r="CK45" s="32" t="s">
        <v>34</v>
      </c>
      <c r="CL45" s="32" t="s">
        <v>34</v>
      </c>
      <c r="CM45" s="32" t="s">
        <v>34</v>
      </c>
      <c r="CN45" s="32" t="s">
        <v>34</v>
      </c>
      <c r="CO45" s="32" t="s">
        <v>34</v>
      </c>
      <c r="CP45" s="32" t="s">
        <v>34</v>
      </c>
      <c r="CQ45" s="17" t="s">
        <v>34</v>
      </c>
      <c r="CR45" s="69"/>
      <c r="CS45" s="32" t="s">
        <v>34</v>
      </c>
      <c r="CT45" s="32" t="s">
        <v>34</v>
      </c>
      <c r="CU45" s="32" t="s">
        <v>34</v>
      </c>
      <c r="CV45" s="32" t="s">
        <v>34</v>
      </c>
      <c r="CW45" s="32" t="s">
        <v>34</v>
      </c>
      <c r="CX45" s="32" t="s">
        <v>34</v>
      </c>
      <c r="CY45" s="32" t="s">
        <v>34</v>
      </c>
      <c r="CZ45" s="32" t="s">
        <v>34</v>
      </c>
      <c r="DA45" s="32" t="s">
        <v>34</v>
      </c>
      <c r="DB45" s="32" t="s">
        <v>34</v>
      </c>
      <c r="DC45" s="32" t="s">
        <v>34</v>
      </c>
      <c r="DD45" s="32" t="s">
        <v>34</v>
      </c>
      <c r="DE45" s="32" t="s">
        <v>34</v>
      </c>
      <c r="DF45" s="32" t="s">
        <v>34</v>
      </c>
      <c r="DG45" s="32" t="s">
        <v>34</v>
      </c>
      <c r="DH45" s="32" t="s">
        <v>34</v>
      </c>
      <c r="DI45" s="32" t="s">
        <v>34</v>
      </c>
      <c r="DJ45" s="32" t="s">
        <v>34</v>
      </c>
      <c r="DK45" s="8" t="s">
        <v>34</v>
      </c>
      <c r="DL45" s="32" t="s">
        <v>34</v>
      </c>
      <c r="DM45" s="32" t="s">
        <v>34</v>
      </c>
      <c r="DN45" s="32" t="s">
        <v>34</v>
      </c>
      <c r="DO45" s="32" t="s">
        <v>34</v>
      </c>
      <c r="DP45" s="32" t="s">
        <v>34</v>
      </c>
      <c r="DQ45" s="32" t="s">
        <v>34</v>
      </c>
      <c r="DR45" s="32" t="s">
        <v>34</v>
      </c>
      <c r="DS45" s="32" t="s">
        <v>34</v>
      </c>
      <c r="DT45" s="32" t="s">
        <v>34</v>
      </c>
      <c r="DU45" s="32" t="s">
        <v>34</v>
      </c>
      <c r="DV45" s="32" t="s">
        <v>34</v>
      </c>
      <c r="DW45" s="32" t="s">
        <v>34</v>
      </c>
      <c r="DX45" s="32" t="s">
        <v>34</v>
      </c>
      <c r="DY45" s="32" t="s">
        <v>34</v>
      </c>
      <c r="DZ45" s="32" t="s">
        <v>34</v>
      </c>
      <c r="EA45" s="32" t="s">
        <v>34</v>
      </c>
      <c r="EB45" s="32" t="s">
        <v>34</v>
      </c>
      <c r="EC45" s="69"/>
      <c r="ED45" s="32" t="s">
        <v>34</v>
      </c>
      <c r="EE45" s="32" t="s">
        <v>34</v>
      </c>
      <c r="EF45" s="32" t="s">
        <v>34</v>
      </c>
      <c r="EG45" s="32" t="s">
        <v>34</v>
      </c>
      <c r="EH45" s="32" t="s">
        <v>34</v>
      </c>
      <c r="EI45" s="32" t="s">
        <v>34</v>
      </c>
      <c r="EJ45" s="32" t="s">
        <v>34</v>
      </c>
      <c r="EK45" s="32" t="s">
        <v>34</v>
      </c>
      <c r="EL45" s="32" t="s">
        <v>34</v>
      </c>
      <c r="EM45" s="32" t="s">
        <v>34</v>
      </c>
      <c r="EN45" s="32" t="s">
        <v>34</v>
      </c>
      <c r="EO45" s="69"/>
      <c r="EP45" s="32" t="s">
        <v>34</v>
      </c>
      <c r="EQ45" s="32" t="s">
        <v>34</v>
      </c>
      <c r="ER45" s="32" t="s">
        <v>34</v>
      </c>
      <c r="ES45" s="32" t="s">
        <v>34</v>
      </c>
      <c r="ET45" s="32" t="s">
        <v>34</v>
      </c>
      <c r="EU45" s="32" t="s">
        <v>34</v>
      </c>
      <c r="EV45" s="32" t="s">
        <v>34</v>
      </c>
      <c r="EW45" s="32" t="s">
        <v>34</v>
      </c>
      <c r="EX45" s="32" t="s">
        <v>34</v>
      </c>
      <c r="EY45" s="32" t="s">
        <v>34</v>
      </c>
      <c r="EZ45" s="32" t="s">
        <v>34</v>
      </c>
      <c r="FA45" s="32" t="s">
        <v>34</v>
      </c>
      <c r="FB45" s="32" t="s">
        <v>34</v>
      </c>
      <c r="FC45" s="32" t="s">
        <v>34</v>
      </c>
      <c r="FD45" s="32" t="s">
        <v>34</v>
      </c>
      <c r="FE45" s="32" t="s">
        <v>34</v>
      </c>
      <c r="FF45" s="32" t="s">
        <v>34</v>
      </c>
      <c r="FG45" s="69"/>
      <c r="FH45" s="32" t="s">
        <v>34</v>
      </c>
      <c r="FI45" s="32" t="s">
        <v>34</v>
      </c>
      <c r="FJ45" s="32" t="s">
        <v>34</v>
      </c>
      <c r="FK45" s="32" t="s">
        <v>34</v>
      </c>
      <c r="FL45" s="32" t="s">
        <v>34</v>
      </c>
      <c r="FM45" s="32" t="s">
        <v>34</v>
      </c>
      <c r="FN45" s="32" t="s">
        <v>34</v>
      </c>
      <c r="FO45" s="32" t="s">
        <v>34</v>
      </c>
      <c r="FP45" s="32" t="s">
        <v>34</v>
      </c>
      <c r="FQ45" s="32" t="s">
        <v>34</v>
      </c>
      <c r="FR45" s="32" t="s">
        <v>34</v>
      </c>
      <c r="FS45" s="32" t="s">
        <v>34</v>
      </c>
      <c r="FT45" s="32" t="s">
        <v>34</v>
      </c>
      <c r="FU45" s="32" t="s">
        <v>34</v>
      </c>
      <c r="FV45" s="32" t="s">
        <v>34</v>
      </c>
      <c r="FW45" s="32" t="s">
        <v>34</v>
      </c>
      <c r="FX45" s="32" t="s">
        <v>34</v>
      </c>
      <c r="FY45" s="32" t="s">
        <v>34</v>
      </c>
      <c r="FZ45" s="32" t="s">
        <v>34</v>
      </c>
      <c r="GA45" s="32" t="s">
        <v>34</v>
      </c>
      <c r="GB45" s="69"/>
      <c r="GC45" s="32" t="s">
        <v>34</v>
      </c>
      <c r="GD45" s="32" t="s">
        <v>34</v>
      </c>
      <c r="GE45" s="32" t="s">
        <v>34</v>
      </c>
      <c r="GF45" s="32" t="s">
        <v>34</v>
      </c>
      <c r="GG45" s="32" t="s">
        <v>34</v>
      </c>
      <c r="GH45" s="69"/>
      <c r="GI45" s="32" t="s">
        <v>34</v>
      </c>
      <c r="GJ45" s="32" t="s">
        <v>34</v>
      </c>
      <c r="GK45" s="32" t="s">
        <v>34</v>
      </c>
      <c r="GL45" s="32" t="s">
        <v>34</v>
      </c>
      <c r="GM45" s="32" t="s">
        <v>34</v>
      </c>
      <c r="GN45" s="32" t="s">
        <v>34</v>
      </c>
      <c r="GO45" s="32" t="s">
        <v>34</v>
      </c>
      <c r="GP45" s="32" t="s">
        <v>34</v>
      </c>
      <c r="GQ45" s="32" t="s">
        <v>34</v>
      </c>
      <c r="GR45" s="32" t="s">
        <v>34</v>
      </c>
      <c r="GS45" s="32" t="s">
        <v>34</v>
      </c>
      <c r="GT45" s="32" t="s">
        <v>34</v>
      </c>
      <c r="GU45" s="32" t="s">
        <v>34</v>
      </c>
      <c r="GV45" s="32" t="s">
        <v>34</v>
      </c>
      <c r="GW45" s="32" t="s">
        <v>34</v>
      </c>
      <c r="GX45" s="32" t="s">
        <v>34</v>
      </c>
      <c r="GY45" s="32" t="s">
        <v>34</v>
      </c>
      <c r="GZ45" s="32" t="s">
        <v>34</v>
      </c>
      <c r="HA45" s="8" t="s">
        <v>34</v>
      </c>
      <c r="HB45" s="32" t="s">
        <v>34</v>
      </c>
      <c r="HC45" s="32" t="s">
        <v>34</v>
      </c>
      <c r="HD45" s="32" t="s">
        <v>34</v>
      </c>
      <c r="HE45" s="32" t="s">
        <v>34</v>
      </c>
      <c r="HF45" s="32" t="s">
        <v>34</v>
      </c>
      <c r="HG45" s="32" t="s">
        <v>34</v>
      </c>
      <c r="HH45" s="32" t="s">
        <v>34</v>
      </c>
      <c r="HI45" s="32" t="s">
        <v>34</v>
      </c>
      <c r="HJ45" s="32" t="s">
        <v>34</v>
      </c>
      <c r="HK45" s="32" t="s">
        <v>34</v>
      </c>
      <c r="HL45" s="32" t="s">
        <v>34</v>
      </c>
      <c r="HM45" s="32" t="s">
        <v>34</v>
      </c>
      <c r="HN45" s="32" t="s">
        <v>34</v>
      </c>
      <c r="HO45" s="32" t="s">
        <v>34</v>
      </c>
      <c r="HP45" s="32" t="s">
        <v>34</v>
      </c>
      <c r="HQ45" s="32" t="s">
        <v>34</v>
      </c>
      <c r="HR45" s="32" t="s">
        <v>34</v>
      </c>
      <c r="HS45" s="32" t="s">
        <v>34</v>
      </c>
      <c r="HT45" s="32" t="s">
        <v>34</v>
      </c>
      <c r="HU45" s="32" t="s">
        <v>34</v>
      </c>
      <c r="HV45" s="32" t="s">
        <v>34</v>
      </c>
      <c r="HW45" s="17" t="s">
        <v>34</v>
      </c>
      <c r="HX45" s="69"/>
      <c r="HY45" s="32" t="s">
        <v>34</v>
      </c>
      <c r="HZ45" s="32" t="s">
        <v>34</v>
      </c>
      <c r="IA45" s="32" t="s">
        <v>34</v>
      </c>
      <c r="IB45" s="32" t="s">
        <v>34</v>
      </c>
      <c r="IC45" s="32" t="s">
        <v>34</v>
      </c>
      <c r="ID45" s="32" t="s">
        <v>34</v>
      </c>
      <c r="IE45" s="32" t="s">
        <v>34</v>
      </c>
      <c r="IF45" s="32" t="s">
        <v>34</v>
      </c>
      <c r="IG45" s="32" t="s">
        <v>34</v>
      </c>
      <c r="IH45" s="32" t="s">
        <v>34</v>
      </c>
      <c r="II45" s="32" t="s">
        <v>34</v>
      </c>
      <c r="IJ45" s="32" t="s">
        <v>34</v>
      </c>
      <c r="IK45" s="32" t="s">
        <v>34</v>
      </c>
      <c r="IL45" s="32" t="s">
        <v>34</v>
      </c>
      <c r="IM45" s="32" t="s">
        <v>34</v>
      </c>
      <c r="IN45" s="32" t="s">
        <v>34</v>
      </c>
      <c r="IO45" s="32" t="s">
        <v>34</v>
      </c>
      <c r="IP45" s="32" t="s">
        <v>34</v>
      </c>
      <c r="IQ45" s="8" t="s">
        <v>34</v>
      </c>
      <c r="IR45" s="32" t="s">
        <v>34</v>
      </c>
      <c r="IS45" s="32" t="s">
        <v>34</v>
      </c>
      <c r="IT45" s="32" t="s">
        <v>34</v>
      </c>
      <c r="IU45" s="32" t="s">
        <v>34</v>
      </c>
      <c r="IV45" s="32" t="s">
        <v>34</v>
      </c>
      <c r="IW45" s="32" t="s">
        <v>34</v>
      </c>
      <c r="IX45" s="32" t="s">
        <v>34</v>
      </c>
      <c r="IY45" s="32" t="s">
        <v>34</v>
      </c>
      <c r="IZ45" s="32" t="s">
        <v>34</v>
      </c>
      <c r="JA45" s="32" t="s">
        <v>34</v>
      </c>
      <c r="JB45" s="32" t="s">
        <v>34</v>
      </c>
      <c r="JC45" s="32" t="s">
        <v>34</v>
      </c>
      <c r="JD45" s="32" t="s">
        <v>34</v>
      </c>
      <c r="JE45" s="32" t="s">
        <v>34</v>
      </c>
      <c r="JF45" s="32" t="s">
        <v>34</v>
      </c>
      <c r="JG45" s="32" t="s">
        <v>34</v>
      </c>
      <c r="JH45" s="32" t="s">
        <v>34</v>
      </c>
      <c r="JI45" s="69"/>
      <c r="JJ45" s="32" t="s">
        <v>34</v>
      </c>
      <c r="JK45" s="32" t="s">
        <v>34</v>
      </c>
      <c r="JL45" s="32" t="s">
        <v>34</v>
      </c>
      <c r="JM45" s="32" t="s">
        <v>34</v>
      </c>
      <c r="JN45" s="32" t="s">
        <v>34</v>
      </c>
      <c r="JO45" s="32" t="s">
        <v>34</v>
      </c>
      <c r="JP45" s="32" t="s">
        <v>34</v>
      </c>
      <c r="JQ45" s="32" t="s">
        <v>34</v>
      </c>
      <c r="JR45" s="32" t="s">
        <v>34</v>
      </c>
      <c r="JS45" s="32" t="s">
        <v>34</v>
      </c>
      <c r="JT45" s="32" t="s">
        <v>34</v>
      </c>
      <c r="JU45" s="69"/>
      <c r="JV45" s="32" t="s">
        <v>34</v>
      </c>
      <c r="JW45" s="32" t="s">
        <v>34</v>
      </c>
      <c r="JX45" s="32" t="s">
        <v>34</v>
      </c>
      <c r="JY45" s="32" t="s">
        <v>34</v>
      </c>
      <c r="JZ45" s="32" t="s">
        <v>34</v>
      </c>
      <c r="KA45" s="32" t="s">
        <v>34</v>
      </c>
      <c r="KB45" s="32" t="s">
        <v>34</v>
      </c>
      <c r="KC45" s="32" t="s">
        <v>34</v>
      </c>
      <c r="KD45" s="32" t="s">
        <v>34</v>
      </c>
      <c r="KE45" s="32" t="s">
        <v>34</v>
      </c>
      <c r="KF45" s="32" t="s">
        <v>34</v>
      </c>
      <c r="KG45" s="32" t="s">
        <v>34</v>
      </c>
      <c r="KH45" s="32" t="s">
        <v>34</v>
      </c>
      <c r="KI45" s="32" t="s">
        <v>34</v>
      </c>
      <c r="KJ45" s="32" t="s">
        <v>34</v>
      </c>
      <c r="KK45" s="32" t="s">
        <v>34</v>
      </c>
      <c r="KL45" s="32" t="s">
        <v>34</v>
      </c>
      <c r="KM45" s="69"/>
      <c r="KN45" s="32" t="s">
        <v>34</v>
      </c>
      <c r="KO45" s="32" t="s">
        <v>34</v>
      </c>
      <c r="KP45" s="32" t="s">
        <v>34</v>
      </c>
      <c r="KQ45" s="32" t="s">
        <v>34</v>
      </c>
      <c r="KR45" s="32" t="s">
        <v>34</v>
      </c>
      <c r="KS45" s="32" t="s">
        <v>34</v>
      </c>
      <c r="KT45" s="32" t="s">
        <v>34</v>
      </c>
      <c r="KU45" s="32" t="s">
        <v>34</v>
      </c>
      <c r="KV45" s="32" t="s">
        <v>34</v>
      </c>
      <c r="KW45" s="32" t="s">
        <v>34</v>
      </c>
      <c r="KX45" s="32" t="s">
        <v>34</v>
      </c>
      <c r="KY45" s="32" t="s">
        <v>34</v>
      </c>
      <c r="KZ45" s="32" t="s">
        <v>34</v>
      </c>
      <c r="LA45" s="32" t="s">
        <v>34</v>
      </c>
      <c r="LB45" s="32" t="s">
        <v>34</v>
      </c>
      <c r="LC45" s="32" t="s">
        <v>34</v>
      </c>
      <c r="LD45" s="32" t="s">
        <v>34</v>
      </c>
      <c r="LE45" s="32" t="s">
        <v>34</v>
      </c>
      <c r="LF45" s="32" t="s">
        <v>34</v>
      </c>
      <c r="LG45" s="32" t="s">
        <v>34</v>
      </c>
      <c r="LH45" s="69"/>
      <c r="LI45" s="32" t="s">
        <v>34</v>
      </c>
      <c r="LJ45" s="32" t="s">
        <v>34</v>
      </c>
      <c r="LK45" s="32" t="s">
        <v>34</v>
      </c>
      <c r="LL45" s="32" t="s">
        <v>34</v>
      </c>
      <c r="LM45" s="32" t="s">
        <v>34</v>
      </c>
      <c r="LN45" s="69"/>
      <c r="LO45" s="32" t="s">
        <v>34</v>
      </c>
      <c r="LP45" s="32" t="s">
        <v>34</v>
      </c>
      <c r="LQ45" s="32" t="s">
        <v>34</v>
      </c>
      <c r="LR45" s="32" t="s">
        <v>34</v>
      </c>
      <c r="LS45" s="32" t="s">
        <v>34</v>
      </c>
      <c r="LT45" s="32" t="s">
        <v>34</v>
      </c>
      <c r="LU45" s="32" t="s">
        <v>34</v>
      </c>
      <c r="LV45" s="32" t="s">
        <v>34</v>
      </c>
      <c r="LW45" s="32" t="s">
        <v>34</v>
      </c>
      <c r="LX45" s="32" t="s">
        <v>34</v>
      </c>
      <c r="LY45" s="32" t="s">
        <v>34</v>
      </c>
      <c r="LZ45" s="32" t="s">
        <v>34</v>
      </c>
      <c r="MA45" s="32" t="s">
        <v>34</v>
      </c>
      <c r="MB45" s="32" t="s">
        <v>34</v>
      </c>
      <c r="MC45" s="32" t="s">
        <v>34</v>
      </c>
      <c r="MD45" s="32" t="s">
        <v>34</v>
      </c>
      <c r="ME45" s="32" t="s">
        <v>34</v>
      </c>
      <c r="MF45" s="32" t="s">
        <v>34</v>
      </c>
      <c r="MG45" s="8" t="s">
        <v>34</v>
      </c>
      <c r="MH45" s="32" t="s">
        <v>34</v>
      </c>
      <c r="MI45" s="32" t="s">
        <v>34</v>
      </c>
      <c r="MJ45" s="32" t="s">
        <v>34</v>
      </c>
      <c r="MK45" s="32" t="s">
        <v>34</v>
      </c>
      <c r="ML45" s="32" t="s">
        <v>34</v>
      </c>
      <c r="MM45" s="32" t="s">
        <v>34</v>
      </c>
      <c r="MN45" s="32" t="s">
        <v>34</v>
      </c>
      <c r="MO45" s="32" t="s">
        <v>34</v>
      </c>
      <c r="MP45" s="32" t="s">
        <v>34</v>
      </c>
      <c r="MQ45" s="32" t="s">
        <v>34</v>
      </c>
      <c r="MR45" s="32" t="s">
        <v>34</v>
      </c>
      <c r="MS45" s="32" t="s">
        <v>34</v>
      </c>
      <c r="MT45" s="32" t="s">
        <v>34</v>
      </c>
      <c r="MU45" s="32" t="s">
        <v>34</v>
      </c>
      <c r="MV45" s="32" t="s">
        <v>34</v>
      </c>
      <c r="MW45" s="32" t="s">
        <v>34</v>
      </c>
      <c r="MX45" s="32" t="s">
        <v>34</v>
      </c>
      <c r="MY45" s="32" t="s">
        <v>34</v>
      </c>
      <c r="MZ45" s="32" t="s">
        <v>34</v>
      </c>
      <c r="NA45" s="32" t="s">
        <v>34</v>
      </c>
      <c r="NB45" s="17" t="s">
        <v>34</v>
      </c>
      <c r="NC45" s="69"/>
      <c r="ND45" s="32" t="s">
        <v>34</v>
      </c>
      <c r="NE45" s="32" t="s">
        <v>34</v>
      </c>
      <c r="NF45" s="32" t="s">
        <v>34</v>
      </c>
      <c r="NG45" s="32" t="s">
        <v>34</v>
      </c>
      <c r="NH45" s="32" t="s">
        <v>34</v>
      </c>
      <c r="NI45" s="32" t="s">
        <v>34</v>
      </c>
      <c r="NJ45" s="32" t="s">
        <v>34</v>
      </c>
      <c r="NK45" s="32" t="s">
        <v>34</v>
      </c>
      <c r="NL45" s="32" t="s">
        <v>34</v>
      </c>
      <c r="NM45" s="32" t="s">
        <v>34</v>
      </c>
      <c r="NN45" s="32" t="s">
        <v>34</v>
      </c>
      <c r="NO45" s="32" t="s">
        <v>34</v>
      </c>
      <c r="NP45" s="32" t="s">
        <v>34</v>
      </c>
      <c r="NQ45" s="32" t="s">
        <v>34</v>
      </c>
      <c r="NR45" s="32" t="s">
        <v>34</v>
      </c>
      <c r="NS45" s="32" t="s">
        <v>34</v>
      </c>
      <c r="NT45" s="32" t="s">
        <v>34</v>
      </c>
      <c r="NU45" s="32" t="s">
        <v>34</v>
      </c>
      <c r="NV45" s="8" t="s">
        <v>34</v>
      </c>
      <c r="NW45" s="32" t="s">
        <v>34</v>
      </c>
      <c r="NX45" s="32" t="s">
        <v>34</v>
      </c>
      <c r="NY45" s="32" t="s">
        <v>34</v>
      </c>
      <c r="NZ45" s="32" t="s">
        <v>34</v>
      </c>
      <c r="OA45" s="32" t="s">
        <v>34</v>
      </c>
      <c r="OB45" s="32" t="s">
        <v>34</v>
      </c>
      <c r="OC45" s="32" t="s">
        <v>34</v>
      </c>
      <c r="OD45" s="32" t="s">
        <v>34</v>
      </c>
      <c r="OE45" s="32" t="s">
        <v>34</v>
      </c>
      <c r="OF45" s="32" t="s">
        <v>34</v>
      </c>
      <c r="OG45" s="32" t="s">
        <v>34</v>
      </c>
      <c r="OH45" s="32" t="s">
        <v>34</v>
      </c>
      <c r="OI45" s="32" t="s">
        <v>34</v>
      </c>
      <c r="OJ45" s="32" t="s">
        <v>34</v>
      </c>
      <c r="OK45" s="32" t="s">
        <v>34</v>
      </c>
      <c r="OL45" s="32" t="s">
        <v>34</v>
      </c>
      <c r="OM45" s="32" t="s">
        <v>34</v>
      </c>
      <c r="ON45" s="69"/>
      <c r="OO45" s="32" t="s">
        <v>34</v>
      </c>
      <c r="OP45" s="32" t="s">
        <v>34</v>
      </c>
      <c r="OQ45" s="32" t="s">
        <v>34</v>
      </c>
      <c r="OR45" s="32" t="s">
        <v>34</v>
      </c>
      <c r="OS45" s="32" t="s">
        <v>34</v>
      </c>
      <c r="OT45" s="32" t="s">
        <v>34</v>
      </c>
      <c r="OU45" s="32" t="s">
        <v>34</v>
      </c>
      <c r="OV45" s="32" t="s">
        <v>34</v>
      </c>
      <c r="OW45" s="32" t="s">
        <v>34</v>
      </c>
      <c r="OX45" s="32" t="s">
        <v>34</v>
      </c>
      <c r="OY45" s="32" t="s">
        <v>34</v>
      </c>
    </row>
    <row r="46" spans="1:415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9"/>
      <c r="K46" s="32" t="s">
        <v>34</v>
      </c>
      <c r="L46" s="32" t="s">
        <v>34</v>
      </c>
      <c r="M46" s="32" t="s">
        <v>34</v>
      </c>
      <c r="N46" s="32" t="s">
        <v>34</v>
      </c>
      <c r="O46" s="32" t="s">
        <v>34</v>
      </c>
      <c r="P46" s="32" t="s">
        <v>34</v>
      </c>
      <c r="Q46" s="32" t="s">
        <v>34</v>
      </c>
      <c r="R46" s="32" t="s">
        <v>34</v>
      </c>
      <c r="S46" s="32" t="s">
        <v>34</v>
      </c>
      <c r="T46" s="32" t="s">
        <v>34</v>
      </c>
      <c r="U46" s="32" t="s">
        <v>34</v>
      </c>
      <c r="V46" s="32" t="s">
        <v>34</v>
      </c>
      <c r="W46" s="32" t="s">
        <v>34</v>
      </c>
      <c r="X46" s="32" t="s">
        <v>34</v>
      </c>
      <c r="Y46" s="32" t="s">
        <v>34</v>
      </c>
      <c r="Z46" s="32" t="s">
        <v>34</v>
      </c>
      <c r="AA46" s="32" t="s">
        <v>34</v>
      </c>
      <c r="AB46" s="69"/>
      <c r="AC46" s="32" t="s">
        <v>34</v>
      </c>
      <c r="AD46" s="32" t="s">
        <v>34</v>
      </c>
      <c r="AE46" s="32" t="s">
        <v>34</v>
      </c>
      <c r="AF46" s="32" t="s">
        <v>34</v>
      </c>
      <c r="AG46" s="32" t="s">
        <v>34</v>
      </c>
      <c r="AH46" s="32" t="s">
        <v>34</v>
      </c>
      <c r="AI46" s="32" t="s">
        <v>34</v>
      </c>
      <c r="AJ46" s="32" t="s">
        <v>34</v>
      </c>
      <c r="AK46" s="32" t="s">
        <v>34</v>
      </c>
      <c r="AL46" s="32" t="s">
        <v>34</v>
      </c>
      <c r="AM46" s="32" t="s">
        <v>34</v>
      </c>
      <c r="AN46" s="32" t="s">
        <v>34</v>
      </c>
      <c r="AO46" s="32" t="s">
        <v>34</v>
      </c>
      <c r="AP46" s="32" t="s">
        <v>34</v>
      </c>
      <c r="AQ46" s="32" t="s">
        <v>34</v>
      </c>
      <c r="AR46" s="32" t="s">
        <v>34</v>
      </c>
      <c r="AS46" s="32" t="s">
        <v>34</v>
      </c>
      <c r="AT46" s="32" t="s">
        <v>34</v>
      </c>
      <c r="AU46" s="32" t="s">
        <v>34</v>
      </c>
      <c r="AV46" s="32" t="s">
        <v>34</v>
      </c>
      <c r="AW46" s="69"/>
      <c r="AX46" s="32" t="s">
        <v>34</v>
      </c>
      <c r="AY46" s="32" t="s">
        <v>34</v>
      </c>
      <c r="AZ46" s="32" t="s">
        <v>34</v>
      </c>
      <c r="BA46" s="32" t="s">
        <v>34</v>
      </c>
      <c r="BB46" s="32" t="s">
        <v>34</v>
      </c>
      <c r="BC46" s="69"/>
      <c r="BD46" s="32" t="s">
        <v>34</v>
      </c>
      <c r="BE46" s="32" t="s">
        <v>34</v>
      </c>
      <c r="BF46" s="32" t="s">
        <v>34</v>
      </c>
      <c r="BG46" s="32" t="s">
        <v>34</v>
      </c>
      <c r="BH46" s="32" t="s">
        <v>34</v>
      </c>
      <c r="BI46" s="32" t="s">
        <v>34</v>
      </c>
      <c r="BJ46" s="32" t="s">
        <v>34</v>
      </c>
      <c r="BK46" s="32" t="s">
        <v>34</v>
      </c>
      <c r="BL46" s="32" t="s">
        <v>34</v>
      </c>
      <c r="BM46" s="32" t="s">
        <v>34</v>
      </c>
      <c r="BN46" s="32" t="s">
        <v>34</v>
      </c>
      <c r="BO46" s="32" t="s">
        <v>34</v>
      </c>
      <c r="BP46" s="32" t="s">
        <v>34</v>
      </c>
      <c r="BQ46" s="32" t="s">
        <v>34</v>
      </c>
      <c r="BR46" s="32" t="s">
        <v>34</v>
      </c>
      <c r="BS46" s="32" t="s">
        <v>34</v>
      </c>
      <c r="BT46" s="32" t="s">
        <v>34</v>
      </c>
      <c r="BU46" s="32" t="s">
        <v>34</v>
      </c>
      <c r="BV46" s="8" t="s">
        <v>34</v>
      </c>
      <c r="BW46" s="32" t="s">
        <v>34</v>
      </c>
      <c r="BX46" s="32" t="s">
        <v>34</v>
      </c>
      <c r="BY46" s="32" t="s">
        <v>34</v>
      </c>
      <c r="BZ46" s="32" t="s">
        <v>34</v>
      </c>
      <c r="CA46" s="32" t="s">
        <v>34</v>
      </c>
      <c r="CB46" s="32" t="s">
        <v>34</v>
      </c>
      <c r="CC46" s="32" t="s">
        <v>34</v>
      </c>
      <c r="CD46" s="32" t="s">
        <v>34</v>
      </c>
      <c r="CE46" s="32" t="s">
        <v>34</v>
      </c>
      <c r="CF46" s="32" t="s">
        <v>34</v>
      </c>
      <c r="CG46" s="32" t="s">
        <v>34</v>
      </c>
      <c r="CH46" s="32" t="s">
        <v>34</v>
      </c>
      <c r="CI46" s="32" t="s">
        <v>34</v>
      </c>
      <c r="CJ46" s="32" t="s">
        <v>34</v>
      </c>
      <c r="CK46" s="32" t="s">
        <v>34</v>
      </c>
      <c r="CL46" s="32" t="s">
        <v>34</v>
      </c>
      <c r="CM46" s="32" t="s">
        <v>34</v>
      </c>
      <c r="CN46" s="32" t="s">
        <v>34</v>
      </c>
      <c r="CO46" s="32" t="s">
        <v>34</v>
      </c>
      <c r="CP46" s="32" t="s">
        <v>34</v>
      </c>
      <c r="CQ46" s="17" t="s">
        <v>34</v>
      </c>
      <c r="CR46" s="69"/>
      <c r="CS46" s="32" t="s">
        <v>34</v>
      </c>
      <c r="CT46" s="32" t="s">
        <v>34</v>
      </c>
      <c r="CU46" s="32" t="s">
        <v>34</v>
      </c>
      <c r="CV46" s="32" t="s">
        <v>34</v>
      </c>
      <c r="CW46" s="32" t="s">
        <v>34</v>
      </c>
      <c r="CX46" s="32" t="s">
        <v>34</v>
      </c>
      <c r="CY46" s="32" t="s">
        <v>34</v>
      </c>
      <c r="CZ46" s="32" t="s">
        <v>34</v>
      </c>
      <c r="DA46" s="32" t="s">
        <v>34</v>
      </c>
      <c r="DB46" s="32" t="s">
        <v>34</v>
      </c>
      <c r="DC46" s="32" t="s">
        <v>34</v>
      </c>
      <c r="DD46" s="32" t="s">
        <v>34</v>
      </c>
      <c r="DE46" s="32" t="s">
        <v>34</v>
      </c>
      <c r="DF46" s="32" t="s">
        <v>34</v>
      </c>
      <c r="DG46" s="32" t="s">
        <v>34</v>
      </c>
      <c r="DH46" s="32" t="s">
        <v>34</v>
      </c>
      <c r="DI46" s="32" t="s">
        <v>34</v>
      </c>
      <c r="DJ46" s="32" t="s">
        <v>34</v>
      </c>
      <c r="DK46" s="8" t="s">
        <v>34</v>
      </c>
      <c r="DL46" s="32" t="s">
        <v>34</v>
      </c>
      <c r="DM46" s="32" t="s">
        <v>34</v>
      </c>
      <c r="DN46" s="32" t="s">
        <v>34</v>
      </c>
      <c r="DO46" s="32" t="s">
        <v>34</v>
      </c>
      <c r="DP46" s="32" t="s">
        <v>34</v>
      </c>
      <c r="DQ46" s="32" t="s">
        <v>34</v>
      </c>
      <c r="DR46" s="32" t="s">
        <v>34</v>
      </c>
      <c r="DS46" s="32" t="s">
        <v>34</v>
      </c>
      <c r="DT46" s="32" t="s">
        <v>34</v>
      </c>
      <c r="DU46" s="32" t="s">
        <v>34</v>
      </c>
      <c r="DV46" s="32" t="s">
        <v>34</v>
      </c>
      <c r="DW46" s="32" t="s">
        <v>34</v>
      </c>
      <c r="DX46" s="32" t="s">
        <v>34</v>
      </c>
      <c r="DY46" s="32" t="s">
        <v>34</v>
      </c>
      <c r="DZ46" s="32" t="s">
        <v>34</v>
      </c>
      <c r="EA46" s="32" t="s">
        <v>34</v>
      </c>
      <c r="EB46" s="32" t="s">
        <v>34</v>
      </c>
      <c r="EC46" s="69"/>
      <c r="ED46" s="32" t="s">
        <v>34</v>
      </c>
      <c r="EE46" s="32" t="s">
        <v>34</v>
      </c>
      <c r="EF46" s="32" t="s">
        <v>34</v>
      </c>
      <c r="EG46" s="32" t="s">
        <v>34</v>
      </c>
      <c r="EH46" s="32" t="s">
        <v>34</v>
      </c>
      <c r="EI46" s="32" t="s">
        <v>34</v>
      </c>
      <c r="EJ46" s="32" t="s">
        <v>34</v>
      </c>
      <c r="EK46" s="32" t="s">
        <v>34</v>
      </c>
      <c r="EL46" s="32" t="s">
        <v>34</v>
      </c>
      <c r="EM46" s="32" t="s">
        <v>34</v>
      </c>
      <c r="EN46" s="32" t="s">
        <v>34</v>
      </c>
      <c r="EO46" s="69"/>
      <c r="EP46" s="32" t="s">
        <v>34</v>
      </c>
      <c r="EQ46" s="32" t="s">
        <v>34</v>
      </c>
      <c r="ER46" s="32" t="s">
        <v>34</v>
      </c>
      <c r="ES46" s="32" t="s">
        <v>34</v>
      </c>
      <c r="ET46" s="32" t="s">
        <v>34</v>
      </c>
      <c r="EU46" s="32" t="s">
        <v>34</v>
      </c>
      <c r="EV46" s="32" t="s">
        <v>34</v>
      </c>
      <c r="EW46" s="32" t="s">
        <v>34</v>
      </c>
      <c r="EX46" s="32" t="s">
        <v>34</v>
      </c>
      <c r="EY46" s="32" t="s">
        <v>34</v>
      </c>
      <c r="EZ46" s="32" t="s">
        <v>34</v>
      </c>
      <c r="FA46" s="32" t="s">
        <v>34</v>
      </c>
      <c r="FB46" s="32" t="s">
        <v>34</v>
      </c>
      <c r="FC46" s="32" t="s">
        <v>34</v>
      </c>
      <c r="FD46" s="32" t="s">
        <v>34</v>
      </c>
      <c r="FE46" s="32" t="s">
        <v>34</v>
      </c>
      <c r="FF46" s="32" t="s">
        <v>34</v>
      </c>
      <c r="FG46" s="69"/>
      <c r="FH46" s="32" t="s">
        <v>34</v>
      </c>
      <c r="FI46" s="32" t="s">
        <v>34</v>
      </c>
      <c r="FJ46" s="32" t="s">
        <v>34</v>
      </c>
      <c r="FK46" s="32" t="s">
        <v>34</v>
      </c>
      <c r="FL46" s="32" t="s">
        <v>34</v>
      </c>
      <c r="FM46" s="32" t="s">
        <v>34</v>
      </c>
      <c r="FN46" s="32" t="s">
        <v>34</v>
      </c>
      <c r="FO46" s="32" t="s">
        <v>34</v>
      </c>
      <c r="FP46" s="32" t="s">
        <v>34</v>
      </c>
      <c r="FQ46" s="32" t="s">
        <v>34</v>
      </c>
      <c r="FR46" s="32" t="s">
        <v>34</v>
      </c>
      <c r="FS46" s="32" t="s">
        <v>34</v>
      </c>
      <c r="FT46" s="32" t="s">
        <v>34</v>
      </c>
      <c r="FU46" s="32" t="s">
        <v>34</v>
      </c>
      <c r="FV46" s="32" t="s">
        <v>34</v>
      </c>
      <c r="FW46" s="32" t="s">
        <v>34</v>
      </c>
      <c r="FX46" s="32" t="s">
        <v>34</v>
      </c>
      <c r="FY46" s="32" t="s">
        <v>34</v>
      </c>
      <c r="FZ46" s="32" t="s">
        <v>34</v>
      </c>
      <c r="GA46" s="32" t="s">
        <v>34</v>
      </c>
      <c r="GB46" s="69"/>
      <c r="GC46" s="32" t="s">
        <v>34</v>
      </c>
      <c r="GD46" s="32" t="s">
        <v>34</v>
      </c>
      <c r="GE46" s="32" t="s">
        <v>34</v>
      </c>
      <c r="GF46" s="32" t="s">
        <v>34</v>
      </c>
      <c r="GG46" s="32" t="s">
        <v>34</v>
      </c>
      <c r="GH46" s="69"/>
      <c r="GI46" s="32" t="s">
        <v>34</v>
      </c>
      <c r="GJ46" s="32" t="s">
        <v>34</v>
      </c>
      <c r="GK46" s="32" t="s">
        <v>34</v>
      </c>
      <c r="GL46" s="32" t="s">
        <v>34</v>
      </c>
      <c r="GM46" s="32" t="s">
        <v>34</v>
      </c>
      <c r="GN46" s="32" t="s">
        <v>34</v>
      </c>
      <c r="GO46" s="32" t="s">
        <v>34</v>
      </c>
      <c r="GP46" s="32" t="s">
        <v>34</v>
      </c>
      <c r="GQ46" s="32" t="s">
        <v>34</v>
      </c>
      <c r="GR46" s="32" t="s">
        <v>34</v>
      </c>
      <c r="GS46" s="32" t="s">
        <v>34</v>
      </c>
      <c r="GT46" s="32" t="s">
        <v>34</v>
      </c>
      <c r="GU46" s="32" t="s">
        <v>34</v>
      </c>
      <c r="GV46" s="32" t="s">
        <v>34</v>
      </c>
      <c r="GW46" s="32" t="s">
        <v>34</v>
      </c>
      <c r="GX46" s="32" t="s">
        <v>34</v>
      </c>
      <c r="GY46" s="32" t="s">
        <v>34</v>
      </c>
      <c r="GZ46" s="32" t="s">
        <v>34</v>
      </c>
      <c r="HA46" s="8" t="s">
        <v>34</v>
      </c>
      <c r="HB46" s="32" t="s">
        <v>34</v>
      </c>
      <c r="HC46" s="32" t="s">
        <v>34</v>
      </c>
      <c r="HD46" s="32" t="s">
        <v>34</v>
      </c>
      <c r="HE46" s="32" t="s">
        <v>34</v>
      </c>
      <c r="HF46" s="32" t="s">
        <v>34</v>
      </c>
      <c r="HG46" s="32" t="s">
        <v>34</v>
      </c>
      <c r="HH46" s="32" t="s">
        <v>34</v>
      </c>
      <c r="HI46" s="32" t="s">
        <v>34</v>
      </c>
      <c r="HJ46" s="32" t="s">
        <v>34</v>
      </c>
      <c r="HK46" s="32" t="s">
        <v>34</v>
      </c>
      <c r="HL46" s="32" t="s">
        <v>34</v>
      </c>
      <c r="HM46" s="32" t="s">
        <v>34</v>
      </c>
      <c r="HN46" s="32" t="s">
        <v>34</v>
      </c>
      <c r="HO46" s="32" t="s">
        <v>34</v>
      </c>
      <c r="HP46" s="32" t="s">
        <v>34</v>
      </c>
      <c r="HQ46" s="32" t="s">
        <v>34</v>
      </c>
      <c r="HR46" s="32" t="s">
        <v>34</v>
      </c>
      <c r="HS46" s="32" t="s">
        <v>34</v>
      </c>
      <c r="HT46" s="32" t="s">
        <v>34</v>
      </c>
      <c r="HU46" s="32" t="s">
        <v>34</v>
      </c>
      <c r="HV46" s="32" t="s">
        <v>34</v>
      </c>
      <c r="HW46" s="17" t="s">
        <v>34</v>
      </c>
      <c r="HX46" s="69"/>
      <c r="HY46" s="32" t="s">
        <v>34</v>
      </c>
      <c r="HZ46" s="32" t="s">
        <v>34</v>
      </c>
      <c r="IA46" s="32" t="s">
        <v>34</v>
      </c>
      <c r="IB46" s="32" t="s">
        <v>34</v>
      </c>
      <c r="IC46" s="32" t="s">
        <v>34</v>
      </c>
      <c r="ID46" s="32" t="s">
        <v>34</v>
      </c>
      <c r="IE46" s="32" t="s">
        <v>34</v>
      </c>
      <c r="IF46" s="32" t="s">
        <v>34</v>
      </c>
      <c r="IG46" s="32" t="s">
        <v>34</v>
      </c>
      <c r="IH46" s="32" t="s">
        <v>34</v>
      </c>
      <c r="II46" s="32" t="s">
        <v>34</v>
      </c>
      <c r="IJ46" s="32" t="s">
        <v>34</v>
      </c>
      <c r="IK46" s="32" t="s">
        <v>34</v>
      </c>
      <c r="IL46" s="32" t="s">
        <v>34</v>
      </c>
      <c r="IM46" s="32" t="s">
        <v>34</v>
      </c>
      <c r="IN46" s="32" t="s">
        <v>34</v>
      </c>
      <c r="IO46" s="32" t="s">
        <v>34</v>
      </c>
      <c r="IP46" s="32" t="s">
        <v>34</v>
      </c>
      <c r="IQ46" s="8" t="s">
        <v>34</v>
      </c>
      <c r="IR46" s="32" t="s">
        <v>34</v>
      </c>
      <c r="IS46" s="32" t="s">
        <v>34</v>
      </c>
      <c r="IT46" s="32" t="s">
        <v>34</v>
      </c>
      <c r="IU46" s="32" t="s">
        <v>34</v>
      </c>
      <c r="IV46" s="32" t="s">
        <v>34</v>
      </c>
      <c r="IW46" s="32" t="s">
        <v>34</v>
      </c>
      <c r="IX46" s="32" t="s">
        <v>34</v>
      </c>
      <c r="IY46" s="32" t="s">
        <v>34</v>
      </c>
      <c r="IZ46" s="32" t="s">
        <v>34</v>
      </c>
      <c r="JA46" s="32" t="s">
        <v>34</v>
      </c>
      <c r="JB46" s="32" t="s">
        <v>34</v>
      </c>
      <c r="JC46" s="32" t="s">
        <v>34</v>
      </c>
      <c r="JD46" s="32" t="s">
        <v>34</v>
      </c>
      <c r="JE46" s="32" t="s">
        <v>34</v>
      </c>
      <c r="JF46" s="32" t="s">
        <v>34</v>
      </c>
      <c r="JG46" s="32" t="s">
        <v>34</v>
      </c>
      <c r="JH46" s="32" t="s">
        <v>34</v>
      </c>
      <c r="JI46" s="69"/>
      <c r="JJ46" s="32" t="s">
        <v>34</v>
      </c>
      <c r="JK46" s="32" t="s">
        <v>34</v>
      </c>
      <c r="JL46" s="32" t="s">
        <v>34</v>
      </c>
      <c r="JM46" s="32" t="s">
        <v>34</v>
      </c>
      <c r="JN46" s="32" t="s">
        <v>34</v>
      </c>
      <c r="JO46" s="32" t="s">
        <v>34</v>
      </c>
      <c r="JP46" s="32" t="s">
        <v>34</v>
      </c>
      <c r="JQ46" s="32" t="s">
        <v>34</v>
      </c>
      <c r="JR46" s="32" t="s">
        <v>34</v>
      </c>
      <c r="JS46" s="32" t="s">
        <v>34</v>
      </c>
      <c r="JT46" s="32" t="s">
        <v>34</v>
      </c>
      <c r="JU46" s="69"/>
      <c r="JV46" s="32" t="s">
        <v>34</v>
      </c>
      <c r="JW46" s="32" t="s">
        <v>34</v>
      </c>
      <c r="JX46" s="32" t="s">
        <v>34</v>
      </c>
      <c r="JY46" s="32" t="s">
        <v>34</v>
      </c>
      <c r="JZ46" s="32" t="s">
        <v>34</v>
      </c>
      <c r="KA46" s="32" t="s">
        <v>34</v>
      </c>
      <c r="KB46" s="32" t="s">
        <v>34</v>
      </c>
      <c r="KC46" s="32" t="s">
        <v>34</v>
      </c>
      <c r="KD46" s="32" t="s">
        <v>34</v>
      </c>
      <c r="KE46" s="32" t="s">
        <v>34</v>
      </c>
      <c r="KF46" s="32" t="s">
        <v>34</v>
      </c>
      <c r="KG46" s="32" t="s">
        <v>34</v>
      </c>
      <c r="KH46" s="32" t="s">
        <v>34</v>
      </c>
      <c r="KI46" s="32" t="s">
        <v>34</v>
      </c>
      <c r="KJ46" s="32" t="s">
        <v>34</v>
      </c>
      <c r="KK46" s="32" t="s">
        <v>34</v>
      </c>
      <c r="KL46" s="32" t="s">
        <v>34</v>
      </c>
      <c r="KM46" s="69"/>
      <c r="KN46" s="32" t="s">
        <v>34</v>
      </c>
      <c r="KO46" s="32" t="s">
        <v>34</v>
      </c>
      <c r="KP46" s="32" t="s">
        <v>34</v>
      </c>
      <c r="KQ46" s="32" t="s">
        <v>34</v>
      </c>
      <c r="KR46" s="32" t="s">
        <v>34</v>
      </c>
      <c r="KS46" s="32" t="s">
        <v>34</v>
      </c>
      <c r="KT46" s="32" t="s">
        <v>34</v>
      </c>
      <c r="KU46" s="32" t="s">
        <v>34</v>
      </c>
      <c r="KV46" s="32" t="s">
        <v>34</v>
      </c>
      <c r="KW46" s="32" t="s">
        <v>34</v>
      </c>
      <c r="KX46" s="32" t="s">
        <v>34</v>
      </c>
      <c r="KY46" s="32" t="s">
        <v>34</v>
      </c>
      <c r="KZ46" s="32" t="s">
        <v>34</v>
      </c>
      <c r="LA46" s="32" t="s">
        <v>34</v>
      </c>
      <c r="LB46" s="32" t="s">
        <v>34</v>
      </c>
      <c r="LC46" s="32" t="s">
        <v>34</v>
      </c>
      <c r="LD46" s="32" t="s">
        <v>34</v>
      </c>
      <c r="LE46" s="32" t="s">
        <v>34</v>
      </c>
      <c r="LF46" s="32" t="s">
        <v>34</v>
      </c>
      <c r="LG46" s="32" t="s">
        <v>34</v>
      </c>
      <c r="LH46" s="69"/>
      <c r="LI46" s="32" t="s">
        <v>34</v>
      </c>
      <c r="LJ46" s="32" t="s">
        <v>34</v>
      </c>
      <c r="LK46" s="32" t="s">
        <v>34</v>
      </c>
      <c r="LL46" s="32" t="s">
        <v>34</v>
      </c>
      <c r="LM46" s="32" t="s">
        <v>34</v>
      </c>
      <c r="LN46" s="69"/>
      <c r="LO46" s="32" t="s">
        <v>34</v>
      </c>
      <c r="LP46" s="32" t="s">
        <v>34</v>
      </c>
      <c r="LQ46" s="32" t="s">
        <v>34</v>
      </c>
      <c r="LR46" s="32" t="s">
        <v>34</v>
      </c>
      <c r="LS46" s="32" t="s">
        <v>34</v>
      </c>
      <c r="LT46" s="32" t="s">
        <v>34</v>
      </c>
      <c r="LU46" s="32" t="s">
        <v>34</v>
      </c>
      <c r="LV46" s="32" t="s">
        <v>34</v>
      </c>
      <c r="LW46" s="32" t="s">
        <v>34</v>
      </c>
      <c r="LX46" s="32" t="s">
        <v>34</v>
      </c>
      <c r="LY46" s="32" t="s">
        <v>34</v>
      </c>
      <c r="LZ46" s="32" t="s">
        <v>34</v>
      </c>
      <c r="MA46" s="32" t="s">
        <v>34</v>
      </c>
      <c r="MB46" s="32" t="s">
        <v>34</v>
      </c>
      <c r="MC46" s="32" t="s">
        <v>34</v>
      </c>
      <c r="MD46" s="32" t="s">
        <v>34</v>
      </c>
      <c r="ME46" s="32" t="s">
        <v>34</v>
      </c>
      <c r="MF46" s="32" t="s">
        <v>34</v>
      </c>
      <c r="MG46" s="8" t="s">
        <v>34</v>
      </c>
      <c r="MH46" s="32" t="s">
        <v>34</v>
      </c>
      <c r="MI46" s="32" t="s">
        <v>34</v>
      </c>
      <c r="MJ46" s="32" t="s">
        <v>34</v>
      </c>
      <c r="MK46" s="32" t="s">
        <v>34</v>
      </c>
      <c r="ML46" s="32" t="s">
        <v>34</v>
      </c>
      <c r="MM46" s="32" t="s">
        <v>34</v>
      </c>
      <c r="MN46" s="32" t="s">
        <v>34</v>
      </c>
      <c r="MO46" s="32" t="s">
        <v>34</v>
      </c>
      <c r="MP46" s="32" t="s">
        <v>34</v>
      </c>
      <c r="MQ46" s="32" t="s">
        <v>34</v>
      </c>
      <c r="MR46" s="32" t="s">
        <v>34</v>
      </c>
      <c r="MS46" s="32" t="s">
        <v>34</v>
      </c>
      <c r="MT46" s="32" t="s">
        <v>34</v>
      </c>
      <c r="MU46" s="32" t="s">
        <v>34</v>
      </c>
      <c r="MV46" s="32" t="s">
        <v>34</v>
      </c>
      <c r="MW46" s="32" t="s">
        <v>34</v>
      </c>
      <c r="MX46" s="32" t="s">
        <v>34</v>
      </c>
      <c r="MY46" s="32" t="s">
        <v>34</v>
      </c>
      <c r="MZ46" s="32" t="s">
        <v>34</v>
      </c>
      <c r="NA46" s="32" t="s">
        <v>34</v>
      </c>
      <c r="NB46" s="17" t="s">
        <v>34</v>
      </c>
      <c r="NC46" s="69"/>
      <c r="ND46" s="32" t="s">
        <v>34</v>
      </c>
      <c r="NE46" s="32" t="s">
        <v>34</v>
      </c>
      <c r="NF46" s="32" t="s">
        <v>34</v>
      </c>
      <c r="NG46" s="32" t="s">
        <v>34</v>
      </c>
      <c r="NH46" s="32" t="s">
        <v>34</v>
      </c>
      <c r="NI46" s="32" t="s">
        <v>34</v>
      </c>
      <c r="NJ46" s="32" t="s">
        <v>34</v>
      </c>
      <c r="NK46" s="32" t="s">
        <v>34</v>
      </c>
      <c r="NL46" s="32" t="s">
        <v>34</v>
      </c>
      <c r="NM46" s="32" t="s">
        <v>34</v>
      </c>
      <c r="NN46" s="32" t="s">
        <v>34</v>
      </c>
      <c r="NO46" s="32" t="s">
        <v>34</v>
      </c>
      <c r="NP46" s="32" t="s">
        <v>34</v>
      </c>
      <c r="NQ46" s="32" t="s">
        <v>34</v>
      </c>
      <c r="NR46" s="32" t="s">
        <v>34</v>
      </c>
      <c r="NS46" s="32" t="s">
        <v>34</v>
      </c>
      <c r="NT46" s="32" t="s">
        <v>34</v>
      </c>
      <c r="NU46" s="32" t="s">
        <v>34</v>
      </c>
      <c r="NV46" s="8" t="s">
        <v>34</v>
      </c>
      <c r="NW46" s="32" t="s">
        <v>34</v>
      </c>
      <c r="NX46" s="32" t="s">
        <v>34</v>
      </c>
      <c r="NY46" s="32" t="s">
        <v>34</v>
      </c>
      <c r="NZ46" s="32" t="s">
        <v>34</v>
      </c>
      <c r="OA46" s="32" t="s">
        <v>34</v>
      </c>
      <c r="OB46" s="32" t="s">
        <v>34</v>
      </c>
      <c r="OC46" s="32" t="s">
        <v>34</v>
      </c>
      <c r="OD46" s="32" t="s">
        <v>34</v>
      </c>
      <c r="OE46" s="32" t="s">
        <v>34</v>
      </c>
      <c r="OF46" s="32" t="s">
        <v>34</v>
      </c>
      <c r="OG46" s="32" t="s">
        <v>34</v>
      </c>
      <c r="OH46" s="32" t="s">
        <v>34</v>
      </c>
      <c r="OI46" s="32" t="s">
        <v>34</v>
      </c>
      <c r="OJ46" s="32" t="s">
        <v>34</v>
      </c>
      <c r="OK46" s="32" t="s">
        <v>34</v>
      </c>
      <c r="OL46" s="32" t="s">
        <v>34</v>
      </c>
      <c r="OM46" s="32" t="s">
        <v>34</v>
      </c>
      <c r="ON46" s="69"/>
      <c r="OO46" s="32" t="s">
        <v>34</v>
      </c>
      <c r="OP46" s="32" t="s">
        <v>34</v>
      </c>
      <c r="OQ46" s="32" t="s">
        <v>34</v>
      </c>
      <c r="OR46" s="32" t="s">
        <v>34</v>
      </c>
      <c r="OS46" s="32" t="s">
        <v>34</v>
      </c>
      <c r="OT46" s="32" t="s">
        <v>34</v>
      </c>
      <c r="OU46" s="32" t="s">
        <v>34</v>
      </c>
      <c r="OV46" s="32" t="s">
        <v>34</v>
      </c>
      <c r="OW46" s="32" t="s">
        <v>34</v>
      </c>
      <c r="OX46" s="32" t="s">
        <v>34</v>
      </c>
      <c r="OY46" s="32" t="s">
        <v>34</v>
      </c>
    </row>
    <row r="47" spans="1:415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9"/>
      <c r="K47" s="32" t="s">
        <v>34</v>
      </c>
      <c r="L47" s="32" t="s">
        <v>34</v>
      </c>
      <c r="M47" s="32" t="s">
        <v>34</v>
      </c>
      <c r="N47" s="32" t="s">
        <v>34</v>
      </c>
      <c r="O47" s="32" t="s">
        <v>34</v>
      </c>
      <c r="P47" s="32" t="s">
        <v>34</v>
      </c>
      <c r="Q47" s="32" t="s">
        <v>34</v>
      </c>
      <c r="R47" s="32" t="s">
        <v>34</v>
      </c>
      <c r="S47" s="32" t="s">
        <v>34</v>
      </c>
      <c r="T47" s="32" t="s">
        <v>34</v>
      </c>
      <c r="U47" s="32" t="s">
        <v>34</v>
      </c>
      <c r="V47" s="32" t="s">
        <v>34</v>
      </c>
      <c r="W47" s="32" t="s">
        <v>34</v>
      </c>
      <c r="X47" s="32" t="s">
        <v>34</v>
      </c>
      <c r="Y47" s="32" t="s">
        <v>34</v>
      </c>
      <c r="Z47" s="32" t="s">
        <v>34</v>
      </c>
      <c r="AA47" s="32" t="s">
        <v>34</v>
      </c>
      <c r="AB47" s="69"/>
      <c r="AC47" s="32" t="s">
        <v>34</v>
      </c>
      <c r="AD47" s="32" t="s">
        <v>34</v>
      </c>
      <c r="AE47" s="32" t="s">
        <v>34</v>
      </c>
      <c r="AF47" s="32" t="s">
        <v>34</v>
      </c>
      <c r="AG47" s="32" t="s">
        <v>34</v>
      </c>
      <c r="AH47" s="32" t="s">
        <v>34</v>
      </c>
      <c r="AI47" s="32" t="s">
        <v>34</v>
      </c>
      <c r="AJ47" s="32" t="s">
        <v>34</v>
      </c>
      <c r="AK47" s="32" t="s">
        <v>34</v>
      </c>
      <c r="AL47" s="32" t="s">
        <v>34</v>
      </c>
      <c r="AM47" s="32" t="s">
        <v>34</v>
      </c>
      <c r="AN47" s="32" t="s">
        <v>34</v>
      </c>
      <c r="AO47" s="32" t="s">
        <v>34</v>
      </c>
      <c r="AP47" s="32" t="s">
        <v>34</v>
      </c>
      <c r="AQ47" s="32" t="s">
        <v>34</v>
      </c>
      <c r="AR47" s="32" t="s">
        <v>34</v>
      </c>
      <c r="AS47" s="32" t="s">
        <v>34</v>
      </c>
      <c r="AT47" s="32" t="s">
        <v>34</v>
      </c>
      <c r="AU47" s="32" t="s">
        <v>34</v>
      </c>
      <c r="AV47" s="32" t="s">
        <v>34</v>
      </c>
      <c r="AW47" s="69"/>
      <c r="AX47" s="32" t="s">
        <v>34</v>
      </c>
      <c r="AY47" s="32" t="s">
        <v>34</v>
      </c>
      <c r="AZ47" s="32" t="s">
        <v>34</v>
      </c>
      <c r="BA47" s="32" t="s">
        <v>34</v>
      </c>
      <c r="BB47" s="32" t="s">
        <v>34</v>
      </c>
      <c r="BC47" s="69"/>
      <c r="BD47" s="32" t="s">
        <v>34</v>
      </c>
      <c r="BE47" s="32" t="s">
        <v>34</v>
      </c>
      <c r="BF47" s="32" t="s">
        <v>34</v>
      </c>
      <c r="BG47" s="32" t="s">
        <v>34</v>
      </c>
      <c r="BH47" s="32" t="s">
        <v>34</v>
      </c>
      <c r="BI47" s="32" t="s">
        <v>34</v>
      </c>
      <c r="BJ47" s="32" t="s">
        <v>34</v>
      </c>
      <c r="BK47" s="32" t="s">
        <v>34</v>
      </c>
      <c r="BL47" s="32" t="s">
        <v>34</v>
      </c>
      <c r="BM47" s="32" t="s">
        <v>34</v>
      </c>
      <c r="BN47" s="32" t="s">
        <v>34</v>
      </c>
      <c r="BO47" s="32" t="s">
        <v>34</v>
      </c>
      <c r="BP47" s="32" t="s">
        <v>34</v>
      </c>
      <c r="BQ47" s="32" t="s">
        <v>34</v>
      </c>
      <c r="BR47" s="32" t="s">
        <v>34</v>
      </c>
      <c r="BS47" s="32" t="s">
        <v>34</v>
      </c>
      <c r="BT47" s="32" t="s">
        <v>34</v>
      </c>
      <c r="BU47" s="32" t="s">
        <v>34</v>
      </c>
      <c r="BV47" s="8" t="s">
        <v>34</v>
      </c>
      <c r="BW47" s="32" t="s">
        <v>34</v>
      </c>
      <c r="BX47" s="32" t="s">
        <v>34</v>
      </c>
      <c r="BY47" s="32" t="s">
        <v>34</v>
      </c>
      <c r="BZ47" s="32" t="s">
        <v>34</v>
      </c>
      <c r="CA47" s="32" t="s">
        <v>34</v>
      </c>
      <c r="CB47" s="32" t="s">
        <v>34</v>
      </c>
      <c r="CC47" s="32" t="s">
        <v>34</v>
      </c>
      <c r="CD47" s="32" t="s">
        <v>34</v>
      </c>
      <c r="CE47" s="32" t="s">
        <v>34</v>
      </c>
      <c r="CF47" s="32" t="s">
        <v>34</v>
      </c>
      <c r="CG47" s="32" t="s">
        <v>34</v>
      </c>
      <c r="CH47" s="32" t="s">
        <v>34</v>
      </c>
      <c r="CI47" s="32" t="s">
        <v>34</v>
      </c>
      <c r="CJ47" s="32" t="s">
        <v>34</v>
      </c>
      <c r="CK47" s="32" t="s">
        <v>34</v>
      </c>
      <c r="CL47" s="32" t="s">
        <v>34</v>
      </c>
      <c r="CM47" s="32" t="s">
        <v>34</v>
      </c>
      <c r="CN47" s="32" t="s">
        <v>34</v>
      </c>
      <c r="CO47" s="32" t="s">
        <v>34</v>
      </c>
      <c r="CP47" s="32" t="s">
        <v>34</v>
      </c>
      <c r="CQ47" s="17" t="s">
        <v>34</v>
      </c>
      <c r="CR47" s="69"/>
      <c r="CS47" s="32" t="s">
        <v>34</v>
      </c>
      <c r="CT47" s="32" t="s">
        <v>34</v>
      </c>
      <c r="CU47" s="32" t="s">
        <v>34</v>
      </c>
      <c r="CV47" s="32" t="s">
        <v>34</v>
      </c>
      <c r="CW47" s="32" t="s">
        <v>34</v>
      </c>
      <c r="CX47" s="32" t="s">
        <v>34</v>
      </c>
      <c r="CY47" s="32" t="s">
        <v>34</v>
      </c>
      <c r="CZ47" s="32" t="s">
        <v>34</v>
      </c>
      <c r="DA47" s="32" t="s">
        <v>34</v>
      </c>
      <c r="DB47" s="32" t="s">
        <v>34</v>
      </c>
      <c r="DC47" s="32" t="s">
        <v>34</v>
      </c>
      <c r="DD47" s="32" t="s">
        <v>34</v>
      </c>
      <c r="DE47" s="32" t="s">
        <v>34</v>
      </c>
      <c r="DF47" s="32" t="s">
        <v>34</v>
      </c>
      <c r="DG47" s="32" t="s">
        <v>34</v>
      </c>
      <c r="DH47" s="32" t="s">
        <v>34</v>
      </c>
      <c r="DI47" s="32" t="s">
        <v>34</v>
      </c>
      <c r="DJ47" s="32" t="s">
        <v>34</v>
      </c>
      <c r="DK47" s="8" t="s">
        <v>34</v>
      </c>
      <c r="DL47" s="32" t="s">
        <v>34</v>
      </c>
      <c r="DM47" s="32" t="s">
        <v>34</v>
      </c>
      <c r="DN47" s="32" t="s">
        <v>34</v>
      </c>
      <c r="DO47" s="32" t="s">
        <v>34</v>
      </c>
      <c r="DP47" s="32" t="s">
        <v>34</v>
      </c>
      <c r="DQ47" s="32" t="s">
        <v>34</v>
      </c>
      <c r="DR47" s="32" t="s">
        <v>34</v>
      </c>
      <c r="DS47" s="32" t="s">
        <v>34</v>
      </c>
      <c r="DT47" s="32" t="s">
        <v>34</v>
      </c>
      <c r="DU47" s="32" t="s">
        <v>34</v>
      </c>
      <c r="DV47" s="32" t="s">
        <v>34</v>
      </c>
      <c r="DW47" s="32" t="s">
        <v>34</v>
      </c>
      <c r="DX47" s="32" t="s">
        <v>34</v>
      </c>
      <c r="DY47" s="32" t="s">
        <v>34</v>
      </c>
      <c r="DZ47" s="32" t="s">
        <v>34</v>
      </c>
      <c r="EA47" s="32" t="s">
        <v>34</v>
      </c>
      <c r="EB47" s="32" t="s">
        <v>34</v>
      </c>
      <c r="EC47" s="69"/>
      <c r="ED47" s="32" t="s">
        <v>34</v>
      </c>
      <c r="EE47" s="32" t="s">
        <v>34</v>
      </c>
      <c r="EF47" s="32" t="s">
        <v>34</v>
      </c>
      <c r="EG47" s="32" t="s">
        <v>34</v>
      </c>
      <c r="EH47" s="32" t="s">
        <v>34</v>
      </c>
      <c r="EI47" s="32" t="s">
        <v>34</v>
      </c>
      <c r="EJ47" s="32" t="s">
        <v>34</v>
      </c>
      <c r="EK47" s="32" t="s">
        <v>34</v>
      </c>
      <c r="EL47" s="32" t="s">
        <v>34</v>
      </c>
      <c r="EM47" s="32" t="s">
        <v>34</v>
      </c>
      <c r="EN47" s="32" t="s">
        <v>34</v>
      </c>
      <c r="EO47" s="69"/>
      <c r="EP47" s="32" t="s">
        <v>34</v>
      </c>
      <c r="EQ47" s="32" t="s">
        <v>34</v>
      </c>
      <c r="ER47" s="32" t="s">
        <v>34</v>
      </c>
      <c r="ES47" s="32" t="s">
        <v>34</v>
      </c>
      <c r="ET47" s="32" t="s">
        <v>34</v>
      </c>
      <c r="EU47" s="32" t="s">
        <v>34</v>
      </c>
      <c r="EV47" s="32" t="s">
        <v>34</v>
      </c>
      <c r="EW47" s="32" t="s">
        <v>34</v>
      </c>
      <c r="EX47" s="32" t="s">
        <v>34</v>
      </c>
      <c r="EY47" s="32" t="s">
        <v>34</v>
      </c>
      <c r="EZ47" s="32" t="s">
        <v>34</v>
      </c>
      <c r="FA47" s="32" t="s">
        <v>34</v>
      </c>
      <c r="FB47" s="32" t="s">
        <v>34</v>
      </c>
      <c r="FC47" s="32" t="s">
        <v>34</v>
      </c>
      <c r="FD47" s="32" t="s">
        <v>34</v>
      </c>
      <c r="FE47" s="32" t="s">
        <v>34</v>
      </c>
      <c r="FF47" s="32" t="s">
        <v>34</v>
      </c>
      <c r="FG47" s="69"/>
      <c r="FH47" s="32" t="s">
        <v>34</v>
      </c>
      <c r="FI47" s="32" t="s">
        <v>34</v>
      </c>
      <c r="FJ47" s="32" t="s">
        <v>34</v>
      </c>
      <c r="FK47" s="32" t="s">
        <v>34</v>
      </c>
      <c r="FL47" s="32" t="s">
        <v>34</v>
      </c>
      <c r="FM47" s="32" t="s">
        <v>34</v>
      </c>
      <c r="FN47" s="32" t="s">
        <v>34</v>
      </c>
      <c r="FO47" s="32" t="s">
        <v>34</v>
      </c>
      <c r="FP47" s="32" t="s">
        <v>34</v>
      </c>
      <c r="FQ47" s="32" t="s">
        <v>34</v>
      </c>
      <c r="FR47" s="32" t="s">
        <v>34</v>
      </c>
      <c r="FS47" s="32" t="s">
        <v>34</v>
      </c>
      <c r="FT47" s="32" t="s">
        <v>34</v>
      </c>
      <c r="FU47" s="32" t="s">
        <v>34</v>
      </c>
      <c r="FV47" s="32" t="s">
        <v>34</v>
      </c>
      <c r="FW47" s="32" t="s">
        <v>34</v>
      </c>
      <c r="FX47" s="32" t="s">
        <v>34</v>
      </c>
      <c r="FY47" s="32" t="s">
        <v>34</v>
      </c>
      <c r="FZ47" s="32" t="s">
        <v>34</v>
      </c>
      <c r="GA47" s="32" t="s">
        <v>34</v>
      </c>
      <c r="GB47" s="69"/>
      <c r="GC47" s="32" t="s">
        <v>34</v>
      </c>
      <c r="GD47" s="32" t="s">
        <v>34</v>
      </c>
      <c r="GE47" s="32" t="s">
        <v>34</v>
      </c>
      <c r="GF47" s="32" t="s">
        <v>34</v>
      </c>
      <c r="GG47" s="32" t="s">
        <v>34</v>
      </c>
      <c r="GH47" s="69"/>
      <c r="GI47" s="32" t="s">
        <v>34</v>
      </c>
      <c r="GJ47" s="32" t="s">
        <v>34</v>
      </c>
      <c r="GK47" s="32" t="s">
        <v>34</v>
      </c>
      <c r="GL47" s="32" t="s">
        <v>34</v>
      </c>
      <c r="GM47" s="32" t="s">
        <v>34</v>
      </c>
      <c r="GN47" s="32" t="s">
        <v>34</v>
      </c>
      <c r="GO47" s="32" t="s">
        <v>34</v>
      </c>
      <c r="GP47" s="32" t="s">
        <v>34</v>
      </c>
      <c r="GQ47" s="32" t="s">
        <v>34</v>
      </c>
      <c r="GR47" s="32" t="s">
        <v>34</v>
      </c>
      <c r="GS47" s="32" t="s">
        <v>34</v>
      </c>
      <c r="GT47" s="32" t="s">
        <v>34</v>
      </c>
      <c r="GU47" s="32" t="s">
        <v>34</v>
      </c>
      <c r="GV47" s="32" t="s">
        <v>34</v>
      </c>
      <c r="GW47" s="32" t="s">
        <v>34</v>
      </c>
      <c r="GX47" s="32" t="s">
        <v>34</v>
      </c>
      <c r="GY47" s="32" t="s">
        <v>34</v>
      </c>
      <c r="GZ47" s="32" t="s">
        <v>34</v>
      </c>
      <c r="HA47" s="8" t="s">
        <v>34</v>
      </c>
      <c r="HB47" s="32" t="s">
        <v>34</v>
      </c>
      <c r="HC47" s="32" t="s">
        <v>34</v>
      </c>
      <c r="HD47" s="32" t="s">
        <v>34</v>
      </c>
      <c r="HE47" s="32" t="s">
        <v>34</v>
      </c>
      <c r="HF47" s="32" t="s">
        <v>34</v>
      </c>
      <c r="HG47" s="32" t="s">
        <v>34</v>
      </c>
      <c r="HH47" s="32" t="s">
        <v>34</v>
      </c>
      <c r="HI47" s="32" t="s">
        <v>34</v>
      </c>
      <c r="HJ47" s="32" t="s">
        <v>34</v>
      </c>
      <c r="HK47" s="32" t="s">
        <v>34</v>
      </c>
      <c r="HL47" s="32" t="s">
        <v>34</v>
      </c>
      <c r="HM47" s="32" t="s">
        <v>34</v>
      </c>
      <c r="HN47" s="32" t="s">
        <v>34</v>
      </c>
      <c r="HO47" s="32" t="s">
        <v>34</v>
      </c>
      <c r="HP47" s="32" t="s">
        <v>34</v>
      </c>
      <c r="HQ47" s="32" t="s">
        <v>34</v>
      </c>
      <c r="HR47" s="32" t="s">
        <v>34</v>
      </c>
      <c r="HS47" s="32" t="s">
        <v>34</v>
      </c>
      <c r="HT47" s="32" t="s">
        <v>34</v>
      </c>
      <c r="HU47" s="32" t="s">
        <v>34</v>
      </c>
      <c r="HV47" s="32" t="s">
        <v>34</v>
      </c>
      <c r="HW47" s="17" t="s">
        <v>34</v>
      </c>
      <c r="HX47" s="69"/>
      <c r="HY47" s="32" t="s">
        <v>34</v>
      </c>
      <c r="HZ47" s="32" t="s">
        <v>34</v>
      </c>
      <c r="IA47" s="32" t="s">
        <v>34</v>
      </c>
      <c r="IB47" s="32" t="s">
        <v>34</v>
      </c>
      <c r="IC47" s="32" t="s">
        <v>34</v>
      </c>
      <c r="ID47" s="32" t="s">
        <v>34</v>
      </c>
      <c r="IE47" s="32" t="s">
        <v>34</v>
      </c>
      <c r="IF47" s="32" t="s">
        <v>34</v>
      </c>
      <c r="IG47" s="32" t="s">
        <v>34</v>
      </c>
      <c r="IH47" s="32" t="s">
        <v>34</v>
      </c>
      <c r="II47" s="32" t="s">
        <v>34</v>
      </c>
      <c r="IJ47" s="32" t="s">
        <v>34</v>
      </c>
      <c r="IK47" s="32" t="s">
        <v>34</v>
      </c>
      <c r="IL47" s="32" t="s">
        <v>34</v>
      </c>
      <c r="IM47" s="32" t="s">
        <v>34</v>
      </c>
      <c r="IN47" s="32" t="s">
        <v>34</v>
      </c>
      <c r="IO47" s="32" t="s">
        <v>34</v>
      </c>
      <c r="IP47" s="32" t="s">
        <v>34</v>
      </c>
      <c r="IQ47" s="8" t="s">
        <v>34</v>
      </c>
      <c r="IR47" s="32" t="s">
        <v>34</v>
      </c>
      <c r="IS47" s="32" t="s">
        <v>34</v>
      </c>
      <c r="IT47" s="32" t="s">
        <v>34</v>
      </c>
      <c r="IU47" s="32" t="s">
        <v>34</v>
      </c>
      <c r="IV47" s="32" t="s">
        <v>34</v>
      </c>
      <c r="IW47" s="32" t="s">
        <v>34</v>
      </c>
      <c r="IX47" s="32" t="s">
        <v>34</v>
      </c>
      <c r="IY47" s="32" t="s">
        <v>34</v>
      </c>
      <c r="IZ47" s="32" t="s">
        <v>34</v>
      </c>
      <c r="JA47" s="32" t="s">
        <v>34</v>
      </c>
      <c r="JB47" s="32" t="s">
        <v>34</v>
      </c>
      <c r="JC47" s="32" t="s">
        <v>34</v>
      </c>
      <c r="JD47" s="32" t="s">
        <v>34</v>
      </c>
      <c r="JE47" s="32" t="s">
        <v>34</v>
      </c>
      <c r="JF47" s="32" t="s">
        <v>34</v>
      </c>
      <c r="JG47" s="32" t="s">
        <v>34</v>
      </c>
      <c r="JH47" s="32" t="s">
        <v>34</v>
      </c>
      <c r="JI47" s="69"/>
      <c r="JJ47" s="32" t="s">
        <v>34</v>
      </c>
      <c r="JK47" s="32" t="s">
        <v>34</v>
      </c>
      <c r="JL47" s="32" t="s">
        <v>34</v>
      </c>
      <c r="JM47" s="32" t="s">
        <v>34</v>
      </c>
      <c r="JN47" s="32" t="s">
        <v>34</v>
      </c>
      <c r="JO47" s="32" t="s">
        <v>34</v>
      </c>
      <c r="JP47" s="32" t="s">
        <v>34</v>
      </c>
      <c r="JQ47" s="32" t="s">
        <v>34</v>
      </c>
      <c r="JR47" s="32" t="s">
        <v>34</v>
      </c>
      <c r="JS47" s="32" t="s">
        <v>34</v>
      </c>
      <c r="JT47" s="32" t="s">
        <v>34</v>
      </c>
      <c r="JU47" s="69"/>
      <c r="JV47" s="32" t="s">
        <v>34</v>
      </c>
      <c r="JW47" s="32" t="s">
        <v>34</v>
      </c>
      <c r="JX47" s="32" t="s">
        <v>34</v>
      </c>
      <c r="JY47" s="32" t="s">
        <v>34</v>
      </c>
      <c r="JZ47" s="32" t="s">
        <v>34</v>
      </c>
      <c r="KA47" s="32" t="s">
        <v>34</v>
      </c>
      <c r="KB47" s="32" t="s">
        <v>34</v>
      </c>
      <c r="KC47" s="32" t="s">
        <v>34</v>
      </c>
      <c r="KD47" s="32" t="s">
        <v>34</v>
      </c>
      <c r="KE47" s="32" t="s">
        <v>34</v>
      </c>
      <c r="KF47" s="32" t="s">
        <v>34</v>
      </c>
      <c r="KG47" s="32" t="s">
        <v>34</v>
      </c>
      <c r="KH47" s="32" t="s">
        <v>34</v>
      </c>
      <c r="KI47" s="32" t="s">
        <v>34</v>
      </c>
      <c r="KJ47" s="32" t="s">
        <v>34</v>
      </c>
      <c r="KK47" s="32" t="s">
        <v>34</v>
      </c>
      <c r="KL47" s="32" t="s">
        <v>34</v>
      </c>
      <c r="KM47" s="69"/>
      <c r="KN47" s="32" t="s">
        <v>34</v>
      </c>
      <c r="KO47" s="32" t="s">
        <v>34</v>
      </c>
      <c r="KP47" s="32" t="s">
        <v>34</v>
      </c>
      <c r="KQ47" s="32" t="s">
        <v>34</v>
      </c>
      <c r="KR47" s="32" t="s">
        <v>34</v>
      </c>
      <c r="KS47" s="32" t="s">
        <v>34</v>
      </c>
      <c r="KT47" s="32" t="s">
        <v>34</v>
      </c>
      <c r="KU47" s="32" t="s">
        <v>34</v>
      </c>
      <c r="KV47" s="32" t="s">
        <v>34</v>
      </c>
      <c r="KW47" s="32" t="s">
        <v>34</v>
      </c>
      <c r="KX47" s="32" t="s">
        <v>34</v>
      </c>
      <c r="KY47" s="32" t="s">
        <v>34</v>
      </c>
      <c r="KZ47" s="32" t="s">
        <v>34</v>
      </c>
      <c r="LA47" s="32" t="s">
        <v>34</v>
      </c>
      <c r="LB47" s="32" t="s">
        <v>34</v>
      </c>
      <c r="LC47" s="32" t="s">
        <v>34</v>
      </c>
      <c r="LD47" s="32" t="s">
        <v>34</v>
      </c>
      <c r="LE47" s="32" t="s">
        <v>34</v>
      </c>
      <c r="LF47" s="32" t="s">
        <v>34</v>
      </c>
      <c r="LG47" s="32" t="s">
        <v>34</v>
      </c>
      <c r="LH47" s="69"/>
      <c r="LI47" s="32" t="s">
        <v>34</v>
      </c>
      <c r="LJ47" s="32" t="s">
        <v>34</v>
      </c>
      <c r="LK47" s="32" t="s">
        <v>34</v>
      </c>
      <c r="LL47" s="32" t="s">
        <v>34</v>
      </c>
      <c r="LM47" s="32" t="s">
        <v>34</v>
      </c>
      <c r="LN47" s="69"/>
      <c r="LO47" s="32" t="s">
        <v>34</v>
      </c>
      <c r="LP47" s="32" t="s">
        <v>34</v>
      </c>
      <c r="LQ47" s="32" t="s">
        <v>34</v>
      </c>
      <c r="LR47" s="32" t="s">
        <v>34</v>
      </c>
      <c r="LS47" s="32" t="s">
        <v>34</v>
      </c>
      <c r="LT47" s="32" t="s">
        <v>34</v>
      </c>
      <c r="LU47" s="32" t="s">
        <v>34</v>
      </c>
      <c r="LV47" s="32" t="s">
        <v>34</v>
      </c>
      <c r="LW47" s="32" t="s">
        <v>34</v>
      </c>
      <c r="LX47" s="32" t="s">
        <v>34</v>
      </c>
      <c r="LY47" s="32" t="s">
        <v>34</v>
      </c>
      <c r="LZ47" s="32" t="s">
        <v>34</v>
      </c>
      <c r="MA47" s="32" t="s">
        <v>34</v>
      </c>
      <c r="MB47" s="32" t="s">
        <v>34</v>
      </c>
      <c r="MC47" s="32" t="s">
        <v>34</v>
      </c>
      <c r="MD47" s="32" t="s">
        <v>34</v>
      </c>
      <c r="ME47" s="32" t="s">
        <v>34</v>
      </c>
      <c r="MF47" s="32" t="s">
        <v>34</v>
      </c>
      <c r="MG47" s="8" t="s">
        <v>34</v>
      </c>
      <c r="MH47" s="32" t="s">
        <v>34</v>
      </c>
      <c r="MI47" s="32" t="s">
        <v>34</v>
      </c>
      <c r="MJ47" s="32" t="s">
        <v>34</v>
      </c>
      <c r="MK47" s="32" t="s">
        <v>34</v>
      </c>
      <c r="ML47" s="32" t="s">
        <v>34</v>
      </c>
      <c r="MM47" s="32" t="s">
        <v>34</v>
      </c>
      <c r="MN47" s="32" t="s">
        <v>34</v>
      </c>
      <c r="MO47" s="32" t="s">
        <v>34</v>
      </c>
      <c r="MP47" s="32" t="s">
        <v>34</v>
      </c>
      <c r="MQ47" s="32" t="s">
        <v>34</v>
      </c>
      <c r="MR47" s="32" t="s">
        <v>34</v>
      </c>
      <c r="MS47" s="32" t="s">
        <v>34</v>
      </c>
      <c r="MT47" s="32" t="s">
        <v>34</v>
      </c>
      <c r="MU47" s="32" t="s">
        <v>34</v>
      </c>
      <c r="MV47" s="32" t="s">
        <v>34</v>
      </c>
      <c r="MW47" s="32" t="s">
        <v>34</v>
      </c>
      <c r="MX47" s="32" t="s">
        <v>34</v>
      </c>
      <c r="MY47" s="32" t="s">
        <v>34</v>
      </c>
      <c r="MZ47" s="32" t="s">
        <v>34</v>
      </c>
      <c r="NA47" s="32" t="s">
        <v>34</v>
      </c>
      <c r="NB47" s="17" t="s">
        <v>34</v>
      </c>
      <c r="NC47" s="69"/>
      <c r="ND47" s="32" t="s">
        <v>34</v>
      </c>
      <c r="NE47" s="32" t="s">
        <v>34</v>
      </c>
      <c r="NF47" s="32" t="s">
        <v>34</v>
      </c>
      <c r="NG47" s="32" t="s">
        <v>34</v>
      </c>
      <c r="NH47" s="32" t="s">
        <v>34</v>
      </c>
      <c r="NI47" s="32" t="s">
        <v>34</v>
      </c>
      <c r="NJ47" s="32" t="s">
        <v>34</v>
      </c>
      <c r="NK47" s="32" t="s">
        <v>34</v>
      </c>
      <c r="NL47" s="32" t="s">
        <v>34</v>
      </c>
      <c r="NM47" s="32" t="s">
        <v>34</v>
      </c>
      <c r="NN47" s="32" t="s">
        <v>34</v>
      </c>
      <c r="NO47" s="32" t="s">
        <v>34</v>
      </c>
      <c r="NP47" s="32" t="s">
        <v>34</v>
      </c>
      <c r="NQ47" s="32" t="s">
        <v>34</v>
      </c>
      <c r="NR47" s="32" t="s">
        <v>34</v>
      </c>
      <c r="NS47" s="32" t="s">
        <v>34</v>
      </c>
      <c r="NT47" s="32" t="s">
        <v>34</v>
      </c>
      <c r="NU47" s="32" t="s">
        <v>34</v>
      </c>
      <c r="NV47" s="8" t="s">
        <v>34</v>
      </c>
      <c r="NW47" s="32" t="s">
        <v>34</v>
      </c>
      <c r="NX47" s="32" t="s">
        <v>34</v>
      </c>
      <c r="NY47" s="32" t="s">
        <v>34</v>
      </c>
      <c r="NZ47" s="32" t="s">
        <v>34</v>
      </c>
      <c r="OA47" s="32" t="s">
        <v>34</v>
      </c>
      <c r="OB47" s="32" t="s">
        <v>34</v>
      </c>
      <c r="OC47" s="32" t="s">
        <v>34</v>
      </c>
      <c r="OD47" s="32" t="s">
        <v>34</v>
      </c>
      <c r="OE47" s="32" t="s">
        <v>34</v>
      </c>
      <c r="OF47" s="32" t="s">
        <v>34</v>
      </c>
      <c r="OG47" s="32" t="s">
        <v>34</v>
      </c>
      <c r="OH47" s="32" t="s">
        <v>34</v>
      </c>
      <c r="OI47" s="32" t="s">
        <v>34</v>
      </c>
      <c r="OJ47" s="32" t="s">
        <v>34</v>
      </c>
      <c r="OK47" s="32" t="s">
        <v>34</v>
      </c>
      <c r="OL47" s="32" t="s">
        <v>34</v>
      </c>
      <c r="OM47" s="32" t="s">
        <v>34</v>
      </c>
      <c r="ON47" s="69"/>
      <c r="OO47" s="32" t="s">
        <v>34</v>
      </c>
      <c r="OP47" s="32" t="s">
        <v>34</v>
      </c>
      <c r="OQ47" s="32" t="s">
        <v>34</v>
      </c>
      <c r="OR47" s="32" t="s">
        <v>34</v>
      </c>
      <c r="OS47" s="32" t="s">
        <v>34</v>
      </c>
      <c r="OT47" s="32" t="s">
        <v>34</v>
      </c>
      <c r="OU47" s="32" t="s">
        <v>34</v>
      </c>
      <c r="OV47" s="32" t="s">
        <v>34</v>
      </c>
      <c r="OW47" s="32" t="s">
        <v>34</v>
      </c>
      <c r="OX47" s="32" t="s">
        <v>34</v>
      </c>
      <c r="OY47" s="32" t="s">
        <v>34</v>
      </c>
    </row>
    <row r="48" spans="1:415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9"/>
      <c r="K48" s="32" t="s">
        <v>34</v>
      </c>
      <c r="L48" s="32" t="s">
        <v>34</v>
      </c>
      <c r="M48" s="32" t="s">
        <v>34</v>
      </c>
      <c r="N48" s="32" t="s">
        <v>34</v>
      </c>
      <c r="O48" s="32" t="s">
        <v>34</v>
      </c>
      <c r="P48" s="32" t="s">
        <v>34</v>
      </c>
      <c r="Q48" s="32" t="s">
        <v>34</v>
      </c>
      <c r="R48" s="32" t="s">
        <v>34</v>
      </c>
      <c r="S48" s="32" t="s">
        <v>34</v>
      </c>
      <c r="T48" s="32" t="s">
        <v>34</v>
      </c>
      <c r="U48" s="32" t="s">
        <v>34</v>
      </c>
      <c r="V48" s="32" t="s">
        <v>34</v>
      </c>
      <c r="W48" s="32" t="s">
        <v>34</v>
      </c>
      <c r="X48" s="32" t="s">
        <v>34</v>
      </c>
      <c r="Y48" s="32" t="s">
        <v>34</v>
      </c>
      <c r="Z48" s="32" t="s">
        <v>34</v>
      </c>
      <c r="AA48" s="32" t="s">
        <v>34</v>
      </c>
      <c r="AB48" s="69"/>
      <c r="AC48" s="32" t="s">
        <v>34</v>
      </c>
      <c r="AD48" s="32" t="s">
        <v>34</v>
      </c>
      <c r="AE48" s="32" t="s">
        <v>34</v>
      </c>
      <c r="AF48" s="32" t="s">
        <v>34</v>
      </c>
      <c r="AG48" s="32" t="s">
        <v>34</v>
      </c>
      <c r="AH48" s="32" t="s">
        <v>34</v>
      </c>
      <c r="AI48" s="32" t="s">
        <v>34</v>
      </c>
      <c r="AJ48" s="32" t="s">
        <v>34</v>
      </c>
      <c r="AK48" s="32" t="s">
        <v>34</v>
      </c>
      <c r="AL48" s="32" t="s">
        <v>34</v>
      </c>
      <c r="AM48" s="32" t="s">
        <v>34</v>
      </c>
      <c r="AN48" s="32" t="s">
        <v>34</v>
      </c>
      <c r="AO48" s="32" t="s">
        <v>34</v>
      </c>
      <c r="AP48" s="32" t="s">
        <v>34</v>
      </c>
      <c r="AQ48" s="32" t="s">
        <v>34</v>
      </c>
      <c r="AR48" s="32" t="s">
        <v>34</v>
      </c>
      <c r="AS48" s="32" t="s">
        <v>34</v>
      </c>
      <c r="AT48" s="32" t="s">
        <v>34</v>
      </c>
      <c r="AU48" s="32" t="s">
        <v>34</v>
      </c>
      <c r="AV48" s="32" t="s">
        <v>34</v>
      </c>
      <c r="AW48" s="69"/>
      <c r="AX48" s="32" t="s">
        <v>34</v>
      </c>
      <c r="AY48" s="32" t="s">
        <v>34</v>
      </c>
      <c r="AZ48" s="32" t="s">
        <v>34</v>
      </c>
      <c r="BA48" s="32" t="s">
        <v>34</v>
      </c>
      <c r="BB48" s="32" t="s">
        <v>34</v>
      </c>
      <c r="BC48" s="69"/>
      <c r="BD48" s="32" t="s">
        <v>34</v>
      </c>
      <c r="BE48" s="32" t="s">
        <v>34</v>
      </c>
      <c r="BF48" s="32" t="s">
        <v>34</v>
      </c>
      <c r="BG48" s="32" t="s">
        <v>34</v>
      </c>
      <c r="BH48" s="32" t="s">
        <v>34</v>
      </c>
      <c r="BI48" s="32" t="s">
        <v>34</v>
      </c>
      <c r="BJ48" s="32" t="s">
        <v>34</v>
      </c>
      <c r="BK48" s="32" t="s">
        <v>34</v>
      </c>
      <c r="BL48" s="32" t="s">
        <v>34</v>
      </c>
      <c r="BM48" s="32" t="s">
        <v>34</v>
      </c>
      <c r="BN48" s="32" t="s">
        <v>34</v>
      </c>
      <c r="BO48" s="32" t="s">
        <v>34</v>
      </c>
      <c r="BP48" s="32" t="s">
        <v>34</v>
      </c>
      <c r="BQ48" s="32" t="s">
        <v>34</v>
      </c>
      <c r="BR48" s="32" t="s">
        <v>34</v>
      </c>
      <c r="BS48" s="32" t="s">
        <v>34</v>
      </c>
      <c r="BT48" s="32" t="s">
        <v>34</v>
      </c>
      <c r="BU48" s="32" t="s">
        <v>34</v>
      </c>
      <c r="BV48" s="8" t="s">
        <v>34</v>
      </c>
      <c r="BW48" s="32" t="s">
        <v>34</v>
      </c>
      <c r="BX48" s="32" t="s">
        <v>34</v>
      </c>
      <c r="BY48" s="32" t="s">
        <v>34</v>
      </c>
      <c r="BZ48" s="32" t="s">
        <v>34</v>
      </c>
      <c r="CA48" s="32" t="s">
        <v>34</v>
      </c>
      <c r="CB48" s="32" t="s">
        <v>34</v>
      </c>
      <c r="CC48" s="32" t="s">
        <v>34</v>
      </c>
      <c r="CD48" s="32" t="s">
        <v>34</v>
      </c>
      <c r="CE48" s="32" t="s">
        <v>34</v>
      </c>
      <c r="CF48" s="32" t="s">
        <v>34</v>
      </c>
      <c r="CG48" s="32" t="s">
        <v>34</v>
      </c>
      <c r="CH48" s="32" t="s">
        <v>34</v>
      </c>
      <c r="CI48" s="32" t="s">
        <v>34</v>
      </c>
      <c r="CJ48" s="32" t="s">
        <v>34</v>
      </c>
      <c r="CK48" s="32" t="s">
        <v>34</v>
      </c>
      <c r="CL48" s="32" t="s">
        <v>34</v>
      </c>
      <c r="CM48" s="32" t="s">
        <v>34</v>
      </c>
      <c r="CN48" s="32" t="s">
        <v>34</v>
      </c>
      <c r="CO48" s="32" t="s">
        <v>34</v>
      </c>
      <c r="CP48" s="32" t="s">
        <v>34</v>
      </c>
      <c r="CQ48" s="17" t="s">
        <v>34</v>
      </c>
      <c r="CR48" s="69"/>
      <c r="CS48" s="32" t="s">
        <v>34</v>
      </c>
      <c r="CT48" s="32" t="s">
        <v>34</v>
      </c>
      <c r="CU48" s="32" t="s">
        <v>34</v>
      </c>
      <c r="CV48" s="32" t="s">
        <v>34</v>
      </c>
      <c r="CW48" s="32" t="s">
        <v>34</v>
      </c>
      <c r="CX48" s="32" t="s">
        <v>34</v>
      </c>
      <c r="CY48" s="32" t="s">
        <v>34</v>
      </c>
      <c r="CZ48" s="32" t="s">
        <v>34</v>
      </c>
      <c r="DA48" s="32" t="s">
        <v>34</v>
      </c>
      <c r="DB48" s="32" t="s">
        <v>34</v>
      </c>
      <c r="DC48" s="32" t="s">
        <v>34</v>
      </c>
      <c r="DD48" s="32" t="s">
        <v>34</v>
      </c>
      <c r="DE48" s="32" t="s">
        <v>34</v>
      </c>
      <c r="DF48" s="32" t="s">
        <v>34</v>
      </c>
      <c r="DG48" s="32" t="s">
        <v>34</v>
      </c>
      <c r="DH48" s="32" t="s">
        <v>34</v>
      </c>
      <c r="DI48" s="32" t="s">
        <v>34</v>
      </c>
      <c r="DJ48" s="32" t="s">
        <v>34</v>
      </c>
      <c r="DK48" s="8" t="s">
        <v>34</v>
      </c>
      <c r="DL48" s="32" t="s">
        <v>34</v>
      </c>
      <c r="DM48" s="32" t="s">
        <v>34</v>
      </c>
      <c r="DN48" s="32" t="s">
        <v>34</v>
      </c>
      <c r="DO48" s="32" t="s">
        <v>34</v>
      </c>
      <c r="DP48" s="32" t="s">
        <v>34</v>
      </c>
      <c r="DQ48" s="32" t="s">
        <v>34</v>
      </c>
      <c r="DR48" s="32" t="s">
        <v>34</v>
      </c>
      <c r="DS48" s="32" t="s">
        <v>34</v>
      </c>
      <c r="DT48" s="32" t="s">
        <v>34</v>
      </c>
      <c r="DU48" s="32" t="s">
        <v>34</v>
      </c>
      <c r="DV48" s="32" t="s">
        <v>34</v>
      </c>
      <c r="DW48" s="32" t="s">
        <v>34</v>
      </c>
      <c r="DX48" s="32" t="s">
        <v>34</v>
      </c>
      <c r="DY48" s="32" t="s">
        <v>34</v>
      </c>
      <c r="DZ48" s="32" t="s">
        <v>34</v>
      </c>
      <c r="EA48" s="32" t="s">
        <v>34</v>
      </c>
      <c r="EB48" s="32" t="s">
        <v>34</v>
      </c>
      <c r="EC48" s="69"/>
      <c r="ED48" s="32" t="s">
        <v>34</v>
      </c>
      <c r="EE48" s="32" t="s">
        <v>34</v>
      </c>
      <c r="EF48" s="32" t="s">
        <v>34</v>
      </c>
      <c r="EG48" s="32" t="s">
        <v>34</v>
      </c>
      <c r="EH48" s="32" t="s">
        <v>34</v>
      </c>
      <c r="EI48" s="32" t="s">
        <v>34</v>
      </c>
      <c r="EJ48" s="32" t="s">
        <v>34</v>
      </c>
      <c r="EK48" s="32" t="s">
        <v>34</v>
      </c>
      <c r="EL48" s="32" t="s">
        <v>34</v>
      </c>
      <c r="EM48" s="32" t="s">
        <v>34</v>
      </c>
      <c r="EN48" s="32" t="s">
        <v>34</v>
      </c>
      <c r="EO48" s="69"/>
      <c r="EP48" s="32" t="s">
        <v>34</v>
      </c>
      <c r="EQ48" s="32" t="s">
        <v>34</v>
      </c>
      <c r="ER48" s="32" t="s">
        <v>34</v>
      </c>
      <c r="ES48" s="32" t="s">
        <v>34</v>
      </c>
      <c r="ET48" s="32" t="s">
        <v>34</v>
      </c>
      <c r="EU48" s="32" t="s">
        <v>34</v>
      </c>
      <c r="EV48" s="32" t="s">
        <v>34</v>
      </c>
      <c r="EW48" s="32" t="s">
        <v>34</v>
      </c>
      <c r="EX48" s="32" t="s">
        <v>34</v>
      </c>
      <c r="EY48" s="32" t="s">
        <v>34</v>
      </c>
      <c r="EZ48" s="32" t="s">
        <v>34</v>
      </c>
      <c r="FA48" s="32" t="s">
        <v>34</v>
      </c>
      <c r="FB48" s="32" t="s">
        <v>34</v>
      </c>
      <c r="FC48" s="32" t="s">
        <v>34</v>
      </c>
      <c r="FD48" s="32" t="s">
        <v>34</v>
      </c>
      <c r="FE48" s="32" t="s">
        <v>34</v>
      </c>
      <c r="FF48" s="32" t="s">
        <v>34</v>
      </c>
      <c r="FG48" s="69"/>
      <c r="FH48" s="32" t="s">
        <v>34</v>
      </c>
      <c r="FI48" s="32" t="s">
        <v>34</v>
      </c>
      <c r="FJ48" s="32" t="s">
        <v>34</v>
      </c>
      <c r="FK48" s="32" t="s">
        <v>34</v>
      </c>
      <c r="FL48" s="32" t="s">
        <v>34</v>
      </c>
      <c r="FM48" s="32" t="s">
        <v>34</v>
      </c>
      <c r="FN48" s="32" t="s">
        <v>34</v>
      </c>
      <c r="FO48" s="32" t="s">
        <v>34</v>
      </c>
      <c r="FP48" s="32" t="s">
        <v>34</v>
      </c>
      <c r="FQ48" s="32" t="s">
        <v>34</v>
      </c>
      <c r="FR48" s="32" t="s">
        <v>34</v>
      </c>
      <c r="FS48" s="32" t="s">
        <v>34</v>
      </c>
      <c r="FT48" s="32" t="s">
        <v>34</v>
      </c>
      <c r="FU48" s="32" t="s">
        <v>34</v>
      </c>
      <c r="FV48" s="32" t="s">
        <v>34</v>
      </c>
      <c r="FW48" s="32" t="s">
        <v>34</v>
      </c>
      <c r="FX48" s="32" t="s">
        <v>34</v>
      </c>
      <c r="FY48" s="32" t="s">
        <v>34</v>
      </c>
      <c r="FZ48" s="32" t="s">
        <v>34</v>
      </c>
      <c r="GA48" s="32" t="s">
        <v>34</v>
      </c>
      <c r="GB48" s="69"/>
      <c r="GC48" s="32" t="s">
        <v>34</v>
      </c>
      <c r="GD48" s="32" t="s">
        <v>34</v>
      </c>
      <c r="GE48" s="32" t="s">
        <v>34</v>
      </c>
      <c r="GF48" s="32" t="s">
        <v>34</v>
      </c>
      <c r="GG48" s="32" t="s">
        <v>34</v>
      </c>
      <c r="GH48" s="69"/>
      <c r="GI48" s="32" t="s">
        <v>34</v>
      </c>
      <c r="GJ48" s="32" t="s">
        <v>34</v>
      </c>
      <c r="GK48" s="32" t="s">
        <v>34</v>
      </c>
      <c r="GL48" s="32" t="s">
        <v>34</v>
      </c>
      <c r="GM48" s="32" t="s">
        <v>34</v>
      </c>
      <c r="GN48" s="32" t="s">
        <v>34</v>
      </c>
      <c r="GO48" s="32" t="s">
        <v>34</v>
      </c>
      <c r="GP48" s="32" t="s">
        <v>34</v>
      </c>
      <c r="GQ48" s="32" t="s">
        <v>34</v>
      </c>
      <c r="GR48" s="32" t="s">
        <v>34</v>
      </c>
      <c r="GS48" s="32" t="s">
        <v>34</v>
      </c>
      <c r="GT48" s="32" t="s">
        <v>34</v>
      </c>
      <c r="GU48" s="32" t="s">
        <v>34</v>
      </c>
      <c r="GV48" s="32" t="s">
        <v>34</v>
      </c>
      <c r="GW48" s="32" t="s">
        <v>34</v>
      </c>
      <c r="GX48" s="32" t="s">
        <v>34</v>
      </c>
      <c r="GY48" s="32" t="s">
        <v>34</v>
      </c>
      <c r="GZ48" s="32" t="s">
        <v>34</v>
      </c>
      <c r="HA48" s="8" t="s">
        <v>34</v>
      </c>
      <c r="HB48" s="32" t="s">
        <v>34</v>
      </c>
      <c r="HC48" s="32" t="s">
        <v>34</v>
      </c>
      <c r="HD48" s="32" t="s">
        <v>34</v>
      </c>
      <c r="HE48" s="32" t="s">
        <v>34</v>
      </c>
      <c r="HF48" s="32" t="s">
        <v>34</v>
      </c>
      <c r="HG48" s="32" t="s">
        <v>34</v>
      </c>
      <c r="HH48" s="32" t="s">
        <v>34</v>
      </c>
      <c r="HI48" s="32" t="s">
        <v>34</v>
      </c>
      <c r="HJ48" s="32" t="s">
        <v>34</v>
      </c>
      <c r="HK48" s="32" t="s">
        <v>34</v>
      </c>
      <c r="HL48" s="32" t="s">
        <v>34</v>
      </c>
      <c r="HM48" s="32" t="s">
        <v>34</v>
      </c>
      <c r="HN48" s="32" t="s">
        <v>34</v>
      </c>
      <c r="HO48" s="32" t="s">
        <v>34</v>
      </c>
      <c r="HP48" s="32" t="s">
        <v>34</v>
      </c>
      <c r="HQ48" s="32" t="s">
        <v>34</v>
      </c>
      <c r="HR48" s="32" t="s">
        <v>34</v>
      </c>
      <c r="HS48" s="32" t="s">
        <v>34</v>
      </c>
      <c r="HT48" s="32" t="s">
        <v>34</v>
      </c>
      <c r="HU48" s="32" t="s">
        <v>34</v>
      </c>
      <c r="HV48" s="32" t="s">
        <v>34</v>
      </c>
      <c r="HW48" s="17" t="s">
        <v>34</v>
      </c>
      <c r="HX48" s="69"/>
      <c r="HY48" s="32" t="s">
        <v>34</v>
      </c>
      <c r="HZ48" s="32" t="s">
        <v>34</v>
      </c>
      <c r="IA48" s="32" t="s">
        <v>34</v>
      </c>
      <c r="IB48" s="32" t="s">
        <v>34</v>
      </c>
      <c r="IC48" s="32" t="s">
        <v>34</v>
      </c>
      <c r="ID48" s="32" t="s">
        <v>34</v>
      </c>
      <c r="IE48" s="32" t="s">
        <v>34</v>
      </c>
      <c r="IF48" s="32" t="s">
        <v>34</v>
      </c>
      <c r="IG48" s="32" t="s">
        <v>34</v>
      </c>
      <c r="IH48" s="32" t="s">
        <v>34</v>
      </c>
      <c r="II48" s="32" t="s">
        <v>34</v>
      </c>
      <c r="IJ48" s="32" t="s">
        <v>34</v>
      </c>
      <c r="IK48" s="32" t="s">
        <v>34</v>
      </c>
      <c r="IL48" s="32" t="s">
        <v>34</v>
      </c>
      <c r="IM48" s="32" t="s">
        <v>34</v>
      </c>
      <c r="IN48" s="32" t="s">
        <v>34</v>
      </c>
      <c r="IO48" s="32" t="s">
        <v>34</v>
      </c>
      <c r="IP48" s="32" t="s">
        <v>34</v>
      </c>
      <c r="IQ48" s="8" t="s">
        <v>34</v>
      </c>
      <c r="IR48" s="32" t="s">
        <v>34</v>
      </c>
      <c r="IS48" s="32" t="s">
        <v>34</v>
      </c>
      <c r="IT48" s="32" t="s">
        <v>34</v>
      </c>
      <c r="IU48" s="32" t="s">
        <v>34</v>
      </c>
      <c r="IV48" s="32" t="s">
        <v>34</v>
      </c>
      <c r="IW48" s="32" t="s">
        <v>34</v>
      </c>
      <c r="IX48" s="32" t="s">
        <v>34</v>
      </c>
      <c r="IY48" s="32" t="s">
        <v>34</v>
      </c>
      <c r="IZ48" s="32" t="s">
        <v>34</v>
      </c>
      <c r="JA48" s="32" t="s">
        <v>34</v>
      </c>
      <c r="JB48" s="32" t="s">
        <v>34</v>
      </c>
      <c r="JC48" s="32" t="s">
        <v>34</v>
      </c>
      <c r="JD48" s="32" t="s">
        <v>34</v>
      </c>
      <c r="JE48" s="32" t="s">
        <v>34</v>
      </c>
      <c r="JF48" s="32" t="s">
        <v>34</v>
      </c>
      <c r="JG48" s="32" t="s">
        <v>34</v>
      </c>
      <c r="JH48" s="32" t="s">
        <v>34</v>
      </c>
      <c r="JI48" s="69"/>
      <c r="JJ48" s="32" t="s">
        <v>34</v>
      </c>
      <c r="JK48" s="32" t="s">
        <v>34</v>
      </c>
      <c r="JL48" s="32" t="s">
        <v>34</v>
      </c>
      <c r="JM48" s="32" t="s">
        <v>34</v>
      </c>
      <c r="JN48" s="32" t="s">
        <v>34</v>
      </c>
      <c r="JO48" s="32" t="s">
        <v>34</v>
      </c>
      <c r="JP48" s="32" t="s">
        <v>34</v>
      </c>
      <c r="JQ48" s="32" t="s">
        <v>34</v>
      </c>
      <c r="JR48" s="32" t="s">
        <v>34</v>
      </c>
      <c r="JS48" s="32" t="s">
        <v>34</v>
      </c>
      <c r="JT48" s="32" t="s">
        <v>34</v>
      </c>
      <c r="JU48" s="69"/>
      <c r="JV48" s="32" t="s">
        <v>34</v>
      </c>
      <c r="JW48" s="32" t="s">
        <v>34</v>
      </c>
      <c r="JX48" s="32" t="s">
        <v>34</v>
      </c>
      <c r="JY48" s="32" t="s">
        <v>34</v>
      </c>
      <c r="JZ48" s="32" t="s">
        <v>34</v>
      </c>
      <c r="KA48" s="32" t="s">
        <v>34</v>
      </c>
      <c r="KB48" s="32" t="s">
        <v>34</v>
      </c>
      <c r="KC48" s="32" t="s">
        <v>34</v>
      </c>
      <c r="KD48" s="32" t="s">
        <v>34</v>
      </c>
      <c r="KE48" s="32" t="s">
        <v>34</v>
      </c>
      <c r="KF48" s="32" t="s">
        <v>34</v>
      </c>
      <c r="KG48" s="32" t="s">
        <v>34</v>
      </c>
      <c r="KH48" s="32" t="s">
        <v>34</v>
      </c>
      <c r="KI48" s="32" t="s">
        <v>34</v>
      </c>
      <c r="KJ48" s="32" t="s">
        <v>34</v>
      </c>
      <c r="KK48" s="32" t="s">
        <v>34</v>
      </c>
      <c r="KL48" s="32" t="s">
        <v>34</v>
      </c>
      <c r="KM48" s="69"/>
      <c r="KN48" s="32" t="s">
        <v>34</v>
      </c>
      <c r="KO48" s="32" t="s">
        <v>34</v>
      </c>
      <c r="KP48" s="32" t="s">
        <v>34</v>
      </c>
      <c r="KQ48" s="32" t="s">
        <v>34</v>
      </c>
      <c r="KR48" s="32" t="s">
        <v>34</v>
      </c>
      <c r="KS48" s="32" t="s">
        <v>34</v>
      </c>
      <c r="KT48" s="32" t="s">
        <v>34</v>
      </c>
      <c r="KU48" s="32" t="s">
        <v>34</v>
      </c>
      <c r="KV48" s="32" t="s">
        <v>34</v>
      </c>
      <c r="KW48" s="32" t="s">
        <v>34</v>
      </c>
      <c r="KX48" s="32" t="s">
        <v>34</v>
      </c>
      <c r="KY48" s="32" t="s">
        <v>34</v>
      </c>
      <c r="KZ48" s="32" t="s">
        <v>34</v>
      </c>
      <c r="LA48" s="32" t="s">
        <v>34</v>
      </c>
      <c r="LB48" s="32" t="s">
        <v>34</v>
      </c>
      <c r="LC48" s="32" t="s">
        <v>34</v>
      </c>
      <c r="LD48" s="32" t="s">
        <v>34</v>
      </c>
      <c r="LE48" s="32" t="s">
        <v>34</v>
      </c>
      <c r="LF48" s="32" t="s">
        <v>34</v>
      </c>
      <c r="LG48" s="32" t="s">
        <v>34</v>
      </c>
      <c r="LH48" s="69"/>
      <c r="LI48" s="32" t="s">
        <v>34</v>
      </c>
      <c r="LJ48" s="32" t="s">
        <v>34</v>
      </c>
      <c r="LK48" s="32" t="s">
        <v>34</v>
      </c>
      <c r="LL48" s="32" t="s">
        <v>34</v>
      </c>
      <c r="LM48" s="32" t="s">
        <v>34</v>
      </c>
      <c r="LN48" s="69"/>
      <c r="LO48" s="32" t="s">
        <v>34</v>
      </c>
      <c r="LP48" s="32" t="s">
        <v>34</v>
      </c>
      <c r="LQ48" s="32" t="s">
        <v>34</v>
      </c>
      <c r="LR48" s="32" t="s">
        <v>34</v>
      </c>
      <c r="LS48" s="32" t="s">
        <v>34</v>
      </c>
      <c r="LT48" s="32" t="s">
        <v>34</v>
      </c>
      <c r="LU48" s="32" t="s">
        <v>34</v>
      </c>
      <c r="LV48" s="32" t="s">
        <v>34</v>
      </c>
      <c r="LW48" s="32" t="s">
        <v>34</v>
      </c>
      <c r="LX48" s="32" t="s">
        <v>34</v>
      </c>
      <c r="LY48" s="32" t="s">
        <v>34</v>
      </c>
      <c r="LZ48" s="32" t="s">
        <v>34</v>
      </c>
      <c r="MA48" s="32" t="s">
        <v>34</v>
      </c>
      <c r="MB48" s="32" t="s">
        <v>34</v>
      </c>
      <c r="MC48" s="32" t="s">
        <v>34</v>
      </c>
      <c r="MD48" s="32" t="s">
        <v>34</v>
      </c>
      <c r="ME48" s="32" t="s">
        <v>34</v>
      </c>
      <c r="MF48" s="32" t="s">
        <v>34</v>
      </c>
      <c r="MG48" s="8" t="s">
        <v>34</v>
      </c>
      <c r="MH48" s="32" t="s">
        <v>34</v>
      </c>
      <c r="MI48" s="32" t="s">
        <v>34</v>
      </c>
      <c r="MJ48" s="32" t="s">
        <v>34</v>
      </c>
      <c r="MK48" s="32" t="s">
        <v>34</v>
      </c>
      <c r="ML48" s="32" t="s">
        <v>34</v>
      </c>
      <c r="MM48" s="32" t="s">
        <v>34</v>
      </c>
      <c r="MN48" s="32" t="s">
        <v>34</v>
      </c>
      <c r="MO48" s="32" t="s">
        <v>34</v>
      </c>
      <c r="MP48" s="32" t="s">
        <v>34</v>
      </c>
      <c r="MQ48" s="32" t="s">
        <v>34</v>
      </c>
      <c r="MR48" s="32" t="s">
        <v>34</v>
      </c>
      <c r="MS48" s="32" t="s">
        <v>34</v>
      </c>
      <c r="MT48" s="32" t="s">
        <v>34</v>
      </c>
      <c r="MU48" s="32" t="s">
        <v>34</v>
      </c>
      <c r="MV48" s="32" t="s">
        <v>34</v>
      </c>
      <c r="MW48" s="32" t="s">
        <v>34</v>
      </c>
      <c r="MX48" s="32" t="s">
        <v>34</v>
      </c>
      <c r="MY48" s="32" t="s">
        <v>34</v>
      </c>
      <c r="MZ48" s="32" t="s">
        <v>34</v>
      </c>
      <c r="NA48" s="32" t="s">
        <v>34</v>
      </c>
      <c r="NB48" s="17" t="s">
        <v>34</v>
      </c>
      <c r="NC48" s="69"/>
      <c r="ND48" s="32" t="s">
        <v>34</v>
      </c>
      <c r="NE48" s="32" t="s">
        <v>34</v>
      </c>
      <c r="NF48" s="32" t="s">
        <v>34</v>
      </c>
      <c r="NG48" s="32" t="s">
        <v>34</v>
      </c>
      <c r="NH48" s="32" t="s">
        <v>34</v>
      </c>
      <c r="NI48" s="32" t="s">
        <v>34</v>
      </c>
      <c r="NJ48" s="32" t="s">
        <v>34</v>
      </c>
      <c r="NK48" s="32" t="s">
        <v>34</v>
      </c>
      <c r="NL48" s="32" t="s">
        <v>34</v>
      </c>
      <c r="NM48" s="32" t="s">
        <v>34</v>
      </c>
      <c r="NN48" s="32" t="s">
        <v>34</v>
      </c>
      <c r="NO48" s="32" t="s">
        <v>34</v>
      </c>
      <c r="NP48" s="32" t="s">
        <v>34</v>
      </c>
      <c r="NQ48" s="32" t="s">
        <v>34</v>
      </c>
      <c r="NR48" s="32" t="s">
        <v>34</v>
      </c>
      <c r="NS48" s="32" t="s">
        <v>34</v>
      </c>
      <c r="NT48" s="32" t="s">
        <v>34</v>
      </c>
      <c r="NU48" s="32" t="s">
        <v>34</v>
      </c>
      <c r="NV48" s="8" t="s">
        <v>34</v>
      </c>
      <c r="NW48" s="32" t="s">
        <v>34</v>
      </c>
      <c r="NX48" s="32" t="s">
        <v>34</v>
      </c>
      <c r="NY48" s="32" t="s">
        <v>34</v>
      </c>
      <c r="NZ48" s="32" t="s">
        <v>34</v>
      </c>
      <c r="OA48" s="32" t="s">
        <v>34</v>
      </c>
      <c r="OB48" s="32" t="s">
        <v>34</v>
      </c>
      <c r="OC48" s="32" t="s">
        <v>34</v>
      </c>
      <c r="OD48" s="32" t="s">
        <v>34</v>
      </c>
      <c r="OE48" s="32" t="s">
        <v>34</v>
      </c>
      <c r="OF48" s="32" t="s">
        <v>34</v>
      </c>
      <c r="OG48" s="32" t="s">
        <v>34</v>
      </c>
      <c r="OH48" s="32" t="s">
        <v>34</v>
      </c>
      <c r="OI48" s="32" t="s">
        <v>34</v>
      </c>
      <c r="OJ48" s="32" t="s">
        <v>34</v>
      </c>
      <c r="OK48" s="32" t="s">
        <v>34</v>
      </c>
      <c r="OL48" s="32" t="s">
        <v>34</v>
      </c>
      <c r="OM48" s="32" t="s">
        <v>34</v>
      </c>
      <c r="ON48" s="69"/>
      <c r="OO48" s="32" t="s">
        <v>34</v>
      </c>
      <c r="OP48" s="32" t="s">
        <v>34</v>
      </c>
      <c r="OQ48" s="32" t="s">
        <v>34</v>
      </c>
      <c r="OR48" s="32" t="s">
        <v>34</v>
      </c>
      <c r="OS48" s="32" t="s">
        <v>34</v>
      </c>
      <c r="OT48" s="32" t="s">
        <v>34</v>
      </c>
      <c r="OU48" s="32" t="s">
        <v>34</v>
      </c>
      <c r="OV48" s="32" t="s">
        <v>34</v>
      </c>
      <c r="OW48" s="32" t="s">
        <v>34</v>
      </c>
      <c r="OX48" s="32" t="s">
        <v>34</v>
      </c>
      <c r="OY48" s="32" t="s">
        <v>34</v>
      </c>
    </row>
    <row r="49" spans="1:415" ht="15.75" x14ac:dyDescent="0.25">
      <c r="A49" s="38">
        <v>48</v>
      </c>
      <c r="B49" s="3" t="s">
        <v>328</v>
      </c>
      <c r="C49" s="3" t="s">
        <v>329</v>
      </c>
      <c r="D49" s="3">
        <v>68</v>
      </c>
      <c r="E49" s="3">
        <v>168</v>
      </c>
      <c r="F49" s="3">
        <v>27</v>
      </c>
      <c r="G49" s="12" t="s">
        <v>32</v>
      </c>
      <c r="H49" s="12" t="s">
        <v>63</v>
      </c>
      <c r="I49" s="12">
        <v>26</v>
      </c>
      <c r="J49" s="69"/>
      <c r="K49" s="32">
        <v>1082.7078329999997</v>
      </c>
      <c r="L49" s="32">
        <v>15.922174014705877</v>
      </c>
      <c r="M49" s="32">
        <v>0.28299999999999997</v>
      </c>
      <c r="N49" s="32">
        <v>560.06642692388448</v>
      </c>
      <c r="O49" s="32">
        <v>8.2362709841747712</v>
      </c>
      <c r="P49" s="32">
        <v>372.51679605249331</v>
      </c>
      <c r="Q49" s="32">
        <v>5.4781881772425489</v>
      </c>
      <c r="R49" s="32">
        <v>466.29161148818889</v>
      </c>
      <c r="S49" s="32">
        <v>6.8572295807086601</v>
      </c>
      <c r="T49" s="32">
        <v>0.38</v>
      </c>
      <c r="U49" s="32">
        <v>3.2000000000000001E-2</v>
      </c>
      <c r="V49" s="32">
        <v>40.114913735503457</v>
      </c>
      <c r="W49" s="32">
        <v>59.88508626449655</v>
      </c>
      <c r="X49" s="32">
        <v>68.367375807869848</v>
      </c>
      <c r="Y49" s="32">
        <v>87.133551371129244</v>
      </c>
      <c r="Z49" s="32">
        <v>0.49440254794193705</v>
      </c>
      <c r="AA49" s="32">
        <v>2.1899317418711073</v>
      </c>
      <c r="AB49" s="69"/>
      <c r="AC49" s="32">
        <v>536.41269599999998</v>
      </c>
      <c r="AD49" s="32">
        <v>7.8884219999999994</v>
      </c>
      <c r="AE49" s="32">
        <v>1.4999999999999999E-2</v>
      </c>
      <c r="AF49" s="32">
        <v>1236.5534519999999</v>
      </c>
      <c r="AG49" s="32">
        <v>18.184609588235293</v>
      </c>
      <c r="AH49" s="32">
        <v>0.123</v>
      </c>
      <c r="AI49" s="32">
        <v>771.63642908121824</v>
      </c>
      <c r="AJ49" s="32">
        <v>11.347594545312033</v>
      </c>
      <c r="AK49" s="32">
        <v>349.8486517918783</v>
      </c>
      <c r="AL49" s="32">
        <v>5.1448331145864454</v>
      </c>
      <c r="AM49" s="32">
        <v>560.74254043654832</v>
      </c>
      <c r="AN49" s="32">
        <v>8.2462138299492409</v>
      </c>
      <c r="AO49" s="32">
        <v>0.19600000000000001</v>
      </c>
      <c r="AP49" s="32">
        <v>3.2000000000000001E-2</v>
      </c>
      <c r="AQ49" s="32">
        <v>32.89562959551597</v>
      </c>
      <c r="AR49" s="32">
        <v>67.104370404484044</v>
      </c>
      <c r="AS49" s="32">
        <v>65.891475034168351</v>
      </c>
      <c r="AT49" s="32">
        <v>96.000156934693237</v>
      </c>
      <c r="AU49" s="32">
        <v>0.21833270329644511</v>
      </c>
      <c r="AV49" s="32">
        <v>5.663619940257175</v>
      </c>
      <c r="AW49" s="69"/>
      <c r="AX49" s="32">
        <v>31.774355848722923</v>
      </c>
      <c r="AY49" s="32">
        <v>13.266777658473284</v>
      </c>
      <c r="AZ49" s="32">
        <v>-78.817733990147772</v>
      </c>
      <c r="BA49" s="32">
        <v>-63.888888888888886</v>
      </c>
      <c r="BB49" s="32">
        <v>-19.776004425158924</v>
      </c>
      <c r="BC49" s="69"/>
      <c r="BD49" s="32">
        <v>934.93963400000007</v>
      </c>
      <c r="BE49" s="32">
        <v>13.749112264705884</v>
      </c>
      <c r="BF49" s="32">
        <v>1.6E-2</v>
      </c>
      <c r="BG49" s="32">
        <v>1619.661527</v>
      </c>
      <c r="BH49" s="32">
        <v>23.818551867647059</v>
      </c>
      <c r="BI49" s="32">
        <v>7.0000000000000007E-2</v>
      </c>
      <c r="BJ49" s="32">
        <v>1036.0857025985401</v>
      </c>
      <c r="BK49" s="32">
        <v>15.236554449978531</v>
      </c>
      <c r="BL49" s="32">
        <v>174.31515108029197</v>
      </c>
      <c r="BM49" s="32">
        <v>2.5634581041219406</v>
      </c>
      <c r="BN49" s="32">
        <v>605.20042683941608</v>
      </c>
      <c r="BO49" s="32">
        <v>8.9000062770502364</v>
      </c>
      <c r="BP49" s="32">
        <v>293.87172564077667</v>
      </c>
      <c r="BQ49" s="32">
        <v>4.3216430241290684</v>
      </c>
      <c r="BR49" s="32">
        <v>1085.407471184466</v>
      </c>
      <c r="BS49" s="32">
        <v>15.961874576242147</v>
      </c>
      <c r="BT49" s="32">
        <v>8.7999999999999995E-2</v>
      </c>
      <c r="BU49" s="32">
        <v>-187.87094244117654</v>
      </c>
      <c r="BV49" s="8">
        <v>-2.7628079770761254</v>
      </c>
      <c r="BW49" s="32">
        <v>886.66975658823526</v>
      </c>
      <c r="BX49" s="32" t="s">
        <v>34</v>
      </c>
      <c r="BY49" s="32">
        <v>4.8000000000000001E-2</v>
      </c>
      <c r="BZ49" s="32">
        <v>29354.190180499998</v>
      </c>
      <c r="CA49" s="32">
        <v>111325.98314499999</v>
      </c>
      <c r="CB49" s="32">
        <v>0.13600000000000001</v>
      </c>
      <c r="CC49" s="32">
        <v>6.5000000000000002E-2</v>
      </c>
      <c r="CD49" s="32">
        <v>64.705882352941174</v>
      </c>
      <c r="CE49" s="32">
        <v>14.073006283691692</v>
      </c>
      <c r="CF49" s="32">
        <v>13.057571248750756</v>
      </c>
      <c r="CG49" s="32">
        <v>22.013295871110397</v>
      </c>
      <c r="CH49" s="32">
        <v>77.610940859988062</v>
      </c>
      <c r="CI49" s="32">
        <v>14.073006283691692</v>
      </c>
      <c r="CJ49" s="32">
        <v>41.470240893537586</v>
      </c>
      <c r="CK49" s="32">
        <v>22.013295871110397</v>
      </c>
      <c r="CL49" s="32">
        <v>27.747770726322035</v>
      </c>
      <c r="CM49" s="32" t="s">
        <v>34</v>
      </c>
      <c r="CN49" s="32" t="s">
        <v>34</v>
      </c>
      <c r="CO49" s="32" t="s">
        <v>34</v>
      </c>
      <c r="CP49" s="32" t="s">
        <v>34</v>
      </c>
      <c r="CQ49" s="17" t="s">
        <v>34</v>
      </c>
      <c r="CR49" s="69"/>
      <c r="CS49" s="32">
        <v>1133.9055940000001</v>
      </c>
      <c r="CT49" s="32">
        <v>16.675082264705882</v>
      </c>
      <c r="CU49" s="32">
        <v>1.7000000000000001E-2</v>
      </c>
      <c r="CV49" s="32">
        <v>1645.5218300000001</v>
      </c>
      <c r="CW49" s="32">
        <v>24.198850441176472</v>
      </c>
      <c r="CX49" s="32">
        <v>4.4999999999999998E-2</v>
      </c>
      <c r="CY49" s="32">
        <v>952.598349135484</v>
      </c>
      <c r="CZ49" s="32">
        <v>14.008799251992412</v>
      </c>
      <c r="DA49" s="32">
        <v>114.29357865161292</v>
      </c>
      <c r="DB49" s="32">
        <v>1.6807879213472487</v>
      </c>
      <c r="DC49" s="32">
        <v>533.44596389354842</v>
      </c>
      <c r="DD49" s="32">
        <v>7.8447935866698302</v>
      </c>
      <c r="DE49" s="32">
        <v>244.03081989814814</v>
      </c>
      <c r="DF49" s="32">
        <v>3.5886885279139431</v>
      </c>
      <c r="DG49" s="32">
        <v>1031.9392726296296</v>
      </c>
      <c r="DH49" s="32">
        <v>15.175577538671023</v>
      </c>
      <c r="DI49" s="32">
        <v>1E-3</v>
      </c>
      <c r="DJ49" s="32">
        <v>-183.82603953191489</v>
      </c>
      <c r="DK49" s="8">
        <v>-2.7033241107634542</v>
      </c>
      <c r="DL49" s="32">
        <v>770.28303557446816</v>
      </c>
      <c r="DM49" s="32">
        <v>-1.0992324649561951</v>
      </c>
      <c r="DN49" s="32">
        <v>0.153</v>
      </c>
      <c r="DO49" s="32">
        <v>36202.428038000005</v>
      </c>
      <c r="DP49" s="32">
        <v>110881.154175</v>
      </c>
      <c r="DQ49" s="32">
        <v>0.154</v>
      </c>
      <c r="DR49" s="32">
        <v>6.5000000000000002E-2</v>
      </c>
      <c r="DS49" s="32">
        <v>0.64935064935064934</v>
      </c>
      <c r="DT49" s="32">
        <v>9.6992656516956757</v>
      </c>
      <c r="DU49" s="32">
        <v>15.599980437693576</v>
      </c>
      <c r="DV49" s="32">
        <v>20.709122746152104</v>
      </c>
      <c r="DW49" s="32">
        <v>80.840101050606265</v>
      </c>
      <c r="DX49" s="32">
        <v>9.6992656516956757</v>
      </c>
      <c r="DY49" s="32">
        <v>15.599980437693576</v>
      </c>
      <c r="DZ49" s="32">
        <v>20.709122746152104</v>
      </c>
      <c r="EA49" s="32">
        <v>0.19683425613687358</v>
      </c>
      <c r="EB49" s="32">
        <v>8.359936234146895</v>
      </c>
      <c r="EC49" s="69"/>
      <c r="ED49" s="32">
        <v>-8.3962410610433267</v>
      </c>
      <c r="EE49" s="32">
        <v>-2.1764518440746867</v>
      </c>
      <c r="EF49" s="32">
        <v>-18.531574596916215</v>
      </c>
      <c r="EG49" s="32">
        <v>1.5840031123863256</v>
      </c>
      <c r="EH49" s="32">
        <v>-43.478260869565226</v>
      </c>
      <c r="EI49" s="32">
        <v>19.234494422992185</v>
      </c>
      <c r="EJ49" s="32">
        <v>12.413793103448265</v>
      </c>
      <c r="EK49" s="32">
        <v>138.44856640578689</v>
      </c>
      <c r="EL49" s="32">
        <v>29.514695840608667</v>
      </c>
      <c r="EM49" s="32">
        <v>10.292015214642324</v>
      </c>
      <c r="EN49" s="32">
        <v>-6.1053337669947663</v>
      </c>
      <c r="EO49" s="69"/>
      <c r="EP49" s="32">
        <v>1201.6221300000002</v>
      </c>
      <c r="EQ49" s="32">
        <v>17.67091367647059</v>
      </c>
      <c r="ER49" s="32">
        <v>0.33</v>
      </c>
      <c r="ES49" s="32">
        <v>525.49783414645321</v>
      </c>
      <c r="ET49" s="32">
        <v>7.7279093256831359</v>
      </c>
      <c r="EU49" s="32">
        <v>271.45028510526311</v>
      </c>
      <c r="EV49" s="32">
        <v>3.99191595743034</v>
      </c>
      <c r="EW49" s="32">
        <v>398.47405962585816</v>
      </c>
      <c r="EX49" s="32">
        <v>5.859912641556738</v>
      </c>
      <c r="EY49" s="32">
        <v>0.436</v>
      </c>
      <c r="EZ49" s="32">
        <v>0.05</v>
      </c>
      <c r="FA49" s="32">
        <v>35.623285386432386</v>
      </c>
      <c r="FB49" s="32">
        <v>64.376714613567628</v>
      </c>
      <c r="FC49" s="32">
        <v>60.090706414985171</v>
      </c>
      <c r="FD49" s="32">
        <v>82.407435456534344</v>
      </c>
      <c r="FE49" s="32">
        <v>0.53148407492997618</v>
      </c>
      <c r="FF49" s="32">
        <v>2.260880780215881</v>
      </c>
      <c r="FG49" s="69"/>
      <c r="FH49" s="32">
        <v>396.30881199999999</v>
      </c>
      <c r="FI49" s="32">
        <v>5.828070764705882</v>
      </c>
      <c r="FJ49" s="32">
        <v>1.6E-2</v>
      </c>
      <c r="FK49" s="32">
        <v>1350.4002319999995</v>
      </c>
      <c r="FL49" s="32">
        <v>19.858826941176464</v>
      </c>
      <c r="FM49" s="32">
        <v>0.106</v>
      </c>
      <c r="FN49" s="32">
        <v>830.15625473366811</v>
      </c>
      <c r="FO49" s="32">
        <v>12.20818021667159</v>
      </c>
      <c r="FP49" s="32">
        <v>318.6195776130653</v>
      </c>
      <c r="FQ49" s="32">
        <v>4.6855820237215484</v>
      </c>
      <c r="FR49" s="32">
        <v>574.38791617336665</v>
      </c>
      <c r="FS49" s="32">
        <v>8.4468811201965686</v>
      </c>
      <c r="FT49" s="32">
        <v>0.19800000000000001</v>
      </c>
      <c r="FU49" s="32">
        <v>0.05</v>
      </c>
      <c r="FV49" s="32">
        <v>29.470279084756843</v>
      </c>
      <c r="FW49" s="32">
        <v>70.529720915243175</v>
      </c>
      <c r="FX49" s="32">
        <v>55.986011669384141</v>
      </c>
      <c r="FY49" s="32">
        <v>98.214442208470047</v>
      </c>
      <c r="FZ49" s="32">
        <v>0.25189333476059517</v>
      </c>
      <c r="GA49" s="32">
        <v>5.3610002554591167</v>
      </c>
      <c r="GB49" s="69"/>
      <c r="GC49" s="32">
        <v>44.946335954902345</v>
      </c>
      <c r="GD49" s="32">
        <v>11.659623694159411</v>
      </c>
      <c r="GE49" s="32">
        <v>-102.75229357798166</v>
      </c>
      <c r="GF49" s="32">
        <v>-75.078864353312298</v>
      </c>
      <c r="GG49" s="32">
        <v>-18.90511405132499</v>
      </c>
      <c r="GH49" s="69"/>
      <c r="GI49" s="32">
        <v>698.08486500000004</v>
      </c>
      <c r="GJ49" s="32">
        <v>10.265953897058823</v>
      </c>
      <c r="GK49" s="32">
        <v>1.7999999999999999E-2</v>
      </c>
      <c r="GL49" s="32">
        <v>1691.3455720000002</v>
      </c>
      <c r="GM49" s="32">
        <v>24.872729000000003</v>
      </c>
      <c r="GN49" s="32">
        <v>6.8000000000000005E-2</v>
      </c>
      <c r="GO49" s="32">
        <v>1036.8269169999999</v>
      </c>
      <c r="GP49" s="32">
        <v>15.247454661764705</v>
      </c>
      <c r="GQ49" s="32">
        <v>154.93917307432432</v>
      </c>
      <c r="GR49" s="32">
        <v>2.2785172510930045</v>
      </c>
      <c r="GS49" s="32">
        <v>595.88304503716211</v>
      </c>
      <c r="GT49" s="32">
        <v>8.7629859564288548</v>
      </c>
      <c r="GU49" s="32">
        <v>272.57203137735843</v>
      </c>
      <c r="GV49" s="32">
        <v>4.008412226137624</v>
      </c>
      <c r="GW49" s="32">
        <v>1118.9003045660379</v>
      </c>
      <c r="GX49" s="32">
        <v>16.454416243618205</v>
      </c>
      <c r="GY49" s="32">
        <v>9.7000000000000003E-2</v>
      </c>
      <c r="GZ49" s="32">
        <v>-141.9437550238095</v>
      </c>
      <c r="HA49" s="8">
        <v>-2.0874081621148455</v>
      </c>
      <c r="HB49" s="32">
        <v>829.68931980952379</v>
      </c>
      <c r="HC49" s="32">
        <v>1.0111253438375347</v>
      </c>
      <c r="HD49" s="32">
        <v>0.05</v>
      </c>
      <c r="HE49" s="32">
        <v>34058.247129999996</v>
      </c>
      <c r="HF49" s="32">
        <v>118215.98705700002</v>
      </c>
      <c r="HG49" s="32">
        <v>0.14699999999999999</v>
      </c>
      <c r="HH49" s="32">
        <v>8.2000000000000003E-2</v>
      </c>
      <c r="HI49" s="32">
        <v>65.986394557823132</v>
      </c>
      <c r="HJ49" s="32">
        <v>11.176960155131026</v>
      </c>
      <c r="HK49" s="32">
        <v>12.200247651826535</v>
      </c>
      <c r="HL49" s="32">
        <v>21.462914896092734</v>
      </c>
      <c r="HM49" s="32">
        <v>81.642007689119438</v>
      </c>
      <c r="HN49" s="32">
        <v>11.176960155131026</v>
      </c>
      <c r="HO49" s="32">
        <v>40.794149730934038</v>
      </c>
      <c r="HP49" s="32">
        <v>21.462914896092734</v>
      </c>
      <c r="HQ49" s="32">
        <v>25.272489347494592</v>
      </c>
      <c r="HR49" s="32">
        <v>65.986394557823132</v>
      </c>
      <c r="HS49" s="32" t="s">
        <v>34</v>
      </c>
      <c r="HT49" s="32" t="s">
        <v>34</v>
      </c>
      <c r="HU49" s="32" t="s">
        <v>34</v>
      </c>
      <c r="HV49" s="32" t="s">
        <v>34</v>
      </c>
      <c r="HW49" s="17" t="s">
        <v>34</v>
      </c>
      <c r="HX49" s="69"/>
      <c r="HY49" s="32">
        <v>797.16209900000001</v>
      </c>
      <c r="HZ49" s="32">
        <v>11.722972044117647</v>
      </c>
      <c r="IA49" s="32">
        <v>0.02</v>
      </c>
      <c r="IB49" s="32">
        <v>1698.522931</v>
      </c>
      <c r="IC49" s="32">
        <v>24.978278397058823</v>
      </c>
      <c r="ID49" s="32">
        <v>6.8000000000000005E-2</v>
      </c>
      <c r="IE49" s="32">
        <v>998.18384507189546</v>
      </c>
      <c r="IF49" s="32">
        <v>14.679174192233758</v>
      </c>
      <c r="IG49" s="32">
        <v>105.30719811111111</v>
      </c>
      <c r="IH49" s="32">
        <v>1.5486352663398693</v>
      </c>
      <c r="II49" s="32">
        <v>551.74552159150323</v>
      </c>
      <c r="IJ49" s="32">
        <v>8.1139047292868121</v>
      </c>
      <c r="IK49" s="32">
        <v>254.82437093617023</v>
      </c>
      <c r="IL49" s="32">
        <v>3.7474172196495621</v>
      </c>
      <c r="IM49" s="32">
        <v>1076.354795574468</v>
      </c>
      <c r="IN49" s="32">
        <v>15.828746993742175</v>
      </c>
      <c r="IO49" s="32">
        <v>9.4E-2</v>
      </c>
      <c r="IP49" s="32">
        <v>-132.90660266101696</v>
      </c>
      <c r="IQ49" s="8">
        <v>-1.9545088626620142</v>
      </c>
      <c r="IR49" s="32">
        <v>873.64029681355942</v>
      </c>
      <c r="IS49" s="32">
        <v>0.15878383649052841</v>
      </c>
      <c r="IT49" s="32">
        <v>0.152</v>
      </c>
      <c r="IU49" s="32">
        <v>51548.771978000004</v>
      </c>
      <c r="IV49" s="32">
        <v>100352.6061525</v>
      </c>
      <c r="IW49" s="32">
        <v>0.152</v>
      </c>
      <c r="IX49" s="32">
        <v>8.2000000000000003E-2</v>
      </c>
      <c r="IY49" s="32">
        <v>61.842105263157897</v>
      </c>
      <c r="IZ49" s="32">
        <v>8.7319823200580444</v>
      </c>
      <c r="JA49" s="32">
        <v>11.020501214271027</v>
      </c>
      <c r="JB49" s="32">
        <v>21.129817729902889</v>
      </c>
      <c r="JC49" s="32">
        <v>82.768546155210032</v>
      </c>
      <c r="JD49" s="32">
        <v>8.7319823200580444</v>
      </c>
      <c r="JE49" s="32">
        <v>11.020501214271027</v>
      </c>
      <c r="JF49" s="32">
        <v>21.129817729902889</v>
      </c>
      <c r="JG49" s="32">
        <v>0.18524458024755797</v>
      </c>
      <c r="JH49" s="32">
        <v>9.1690829968149163</v>
      </c>
      <c r="JI49" s="69"/>
      <c r="JJ49" s="32">
        <v>-3.7978248221902202</v>
      </c>
      <c r="JK49" s="32">
        <v>-6.5760528302863106</v>
      </c>
      <c r="JL49" s="32">
        <v>-6.7302925705729431</v>
      </c>
      <c r="JM49" s="32">
        <v>0.42345943470361197</v>
      </c>
      <c r="JN49" s="32">
        <v>0</v>
      </c>
      <c r="JO49" s="32">
        <v>13.252290275173564</v>
      </c>
      <c r="JP49" s="32">
        <v>3.3444816053511737</v>
      </c>
      <c r="JQ49" s="32">
        <v>140.06270509316417</v>
      </c>
      <c r="JR49" s="32">
        <v>33.138039630053171</v>
      </c>
      <c r="JS49" s="32">
        <v>-1.4097012109291773</v>
      </c>
      <c r="JT49" s="32">
        <v>-1.5641032901774672</v>
      </c>
      <c r="JU49" s="69"/>
      <c r="JV49" s="32">
        <v>1136.033541</v>
      </c>
      <c r="JW49" s="32">
        <v>16.706375602941176</v>
      </c>
      <c r="JX49" s="32">
        <v>0.372</v>
      </c>
      <c r="JY49" s="32">
        <v>503.83071132365149</v>
      </c>
      <c r="JZ49" s="32">
        <v>7.4092751665242869</v>
      </c>
      <c r="KA49" s="32">
        <v>238.74902713278016</v>
      </c>
      <c r="KB49" s="32">
        <v>3.5110151048938256</v>
      </c>
      <c r="KC49" s="32">
        <v>371.28986922821582</v>
      </c>
      <c r="KD49" s="32">
        <v>5.4601451357090562</v>
      </c>
      <c r="KE49" s="32">
        <v>0.48099999999999998</v>
      </c>
      <c r="KF49" s="32">
        <v>4.2000000000000003E-2</v>
      </c>
      <c r="KG49" s="32">
        <v>31.876347829635353</v>
      </c>
      <c r="KH49" s="32">
        <v>68.023495436799323</v>
      </c>
      <c r="KI49" s="32">
        <v>47.704505146015968</v>
      </c>
      <c r="KJ49" s="32">
        <v>77.156787669551491</v>
      </c>
      <c r="KK49" s="32">
        <v>0.65339229129660126</v>
      </c>
      <c r="KL49" s="32">
        <v>1.7386699477975756</v>
      </c>
      <c r="KM49" s="69"/>
      <c r="KN49" s="32">
        <v>307.47474999999997</v>
      </c>
      <c r="KO49" s="32">
        <v>4.5216874999999996</v>
      </c>
      <c r="KP49" s="32">
        <v>1.7000000000000001E-2</v>
      </c>
      <c r="KQ49" s="32">
        <v>1430.1453120000001</v>
      </c>
      <c r="KR49" s="32">
        <v>21.031548705882354</v>
      </c>
      <c r="KS49" s="32">
        <v>0.11700000000000001</v>
      </c>
      <c r="KT49" s="32">
        <v>844.27132697787613</v>
      </c>
      <c r="KU49" s="32">
        <v>12.415754808498178</v>
      </c>
      <c r="KV49" s="32">
        <v>248.29361651769915</v>
      </c>
      <c r="KW49" s="32">
        <v>3.6513767134955759</v>
      </c>
      <c r="KX49" s="32">
        <v>546.28247174778767</v>
      </c>
      <c r="KY49" s="32">
        <v>8.0335657609968774</v>
      </c>
      <c r="KZ49" s="32">
        <v>0.22500000000000001</v>
      </c>
      <c r="LA49" s="32">
        <v>4.2000000000000003E-2</v>
      </c>
      <c r="LB49" s="32">
        <v>26.914987047281354</v>
      </c>
      <c r="LC49" s="32">
        <v>73.085012952718628</v>
      </c>
      <c r="LD49" s="32">
        <v>52.911397700564656</v>
      </c>
      <c r="LE49" s="32">
        <v>97.977045975066332</v>
      </c>
      <c r="LF49" s="32">
        <v>0.32422175178826285</v>
      </c>
      <c r="LG49" s="32">
        <v>4.4110097614116119</v>
      </c>
      <c r="LH49" s="69"/>
      <c r="LI49" s="32">
        <v>50.50665394485204</v>
      </c>
      <c r="LJ49" s="32">
        <v>22.922156860280232</v>
      </c>
      <c r="LK49" s="32">
        <v>-104.29447852760735</v>
      </c>
      <c r="LL49" s="32">
        <v>-72.521246458923514</v>
      </c>
      <c r="LM49" s="32">
        <v>-16.877864034694618</v>
      </c>
      <c r="LN49" s="69"/>
      <c r="LO49" s="32">
        <v>740.752656</v>
      </c>
      <c r="LP49" s="32">
        <v>10.893421411764706</v>
      </c>
      <c r="LQ49" s="32">
        <v>1.7000000000000001E-2</v>
      </c>
      <c r="LR49" s="32">
        <v>1770.6397009999998</v>
      </c>
      <c r="LS49" s="32">
        <v>26.038819132352938</v>
      </c>
      <c r="LT49" s="32">
        <v>8.1000000000000003E-2</v>
      </c>
      <c r="LU49" s="32">
        <v>1085.7893374025157</v>
      </c>
      <c r="LV49" s="32">
        <v>15.967490255919348</v>
      </c>
      <c r="LW49" s="32">
        <v>106.69888038993712</v>
      </c>
      <c r="LX49" s="32">
        <v>1.5691011822049576</v>
      </c>
      <c r="LY49" s="32">
        <v>596.24410889622641</v>
      </c>
      <c r="LZ49" s="32">
        <v>8.7682957190621522</v>
      </c>
      <c r="MA49" s="32">
        <v>270.52425624731183</v>
      </c>
      <c r="MB49" s="32">
        <v>3.9782978859898797</v>
      </c>
      <c r="MC49" s="32">
        <v>1074.9058392580646</v>
      </c>
      <c r="MD49" s="32">
        <v>15.807438812618598</v>
      </c>
      <c r="ME49" s="32">
        <v>9.2999999999999999E-2</v>
      </c>
      <c r="MF49" s="32">
        <v>-124.14596740909093</v>
      </c>
      <c r="MG49" s="8">
        <v>-1.8256759913101608</v>
      </c>
      <c r="MH49" s="32">
        <v>1101.1251756969698</v>
      </c>
      <c r="MI49" s="32">
        <v>-0.40671479857397513</v>
      </c>
      <c r="MJ49" s="32">
        <v>6.5000000000000002E-2</v>
      </c>
      <c r="MK49" s="32">
        <v>71776.886201999994</v>
      </c>
      <c r="ML49" s="32">
        <v>99083.204462499998</v>
      </c>
      <c r="MM49" s="32">
        <v>0.158</v>
      </c>
      <c r="MN49" s="32" t="s">
        <v>34</v>
      </c>
      <c r="MO49" s="32">
        <v>58.860759493670891</v>
      </c>
      <c r="MP49" s="32">
        <v>10.012511470345991</v>
      </c>
      <c r="MQ49" s="32">
        <v>8.6053843396856813</v>
      </c>
      <c r="MR49" s="32">
        <v>21.818084591966226</v>
      </c>
      <c r="MS49" s="32">
        <v>87.570127504004347</v>
      </c>
      <c r="MT49" s="32">
        <v>10.012511470345991</v>
      </c>
      <c r="MU49" s="32">
        <v>36.579137481855014</v>
      </c>
      <c r="MV49" s="32">
        <v>21.818084591966226</v>
      </c>
      <c r="MW49" s="32">
        <v>23.517179786385746</v>
      </c>
      <c r="MX49" s="32" t="s">
        <v>34</v>
      </c>
      <c r="MY49" s="32" t="s">
        <v>34</v>
      </c>
      <c r="MZ49" s="32" t="s">
        <v>34</v>
      </c>
      <c r="NA49" s="32" t="s">
        <v>34</v>
      </c>
      <c r="NB49" s="17" t="s">
        <v>34</v>
      </c>
      <c r="NC49" s="69"/>
      <c r="ND49" s="32" t="s">
        <v>34</v>
      </c>
      <c r="NE49" s="32" t="s">
        <v>34</v>
      </c>
      <c r="NF49" s="32" t="s">
        <v>34</v>
      </c>
      <c r="NG49" s="32" t="s">
        <v>34</v>
      </c>
      <c r="NH49" s="32" t="s">
        <v>34</v>
      </c>
      <c r="NI49" s="32" t="s">
        <v>34</v>
      </c>
      <c r="NJ49" s="32" t="s">
        <v>34</v>
      </c>
      <c r="NK49" s="32" t="s">
        <v>34</v>
      </c>
      <c r="NL49" s="32" t="s">
        <v>34</v>
      </c>
      <c r="NM49" s="32" t="s">
        <v>34</v>
      </c>
      <c r="NN49" s="32" t="s">
        <v>34</v>
      </c>
      <c r="NO49" s="32" t="s">
        <v>34</v>
      </c>
      <c r="NP49" s="32" t="s">
        <v>34</v>
      </c>
      <c r="NQ49" s="32" t="s">
        <v>34</v>
      </c>
      <c r="NR49" s="32" t="s">
        <v>34</v>
      </c>
      <c r="NS49" s="32" t="s">
        <v>34</v>
      </c>
      <c r="NT49" s="32" t="s">
        <v>34</v>
      </c>
      <c r="NU49" s="32" t="s">
        <v>34</v>
      </c>
      <c r="NV49" s="8" t="s">
        <v>34</v>
      </c>
      <c r="NW49" s="32" t="s">
        <v>34</v>
      </c>
      <c r="NX49" s="32" t="s">
        <v>34</v>
      </c>
      <c r="NY49" s="32" t="s">
        <v>34</v>
      </c>
      <c r="NZ49" s="32" t="s">
        <v>34</v>
      </c>
      <c r="OA49" s="32" t="s">
        <v>34</v>
      </c>
      <c r="OB49" s="32" t="s">
        <v>34</v>
      </c>
      <c r="OC49" s="32" t="s">
        <v>34</v>
      </c>
      <c r="OD49" s="32" t="s">
        <v>34</v>
      </c>
      <c r="OE49" s="32" t="s">
        <v>34</v>
      </c>
      <c r="OF49" s="32" t="s">
        <v>34</v>
      </c>
      <c r="OG49" s="32" t="s">
        <v>34</v>
      </c>
      <c r="OH49" s="32" t="s">
        <v>34</v>
      </c>
      <c r="OI49" s="32" t="s">
        <v>34</v>
      </c>
      <c r="OJ49" s="32" t="s">
        <v>34</v>
      </c>
      <c r="OK49" s="32" t="s">
        <v>34</v>
      </c>
      <c r="OL49" s="32" t="s">
        <v>34</v>
      </c>
      <c r="OM49" s="32" t="s">
        <v>34</v>
      </c>
      <c r="ON49" s="69"/>
      <c r="OO49" s="32" t="s">
        <v>34</v>
      </c>
      <c r="OP49" s="32" t="s">
        <v>34</v>
      </c>
      <c r="OQ49" s="32" t="s">
        <v>34</v>
      </c>
      <c r="OR49" s="32" t="s">
        <v>34</v>
      </c>
      <c r="OS49" s="32" t="s">
        <v>34</v>
      </c>
      <c r="OT49" s="32" t="s">
        <v>34</v>
      </c>
      <c r="OU49" s="32" t="s">
        <v>34</v>
      </c>
      <c r="OV49" s="32" t="s">
        <v>34</v>
      </c>
      <c r="OW49" s="32" t="s">
        <v>34</v>
      </c>
      <c r="OX49" s="32" t="s">
        <v>34</v>
      </c>
      <c r="OY49" s="32" t="s">
        <v>34</v>
      </c>
    </row>
    <row r="50" spans="1:415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9"/>
      <c r="K50" s="32">
        <v>1344.3048350000001</v>
      </c>
      <c r="L50" s="32">
        <v>17.016516898734178</v>
      </c>
      <c r="M50" s="32">
        <v>0.151</v>
      </c>
      <c r="N50" s="32">
        <v>880.76849997551017</v>
      </c>
      <c r="O50" s="32">
        <v>11.148968354120381</v>
      </c>
      <c r="P50" s="32">
        <v>499.42046852244897</v>
      </c>
      <c r="Q50" s="32">
        <v>6.3217780825626448</v>
      </c>
      <c r="R50" s="32">
        <v>690.0944842489796</v>
      </c>
      <c r="S50" s="32">
        <v>8.7353732183415147</v>
      </c>
      <c r="T50" s="32">
        <v>0.24399999999999999</v>
      </c>
      <c r="U50" s="32">
        <v>2.5999999999999999E-2</v>
      </c>
      <c r="V50" s="32">
        <v>33.714212496643349</v>
      </c>
      <c r="W50" s="32">
        <v>62.779200446216308</v>
      </c>
      <c r="X50" s="32">
        <v>52.145632975458945</v>
      </c>
      <c r="Y50" s="32">
        <v>97.352989471274981</v>
      </c>
      <c r="Z50" s="32">
        <v>0.33452298574752992</v>
      </c>
      <c r="AA50" s="32">
        <v>4.0185723919568543</v>
      </c>
      <c r="AB50" s="69"/>
      <c r="AC50" s="32">
        <v>704.75737100000015</v>
      </c>
      <c r="AD50" s="32">
        <v>8.9209793797468375</v>
      </c>
      <c r="AE50" s="32">
        <v>1.2E-2</v>
      </c>
      <c r="AF50" s="32">
        <v>1384.8986810000004</v>
      </c>
      <c r="AG50" s="32">
        <v>17.530363050632914</v>
      </c>
      <c r="AH50" s="32">
        <v>0.11</v>
      </c>
      <c r="AI50" s="32">
        <v>910.21216799499996</v>
      </c>
      <c r="AJ50" s="32">
        <v>11.521673012594936</v>
      </c>
      <c r="AK50" s="32">
        <v>408.99406979999998</v>
      </c>
      <c r="AL50" s="32">
        <v>5.1771401240506325</v>
      </c>
      <c r="AM50" s="32">
        <v>659.60311889749994</v>
      </c>
      <c r="AN50" s="32">
        <v>8.3494065683227845</v>
      </c>
      <c r="AO50" s="32">
        <v>0.19900000000000001</v>
      </c>
      <c r="AP50" s="32">
        <v>2.5999999999999999E-2</v>
      </c>
      <c r="AQ50" s="32">
        <v>34.925724918398537</v>
      </c>
      <c r="AR50" s="32">
        <v>65.074275081601456</v>
      </c>
      <c r="AS50" s="32">
        <v>85.619460504036311</v>
      </c>
      <c r="AT50" s="32">
        <v>96.841094586874803</v>
      </c>
      <c r="AU50" s="32">
        <v>0.23823594492787048</v>
      </c>
      <c r="AV50" s="32">
        <v>5.8131390769738767</v>
      </c>
      <c r="AW50" s="69"/>
      <c r="AX50" s="32">
        <v>-3.287993951699606</v>
      </c>
      <c r="AY50" s="32">
        <v>-2.974776029857658</v>
      </c>
      <c r="AZ50" s="32">
        <v>31.417624521072788</v>
      </c>
      <c r="BA50" s="32">
        <v>20.316027088036108</v>
      </c>
      <c r="BB50" s="32">
        <v>-3.5300510675864776</v>
      </c>
      <c r="BC50" s="69"/>
      <c r="BD50" s="32">
        <v>1256.1380029999998</v>
      </c>
      <c r="BE50" s="32">
        <v>15.900481050632909</v>
      </c>
      <c r="BF50" s="32">
        <v>0.02</v>
      </c>
      <c r="BG50" s="32">
        <v>2056.7084959999997</v>
      </c>
      <c r="BH50" s="32">
        <v>26.034284759493669</v>
      </c>
      <c r="BI50" s="32">
        <v>4.2999999999999997E-2</v>
      </c>
      <c r="BJ50" s="32">
        <v>1288.9394658799999</v>
      </c>
      <c r="BK50" s="32">
        <v>16.315689441518987</v>
      </c>
      <c r="BL50" s="32">
        <v>217.44686147199999</v>
      </c>
      <c r="BM50" s="32">
        <v>2.7524919173670885</v>
      </c>
      <c r="BN50" s="32">
        <v>753.19316367599993</v>
      </c>
      <c r="BO50" s="32">
        <v>9.5340906794430378</v>
      </c>
      <c r="BP50" s="32">
        <v>314.80209910476191</v>
      </c>
      <c r="BQ50" s="32">
        <v>3.9848366975286318</v>
      </c>
      <c r="BR50" s="32">
        <v>1385.3828724571429</v>
      </c>
      <c r="BS50" s="32">
        <v>17.536492056419529</v>
      </c>
      <c r="BT50" s="32">
        <v>0.105</v>
      </c>
      <c r="BU50" s="32">
        <v>-293.66813609999997</v>
      </c>
      <c r="BV50" s="8">
        <v>-3.7173181784810123</v>
      </c>
      <c r="BW50" s="32">
        <v>782.61158135000005</v>
      </c>
      <c r="BX50" s="32" t="s">
        <v>34</v>
      </c>
      <c r="BY50" s="32">
        <v>1.9E-2</v>
      </c>
      <c r="BZ50" s="32">
        <v>15011.602145500001</v>
      </c>
      <c r="CA50" s="32">
        <v>144853.58834400002</v>
      </c>
      <c r="CB50" s="32">
        <v>0.124</v>
      </c>
      <c r="CC50" s="32">
        <v>0.10100000000000001</v>
      </c>
      <c r="CD50" s="32">
        <v>84.677419354838719</v>
      </c>
      <c r="CE50" s="32">
        <v>18.610492700884983</v>
      </c>
      <c r="CF50" s="32">
        <v>13.780157704535531</v>
      </c>
      <c r="CG50" s="32">
        <v>19.949805400806106</v>
      </c>
      <c r="CH50" s="32">
        <v>81.683354688075511</v>
      </c>
      <c r="CI50" s="32">
        <v>18.610492700884983</v>
      </c>
      <c r="CJ50" s="32">
        <v>37.124071870594044</v>
      </c>
      <c r="CK50" s="32">
        <v>19.949805400806106</v>
      </c>
      <c r="CL50" s="32">
        <v>26.571411871065614</v>
      </c>
      <c r="CM50" s="32" t="s">
        <v>34</v>
      </c>
      <c r="CN50" s="32" t="s">
        <v>34</v>
      </c>
      <c r="CO50" s="32" t="s">
        <v>34</v>
      </c>
      <c r="CP50" s="32" t="s">
        <v>34</v>
      </c>
      <c r="CQ50" s="50" t="s">
        <v>34</v>
      </c>
      <c r="CR50" s="69"/>
      <c r="CS50" s="32">
        <v>2456.732211</v>
      </c>
      <c r="CT50" s="32">
        <v>31.097876088607595</v>
      </c>
      <c r="CU50" s="32">
        <v>4.2000000000000003E-2</v>
      </c>
      <c r="CV50" s="32">
        <v>2456.732211</v>
      </c>
      <c r="CW50" s="32">
        <v>31.097876088607595</v>
      </c>
      <c r="CX50" s="32">
        <v>4.2000000000000003E-2</v>
      </c>
      <c r="CY50" s="32">
        <v>1503.5439495040648</v>
      </c>
      <c r="CZ50" s="32">
        <v>19.032201892456516</v>
      </c>
      <c r="DA50" s="32">
        <v>202.00965533333334</v>
      </c>
      <c r="DB50" s="32">
        <v>2.5570842447257385</v>
      </c>
      <c r="DC50" s="32">
        <v>852.77680241869905</v>
      </c>
      <c r="DD50" s="32">
        <v>10.794643068591126</v>
      </c>
      <c r="DE50" s="32">
        <v>319.48317213265307</v>
      </c>
      <c r="DF50" s="32">
        <v>4.0440907864892797</v>
      </c>
      <c r="DG50" s="32">
        <v>1573.3671625408163</v>
      </c>
      <c r="DH50" s="32">
        <v>19.916040032162233</v>
      </c>
      <c r="DI50" s="32">
        <v>8.1000000000000003E-2</v>
      </c>
      <c r="DJ50" s="32">
        <v>-258.48653051999997</v>
      </c>
      <c r="DK50" s="8">
        <v>-3.2719813989873416</v>
      </c>
      <c r="DL50" s="32">
        <v>1229.8369543999997</v>
      </c>
      <c r="DM50" s="32">
        <v>1.891484978227848</v>
      </c>
      <c r="DN50" s="32">
        <v>0.04</v>
      </c>
      <c r="DO50" s="32">
        <v>29502.643877499999</v>
      </c>
      <c r="DP50" s="32">
        <v>154194.99530050001</v>
      </c>
      <c r="DQ50" s="32">
        <v>0.122</v>
      </c>
      <c r="DR50" s="32">
        <v>0.10100000000000001</v>
      </c>
      <c r="DS50" s="32">
        <v>66.393442622950829</v>
      </c>
      <c r="DT50" s="32">
        <v>11.156874618193653</v>
      </c>
      <c r="DU50" s="32">
        <v>14.276059264320015</v>
      </c>
      <c r="DV50" s="32">
        <v>17.644867955569588</v>
      </c>
      <c r="DW50" s="32">
        <v>83.039849258099039</v>
      </c>
      <c r="DX50" s="32">
        <v>11.156874618193653</v>
      </c>
      <c r="DY50" s="32">
        <v>14.276059264320015</v>
      </c>
      <c r="DZ50" s="32">
        <v>17.644867955569588</v>
      </c>
      <c r="EA50" s="32">
        <v>0.15990933973248431</v>
      </c>
      <c r="EB50" s="32">
        <v>15.363281563853112</v>
      </c>
      <c r="EC50" s="69"/>
      <c r="ED50" s="32">
        <v>-15.370152778117696</v>
      </c>
      <c r="EE50" s="32">
        <v>12.743387933443815</v>
      </c>
      <c r="EF50" s="32">
        <v>-1.476015048799397</v>
      </c>
      <c r="EG50" s="32">
        <v>-17.72588767498792</v>
      </c>
      <c r="EH50" s="32">
        <v>2.3529411764705745</v>
      </c>
      <c r="EI50" s="32">
        <v>-64.672026696379447</v>
      </c>
      <c r="EJ50" s="32">
        <v>1.6260162601626031</v>
      </c>
      <c r="EK50" s="32">
        <v>-149.82246938775756</v>
      </c>
      <c r="EL50" s="32">
        <v>21.039256415053469</v>
      </c>
      <c r="EM50" s="32">
        <v>26.359914174954756</v>
      </c>
      <c r="EN50" s="32">
        <v>12.262042674966471</v>
      </c>
      <c r="EO50" s="69"/>
      <c r="EP50" s="32">
        <v>1411.9853440000004</v>
      </c>
      <c r="EQ50" s="32">
        <v>17.87323220253165</v>
      </c>
      <c r="ER50" s="32">
        <v>0.22500000000000001</v>
      </c>
      <c r="ES50" s="32">
        <v>772.3960995253733</v>
      </c>
      <c r="ET50" s="32">
        <v>9.7771658167768773</v>
      </c>
      <c r="EU50" s="32">
        <v>400.60448071940294</v>
      </c>
      <c r="EV50" s="32">
        <v>5.0709427939164931</v>
      </c>
      <c r="EW50" s="32">
        <v>586.50029012238815</v>
      </c>
      <c r="EX50" s="32">
        <v>7.4240543053466856</v>
      </c>
      <c r="EY50" s="32">
        <v>0.33400000000000002</v>
      </c>
      <c r="EZ50" s="32">
        <v>2.5999999999999999E-2</v>
      </c>
      <c r="FA50" s="32">
        <v>30.964534330762969</v>
      </c>
      <c r="FB50" s="32">
        <v>68.178181244616525</v>
      </c>
      <c r="FC50" s="32">
        <v>62.076750424618666</v>
      </c>
      <c r="FD50" s="32">
        <v>99.497896029438692</v>
      </c>
      <c r="FE50" s="32">
        <v>0.48630110624826711</v>
      </c>
      <c r="FF50" s="32">
        <v>2.9035207320280114</v>
      </c>
      <c r="FG50" s="69"/>
      <c r="FH50" s="32">
        <v>445.91952799999996</v>
      </c>
      <c r="FI50" s="32">
        <v>5.6445509873417716</v>
      </c>
      <c r="FJ50" s="32">
        <v>1.4E-2</v>
      </c>
      <c r="FK50" s="32">
        <v>1367.6945380000002</v>
      </c>
      <c r="FL50" s="32">
        <v>17.312589088607599</v>
      </c>
      <c r="FM50" s="32">
        <v>0.14799999999999999</v>
      </c>
      <c r="FN50" s="32">
        <v>843.96217410743816</v>
      </c>
      <c r="FO50" s="32">
        <v>10.683065495030863</v>
      </c>
      <c r="FP50" s="32">
        <v>335.48340576446276</v>
      </c>
      <c r="FQ50" s="32">
        <v>4.2466253894235795</v>
      </c>
      <c r="FR50" s="32">
        <v>589.72278993595046</v>
      </c>
      <c r="FS50" s="32">
        <v>7.4648454422272206</v>
      </c>
      <c r="FT50" s="32">
        <v>0.24099999999999999</v>
      </c>
      <c r="FU50" s="32">
        <v>2.5999999999999999E-2</v>
      </c>
      <c r="FV50" s="32">
        <v>30.820319698329719</v>
      </c>
      <c r="FW50" s="32">
        <v>69.179680301670274</v>
      </c>
      <c r="FX50" s="32">
        <v>60.416649819377795</v>
      </c>
      <c r="FY50" s="32">
        <v>96.266210751113107</v>
      </c>
      <c r="FZ50" s="32">
        <v>0.30295299508223594</v>
      </c>
      <c r="GA50" s="32">
        <v>4.5145437087649274</v>
      </c>
      <c r="GB50" s="69"/>
      <c r="GC50" s="32">
        <v>-8.8552242098180436</v>
      </c>
      <c r="GD50" s="32">
        <v>3.1867558769488693</v>
      </c>
      <c r="GE50" s="32">
        <v>41.286863270777488</v>
      </c>
      <c r="GF50" s="32">
        <v>32.34782608695653</v>
      </c>
      <c r="GG50" s="32">
        <v>0.46682843133478652</v>
      </c>
      <c r="GH50" s="69"/>
      <c r="GI50" s="32">
        <v>2105.074889</v>
      </c>
      <c r="GJ50" s="32">
        <v>26.646517582278481</v>
      </c>
      <c r="GK50" s="32">
        <v>4.4999999999999998E-2</v>
      </c>
      <c r="GL50" s="32">
        <v>2105.074889</v>
      </c>
      <c r="GM50" s="32">
        <v>26.646517582278481</v>
      </c>
      <c r="GN50" s="32">
        <v>4.4999999999999998E-2</v>
      </c>
      <c r="GO50" s="32">
        <v>1315.3519032937061</v>
      </c>
      <c r="GP50" s="32">
        <v>16.650024092325392</v>
      </c>
      <c r="GQ50" s="32">
        <v>133.27453639160839</v>
      </c>
      <c r="GR50" s="32">
        <v>1.6870194479950429</v>
      </c>
      <c r="GS50" s="32">
        <v>724.31321984265719</v>
      </c>
      <c r="GT50" s="32">
        <v>9.1685217701602184</v>
      </c>
      <c r="GU50" s="32">
        <v>288.53115415151512</v>
      </c>
      <c r="GV50" s="32">
        <v>3.6522930905255078</v>
      </c>
      <c r="GW50" s="32">
        <v>1315.1257463838385</v>
      </c>
      <c r="GX50" s="32">
        <v>16.647161346630867</v>
      </c>
      <c r="GY50" s="32">
        <v>0.09</v>
      </c>
      <c r="GZ50" s="32">
        <v>-216.05285356818183</v>
      </c>
      <c r="HA50" s="8">
        <v>-2.734846247698504</v>
      </c>
      <c r="HB50" s="32">
        <v>1315.8607563409091</v>
      </c>
      <c r="HC50" s="32">
        <v>-1.2217059971231299</v>
      </c>
      <c r="HD50" s="32">
        <v>5.1999999999999998E-2</v>
      </c>
      <c r="HE50" s="32">
        <v>56848.572854500002</v>
      </c>
      <c r="HF50" s="32">
        <v>129522.35699200002</v>
      </c>
      <c r="HG50" s="32">
        <v>0.14199999999999999</v>
      </c>
      <c r="HH50" s="32" t="s">
        <v>34</v>
      </c>
      <c r="HI50" s="32">
        <v>63.380281690140848</v>
      </c>
      <c r="HJ50" s="32">
        <v>13.755677803918665</v>
      </c>
      <c r="HK50" s="32">
        <v>8.4853384335932969</v>
      </c>
      <c r="HL50" s="32">
        <v>18.370234539154168</v>
      </c>
      <c r="HM50" s="32">
        <v>83.745975494692786</v>
      </c>
      <c r="HN50" s="32">
        <v>13.755677803918665</v>
      </c>
      <c r="HO50" s="32">
        <v>33.787266419817932</v>
      </c>
      <c r="HP50" s="32">
        <v>18.370234539154168</v>
      </c>
      <c r="HQ50" s="32">
        <v>24.531928178739861</v>
      </c>
      <c r="HR50" s="32">
        <v>63.380281690140848</v>
      </c>
      <c r="HS50" s="32" t="s">
        <v>34</v>
      </c>
      <c r="HT50" s="32" t="s">
        <v>34</v>
      </c>
      <c r="HU50" s="32" t="s">
        <v>34</v>
      </c>
      <c r="HV50" s="32" t="s">
        <v>34</v>
      </c>
      <c r="HW50" s="50" t="s">
        <v>34</v>
      </c>
      <c r="HX50" s="69"/>
      <c r="HY50" s="32" t="s">
        <v>34</v>
      </c>
      <c r="HZ50" s="32" t="s">
        <v>34</v>
      </c>
      <c r="IA50" s="32" t="s">
        <v>34</v>
      </c>
      <c r="IB50" s="32" t="s">
        <v>34</v>
      </c>
      <c r="IC50" s="32" t="s">
        <v>34</v>
      </c>
      <c r="ID50" s="32" t="s">
        <v>34</v>
      </c>
      <c r="IE50" s="32" t="s">
        <v>34</v>
      </c>
      <c r="IF50" s="32" t="s">
        <v>34</v>
      </c>
      <c r="IG50" s="32" t="s">
        <v>34</v>
      </c>
      <c r="IH50" s="32" t="s">
        <v>34</v>
      </c>
      <c r="II50" s="32" t="s">
        <v>34</v>
      </c>
      <c r="IJ50" s="32" t="s">
        <v>34</v>
      </c>
      <c r="IK50" s="32" t="s">
        <v>34</v>
      </c>
      <c r="IL50" s="32" t="s">
        <v>34</v>
      </c>
      <c r="IM50" s="32" t="s">
        <v>34</v>
      </c>
      <c r="IN50" s="32" t="s">
        <v>34</v>
      </c>
      <c r="IO50" s="32" t="s">
        <v>34</v>
      </c>
      <c r="IP50" s="32" t="s">
        <v>34</v>
      </c>
      <c r="IQ50" s="8" t="s">
        <v>34</v>
      </c>
      <c r="IR50" s="32" t="s">
        <v>34</v>
      </c>
      <c r="IS50" s="32" t="s">
        <v>34</v>
      </c>
      <c r="IT50" s="32" t="s">
        <v>34</v>
      </c>
      <c r="IU50" s="32" t="s">
        <v>34</v>
      </c>
      <c r="IV50" s="32" t="s">
        <v>34</v>
      </c>
      <c r="IW50" s="32" t="s">
        <v>34</v>
      </c>
      <c r="IX50" s="32" t="s">
        <v>34</v>
      </c>
      <c r="IY50" s="32" t="s">
        <v>34</v>
      </c>
      <c r="IZ50" s="32" t="s">
        <v>34</v>
      </c>
      <c r="JA50" s="32" t="s">
        <v>34</v>
      </c>
      <c r="JB50" s="32" t="s">
        <v>34</v>
      </c>
      <c r="JC50" s="32" t="s">
        <v>34</v>
      </c>
      <c r="JD50" s="32" t="s">
        <v>34</v>
      </c>
      <c r="JE50" s="32" t="s">
        <v>34</v>
      </c>
      <c r="JF50" s="32" t="s">
        <v>34</v>
      </c>
      <c r="JG50" s="32" t="s">
        <v>34</v>
      </c>
      <c r="JH50" s="32" t="s">
        <v>34</v>
      </c>
      <c r="JI50" s="69"/>
      <c r="JJ50" s="32" t="s">
        <v>34</v>
      </c>
      <c r="JK50" s="32" t="s">
        <v>34</v>
      </c>
      <c r="JL50" s="32" t="s">
        <v>34</v>
      </c>
      <c r="JM50" s="32" t="s">
        <v>34</v>
      </c>
      <c r="JN50" s="32" t="s">
        <v>34</v>
      </c>
      <c r="JO50" s="32" t="s">
        <v>34</v>
      </c>
      <c r="JP50" s="32" t="s">
        <v>34</v>
      </c>
      <c r="JQ50" s="32" t="s">
        <v>34</v>
      </c>
      <c r="JR50" s="32" t="s">
        <v>34</v>
      </c>
      <c r="JS50" s="32" t="s">
        <v>34</v>
      </c>
      <c r="JT50" s="32" t="s">
        <v>34</v>
      </c>
      <c r="JU50" s="69"/>
      <c r="JV50" s="32">
        <v>1401.9946340000001</v>
      </c>
      <c r="JW50" s="32">
        <v>17.746767518987344</v>
      </c>
      <c r="JX50" s="32">
        <v>0.2</v>
      </c>
      <c r="JY50" s="32">
        <v>853.60841002884615</v>
      </c>
      <c r="JZ50" s="32">
        <v>10.805169747200583</v>
      </c>
      <c r="KA50" s="32">
        <v>393.28520381089743</v>
      </c>
      <c r="KB50" s="32">
        <v>4.9782937191252836</v>
      </c>
      <c r="KC50" s="32">
        <v>623.44680691987173</v>
      </c>
      <c r="KD50" s="32">
        <v>7.8917317331629331</v>
      </c>
      <c r="KE50" s="32">
        <v>0.311</v>
      </c>
      <c r="KF50" s="32">
        <v>6.5000000000000002E-2</v>
      </c>
      <c r="KG50" s="32">
        <v>29.869330079135498</v>
      </c>
      <c r="KH50" s="32">
        <v>68.311111876079295</v>
      </c>
      <c r="KI50" s="32">
        <v>65.641024299393266</v>
      </c>
      <c r="KJ50" s="32">
        <v>98.242774481394548</v>
      </c>
      <c r="KK50" s="32">
        <v>0.50597723557382057</v>
      </c>
      <c r="KL50" s="32">
        <v>2.7708650418037499</v>
      </c>
      <c r="KM50" s="69"/>
      <c r="KN50" s="32">
        <v>523.98745500000007</v>
      </c>
      <c r="KO50" s="32">
        <v>6.6327525949367097</v>
      </c>
      <c r="KP50" s="32">
        <v>1.4999999999999999E-2</v>
      </c>
      <c r="KQ50" s="32">
        <v>1614.8105089999999</v>
      </c>
      <c r="KR50" s="32">
        <v>20.440639354430377</v>
      </c>
      <c r="KS50" s="32">
        <v>9.4E-2</v>
      </c>
      <c r="KT50" s="32">
        <v>973.63643109569387</v>
      </c>
      <c r="KU50" s="32">
        <v>12.324511786021441</v>
      </c>
      <c r="KV50" s="32">
        <v>348.19330871291868</v>
      </c>
      <c r="KW50" s="32">
        <v>4.4075102368723886</v>
      </c>
      <c r="KX50" s="32">
        <v>660.91486990430622</v>
      </c>
      <c r="KY50" s="32">
        <v>8.3660110114469148</v>
      </c>
      <c r="KZ50" s="32">
        <v>0.20799999999999999</v>
      </c>
      <c r="LA50" s="32">
        <v>6.5000000000000002E-2</v>
      </c>
      <c r="LB50" s="32">
        <v>28.746956413049187</v>
      </c>
      <c r="LC50" s="32">
        <v>71.25304358695081</v>
      </c>
      <c r="LD50" s="32">
        <v>64.285708223207905</v>
      </c>
      <c r="LE50" s="32">
        <v>98.069688425954553</v>
      </c>
      <c r="LF50" s="32">
        <v>0.28626206274304222</v>
      </c>
      <c r="LG50" s="32">
        <v>5.6410217041211794</v>
      </c>
      <c r="LH50" s="69"/>
      <c r="LI50" s="32">
        <v>-13.137595834500093</v>
      </c>
      <c r="LJ50" s="32">
        <v>-14.10869213703139</v>
      </c>
      <c r="LK50" s="32">
        <v>72.10884353741497</v>
      </c>
      <c r="LL50" s="32">
        <v>39.691714836223504</v>
      </c>
      <c r="LM50" s="32">
        <v>3.8295625098528108</v>
      </c>
      <c r="LN50" s="69"/>
      <c r="LO50" s="32">
        <v>2121.2150789999996</v>
      </c>
      <c r="LP50" s="32">
        <v>26.850823784810121</v>
      </c>
      <c r="LQ50" s="32">
        <v>6.7000000000000004E-2</v>
      </c>
      <c r="LR50" s="32">
        <v>2121.2150789999996</v>
      </c>
      <c r="LS50" s="32">
        <v>26.850823784810121</v>
      </c>
      <c r="LT50" s="32">
        <v>6.7000000000000004E-2</v>
      </c>
      <c r="LU50" s="32">
        <v>1293.6387149215684</v>
      </c>
      <c r="LV50" s="32">
        <v>16.375173606602132</v>
      </c>
      <c r="LW50" s="32">
        <v>116.43046051633989</v>
      </c>
      <c r="LX50" s="32">
        <v>1.4738032976751885</v>
      </c>
      <c r="LY50" s="32">
        <v>705.03458771895419</v>
      </c>
      <c r="LZ50" s="32">
        <v>8.9244884521386609</v>
      </c>
      <c r="MA50" s="32">
        <v>259.28655183333331</v>
      </c>
      <c r="MB50" s="32">
        <v>3.282108251054852</v>
      </c>
      <c r="MC50" s="32">
        <v>1271.8644852745097</v>
      </c>
      <c r="MD50" s="32">
        <v>16.099550446512779</v>
      </c>
      <c r="ME50" s="32">
        <v>9.4E-2</v>
      </c>
      <c r="MF50" s="32">
        <v>-169.28172211764706</v>
      </c>
      <c r="MG50" s="8">
        <v>-2.1428066090841402</v>
      </c>
      <c r="MH50" s="32">
        <v>1337.1871742156864</v>
      </c>
      <c r="MI50" s="32">
        <v>-0.46038551377513032</v>
      </c>
      <c r="MJ50" s="32">
        <v>5.8000000000000003E-2</v>
      </c>
      <c r="MK50" s="32">
        <v>67147.930752500004</v>
      </c>
      <c r="ML50" s="32">
        <v>129058.96285050001</v>
      </c>
      <c r="MM50" s="32">
        <v>0.152</v>
      </c>
      <c r="MN50" s="32">
        <v>0.11799999999999999</v>
      </c>
      <c r="MO50" s="32">
        <v>61.842105263157897</v>
      </c>
      <c r="MP50" s="32">
        <v>10.937819094882293</v>
      </c>
      <c r="MQ50" s="32">
        <v>7.5229345397166396</v>
      </c>
      <c r="MR50" s="32">
        <v>16.753311357016106</v>
      </c>
      <c r="MS50" s="32">
        <v>83.586024887639525</v>
      </c>
      <c r="MT50" s="32">
        <v>10.937819094882293</v>
      </c>
      <c r="MU50" s="32">
        <v>29.894732836731482</v>
      </c>
      <c r="MV50" s="32">
        <v>16.753311357016106</v>
      </c>
      <c r="MW50" s="32">
        <v>22.027313929429116</v>
      </c>
      <c r="MX50" s="32" t="s">
        <v>34</v>
      </c>
      <c r="MY50" s="32" t="s">
        <v>34</v>
      </c>
      <c r="MZ50" s="32" t="s">
        <v>34</v>
      </c>
      <c r="NA50" s="32" t="s">
        <v>34</v>
      </c>
      <c r="NB50" s="50" t="s">
        <v>34</v>
      </c>
      <c r="NC50" s="69"/>
      <c r="ND50" s="32">
        <v>2264.8715950000001</v>
      </c>
      <c r="NE50" s="32">
        <v>28.669260696202532</v>
      </c>
      <c r="NF50" s="32">
        <v>0.04</v>
      </c>
      <c r="NG50" s="32">
        <v>2334.860408</v>
      </c>
      <c r="NH50" s="32">
        <v>29.555195037974684</v>
      </c>
      <c r="NI50" s="32">
        <v>6.6000000000000003E-2</v>
      </c>
      <c r="NJ50" s="32">
        <v>1419.0451838092106</v>
      </c>
      <c r="NK50" s="32">
        <v>17.96259726340773</v>
      </c>
      <c r="NL50" s="32">
        <v>72.870660809210534</v>
      </c>
      <c r="NM50" s="32">
        <v>0.92241342796469028</v>
      </c>
      <c r="NN50" s="32">
        <v>745.95792230921052</v>
      </c>
      <c r="NO50" s="32">
        <v>9.4425053456862091</v>
      </c>
      <c r="NP50" s="32">
        <v>274.33018952222221</v>
      </c>
      <c r="NQ50" s="32">
        <v>3.4725340445850912</v>
      </c>
      <c r="NR50" s="32">
        <v>1245.3312259666668</v>
      </c>
      <c r="NS50" s="32">
        <v>15.763686404641351</v>
      </c>
      <c r="NT50" s="32">
        <v>8.5999999999999993E-2</v>
      </c>
      <c r="NU50" s="32">
        <v>-219.57059054838712</v>
      </c>
      <c r="NV50" s="8">
        <v>-2.7793745639036342</v>
      </c>
      <c r="NW50" s="32">
        <v>1671.2106064838711</v>
      </c>
      <c r="NX50" s="32">
        <v>-1.0179951616986525</v>
      </c>
      <c r="NY50" s="32">
        <v>6.5000000000000002E-2</v>
      </c>
      <c r="NZ50" s="32">
        <v>102451.29725799999</v>
      </c>
      <c r="OA50" s="32">
        <v>111303.63949099998</v>
      </c>
      <c r="OB50" s="32">
        <v>0.151</v>
      </c>
      <c r="OC50" s="32">
        <v>0.11799999999999999</v>
      </c>
      <c r="OD50" s="32">
        <v>56.953642384105962</v>
      </c>
      <c r="OE50" s="32">
        <v>4.3607989500353215</v>
      </c>
      <c r="OF50" s="32">
        <v>13.139762835813585</v>
      </c>
      <c r="OG50" s="32">
        <v>16.416741513620124</v>
      </c>
      <c r="OH50" s="32">
        <v>84.919920841800945</v>
      </c>
      <c r="OI50" s="32">
        <v>4.3607989500353215</v>
      </c>
      <c r="OJ50" s="32">
        <v>13.139762835813585</v>
      </c>
      <c r="OK50" s="32">
        <v>16.416741513620124</v>
      </c>
      <c r="OL50" s="32">
        <v>0.2365734327680544</v>
      </c>
      <c r="OM50" s="32">
        <v>9.8694954064820379</v>
      </c>
      <c r="ON50" s="69"/>
      <c r="OO50" s="32">
        <v>-9.2459330736115497</v>
      </c>
      <c r="OP50" s="32">
        <v>-25.865279332377611</v>
      </c>
      <c r="OQ50" s="32">
        <v>-5.6383679607477468</v>
      </c>
      <c r="OR50" s="32">
        <v>-9.5889456820595544</v>
      </c>
      <c r="OS50" s="32">
        <v>1.5037593984962419</v>
      </c>
      <c r="OT50" s="32">
        <v>-6.5505552752330525</v>
      </c>
      <c r="OU50" s="32">
        <v>0.66006600660066073</v>
      </c>
      <c r="OV50" s="32">
        <v>-125.38200112155479</v>
      </c>
      <c r="OW50" s="32">
        <v>53.217881272888064</v>
      </c>
      <c r="OX50" s="32">
        <v>-18.290405965759302</v>
      </c>
      <c r="OY50" s="32">
        <v>2.0293597041199152</v>
      </c>
    </row>
    <row r="51" spans="1:415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9"/>
      <c r="K51" s="32">
        <v>1435.8439110000004</v>
      </c>
      <c r="L51" s="32">
        <v>19.144585480000003</v>
      </c>
      <c r="M51" s="32">
        <v>0.39800000000000002</v>
      </c>
      <c r="N51" s="32">
        <v>545.32781485714281</v>
      </c>
      <c r="O51" s="32">
        <v>7.2710375314285711</v>
      </c>
      <c r="P51" s="32">
        <v>286.51085141836739</v>
      </c>
      <c r="Q51" s="32">
        <v>3.8201446855782319</v>
      </c>
      <c r="R51" s="32">
        <v>415.91933313775507</v>
      </c>
      <c r="S51" s="32">
        <v>5.5455911085034009</v>
      </c>
      <c r="T51" s="32">
        <v>0.48899999999999999</v>
      </c>
      <c r="U51" s="32">
        <v>5.6000000000000001E-2</v>
      </c>
      <c r="V51" s="32">
        <v>35.935757319378894</v>
      </c>
      <c r="W51" s="32">
        <v>64.064242680621106</v>
      </c>
      <c r="X51" s="32">
        <v>72.44700517057646</v>
      </c>
      <c r="Y51" s="32">
        <v>88.185425529819241</v>
      </c>
      <c r="Z51" s="32">
        <v>0.62887011532174453</v>
      </c>
      <c r="AA51" s="32">
        <v>2.2832121864550508</v>
      </c>
      <c r="AB51" s="69"/>
      <c r="AC51" s="32">
        <v>698.58983400000011</v>
      </c>
      <c r="AD51" s="32">
        <v>9.3145311200000016</v>
      </c>
      <c r="AE51" s="32">
        <v>0.02</v>
      </c>
      <c r="AF51" s="32">
        <v>1749.5944390000002</v>
      </c>
      <c r="AG51" s="32">
        <v>23.327925853333337</v>
      </c>
      <c r="AH51" s="32">
        <v>9.4E-2</v>
      </c>
      <c r="AI51" s="32">
        <v>1032.652172224138</v>
      </c>
      <c r="AJ51" s="32">
        <v>13.768695629655173</v>
      </c>
      <c r="AK51" s="32">
        <v>446.20008965517252</v>
      </c>
      <c r="AL51" s="32">
        <v>5.9493345287356334</v>
      </c>
      <c r="AM51" s="32">
        <v>739.4261309396552</v>
      </c>
      <c r="AN51" s="32">
        <v>9.8590150791954034</v>
      </c>
      <c r="AO51" s="32">
        <v>0.17299999999999999</v>
      </c>
      <c r="AP51" s="32">
        <v>5.6000000000000001E-2</v>
      </c>
      <c r="AQ51" s="32">
        <v>31.377645629948493</v>
      </c>
      <c r="AR51" s="32">
        <v>68.622354370051497</v>
      </c>
      <c r="AS51" s="32">
        <v>72.916652226116682</v>
      </c>
      <c r="AT51" s="32">
        <v>98.541100415296597</v>
      </c>
      <c r="AU51" s="32">
        <v>0.21577048621430661</v>
      </c>
      <c r="AV51" s="32">
        <v>8.1085901491748764</v>
      </c>
      <c r="AW51" s="69"/>
      <c r="AX51" s="32">
        <v>61.765594159198088</v>
      </c>
      <c r="AY51" s="32">
        <v>19.699048829496245</v>
      </c>
      <c r="AZ51" s="32">
        <v>-123.57723577235775</v>
      </c>
      <c r="BA51" s="32">
        <v>-95.468277945619349</v>
      </c>
      <c r="BB51" s="32">
        <v>-13.542954269780969</v>
      </c>
      <c r="BC51" s="69"/>
      <c r="BD51" s="32">
        <v>1277.832521</v>
      </c>
      <c r="BE51" s="32">
        <v>17.037766946666668</v>
      </c>
      <c r="BF51" s="32">
        <v>2.1000000000000001E-2</v>
      </c>
      <c r="BG51" s="32">
        <v>2085.4902689999999</v>
      </c>
      <c r="BH51" s="32">
        <v>27.806536919999999</v>
      </c>
      <c r="BI51" s="32">
        <v>4.4999999999999998E-2</v>
      </c>
      <c r="BJ51" s="32">
        <v>1275.8167630378787</v>
      </c>
      <c r="BK51" s="32">
        <v>17.010890173838384</v>
      </c>
      <c r="BL51" s="32">
        <v>218.70039447727274</v>
      </c>
      <c r="BM51" s="32">
        <v>2.9160052596969699</v>
      </c>
      <c r="BN51" s="32">
        <v>747.25857875757572</v>
      </c>
      <c r="BO51" s="32">
        <v>9.9634477167676767</v>
      </c>
      <c r="BP51" s="32">
        <v>334.78945998095247</v>
      </c>
      <c r="BQ51" s="32">
        <v>4.4638594664126998</v>
      </c>
      <c r="BR51" s="32">
        <v>1323.1497424857141</v>
      </c>
      <c r="BS51" s="32">
        <v>17.641996566476188</v>
      </c>
      <c r="BT51" s="32">
        <v>8.5999999999999993E-2</v>
      </c>
      <c r="BU51" s="32">
        <v>-232.75708248148152</v>
      </c>
      <c r="BV51" s="8">
        <v>-3.1034277664197534</v>
      </c>
      <c r="BW51" s="32">
        <v>1091.744065185185</v>
      </c>
      <c r="BX51" s="32" t="s">
        <v>34</v>
      </c>
      <c r="BY51" s="32">
        <v>4.4999999999999998E-2</v>
      </c>
      <c r="BZ51" s="32">
        <v>28429.421384499998</v>
      </c>
      <c r="CA51" s="32">
        <v>138292.66330200003</v>
      </c>
      <c r="CB51" s="32">
        <v>0.13100000000000001</v>
      </c>
      <c r="CC51" s="32">
        <v>9.1999999999999998E-2</v>
      </c>
      <c r="CD51" s="32">
        <v>65.648854961832043</v>
      </c>
      <c r="CE51" s="32">
        <v>15.468797552477694</v>
      </c>
      <c r="CF51" s="32">
        <v>14.534604450049772</v>
      </c>
      <c r="CG51" s="32">
        <v>22.24976496498541</v>
      </c>
      <c r="CH51" s="32">
        <v>84.78947669856845</v>
      </c>
      <c r="CI51" s="32">
        <v>15.468797552477694</v>
      </c>
      <c r="CJ51" s="32">
        <v>40.916853494511507</v>
      </c>
      <c r="CK51" s="32">
        <v>22.24976496498541</v>
      </c>
      <c r="CL51" s="32">
        <v>26.300786459118278</v>
      </c>
      <c r="CM51" s="32" t="s">
        <v>34</v>
      </c>
      <c r="CN51" s="32" t="s">
        <v>34</v>
      </c>
      <c r="CO51" s="32" t="s">
        <v>34</v>
      </c>
      <c r="CP51" s="32" t="s">
        <v>34</v>
      </c>
      <c r="CQ51" s="17" t="s">
        <v>34</v>
      </c>
      <c r="CR51" s="69"/>
      <c r="CS51" s="32">
        <v>976.48929199999998</v>
      </c>
      <c r="CT51" s="32">
        <v>13.019857226666666</v>
      </c>
      <c r="CU51" s="32">
        <v>2.1999999999999999E-2</v>
      </c>
      <c r="CV51" s="32">
        <v>976.48929199999998</v>
      </c>
      <c r="CW51" s="32">
        <v>13.019857226666666</v>
      </c>
      <c r="CX51" s="32">
        <v>2.1999999999999999E-2</v>
      </c>
      <c r="CY51" s="32">
        <v>334.29477779166672</v>
      </c>
      <c r="CZ51" s="32">
        <v>4.4572637038888896</v>
      </c>
      <c r="DA51" s="32">
        <v>73.74509750833333</v>
      </c>
      <c r="DB51" s="32">
        <v>0.98326796677777772</v>
      </c>
      <c r="DC51" s="32">
        <v>204.01993765000003</v>
      </c>
      <c r="DD51" s="32">
        <v>2.7202658353333335</v>
      </c>
      <c r="DE51" s="32">
        <v>110.72855138834952</v>
      </c>
      <c r="DF51" s="32">
        <v>1.4763806851779935</v>
      </c>
      <c r="DG51" s="32">
        <v>310.12254866990287</v>
      </c>
      <c r="DH51" s="32">
        <v>4.134967315598705</v>
      </c>
      <c r="DI51" s="32">
        <v>0.10199999999999999</v>
      </c>
      <c r="DJ51" s="32">
        <v>-150.33112305882355</v>
      </c>
      <c r="DK51" s="8">
        <v>-2.0044149741176471</v>
      </c>
      <c r="DL51" s="32">
        <v>480.75004835294118</v>
      </c>
      <c r="DM51" s="32">
        <v>-2.514054670588235</v>
      </c>
      <c r="DN51" s="32">
        <v>1.6E-2</v>
      </c>
      <c r="DO51" s="32">
        <v>7710.6911165000001</v>
      </c>
      <c r="DP51" s="32">
        <v>31947.0227385</v>
      </c>
      <c r="DQ51" s="32">
        <v>0.11899999999999999</v>
      </c>
      <c r="DR51" s="32">
        <v>9.1999999999999998E-2</v>
      </c>
      <c r="DS51" s="32">
        <v>85.714285714285708</v>
      </c>
      <c r="DT51" s="32">
        <v>16.364754471767725</v>
      </c>
      <c r="DU51" s="32">
        <v>33.359938510417557</v>
      </c>
      <c r="DV51" s="32">
        <v>24.571742633875978</v>
      </c>
      <c r="DW51" s="32">
        <v>74.183262950280607</v>
      </c>
      <c r="DX51" s="32">
        <v>16.364754471767725</v>
      </c>
      <c r="DY51" s="32">
        <v>33.359938510417557</v>
      </c>
      <c r="DZ51" s="32">
        <v>24.571742633875978</v>
      </c>
      <c r="EA51" s="32">
        <v>4.6048534927916412E-2</v>
      </c>
      <c r="EB51" s="32">
        <v>21.205653850411952</v>
      </c>
      <c r="EC51" s="69"/>
      <c r="ED51" s="32">
        <v>-116.95115044776716</v>
      </c>
      <c r="EE51" s="32">
        <v>-43.03236603507797</v>
      </c>
      <c r="EF51" s="32">
        <v>-100.58444456777428</v>
      </c>
      <c r="EG51" s="32">
        <v>-72.43686346735872</v>
      </c>
      <c r="EH51" s="32">
        <v>-68.656716417910445</v>
      </c>
      <c r="EI51" s="32">
        <v>-26.734712609552346</v>
      </c>
      <c r="EJ51" s="32">
        <v>-9.6000000000000085</v>
      </c>
      <c r="EK51" s="32">
        <v>163.44350697036737</v>
      </c>
      <c r="EL51" s="32">
        <v>-11.845876973361518</v>
      </c>
      <c r="EM51" s="32">
        <v>73.281196281200749</v>
      </c>
      <c r="EN51" s="32">
        <v>9.9184233399055888</v>
      </c>
      <c r="EO51" s="69"/>
      <c r="EP51" s="32">
        <v>1298.6615450000002</v>
      </c>
      <c r="EQ51" s="32">
        <v>17.315487266666668</v>
      </c>
      <c r="ER51" s="32">
        <v>0.40799999999999997</v>
      </c>
      <c r="ES51" s="32">
        <v>801.94790362449805</v>
      </c>
      <c r="ET51" s="32">
        <v>10.692638714993308</v>
      </c>
      <c r="EU51" s="32">
        <v>403.51004094377527</v>
      </c>
      <c r="EV51" s="32">
        <v>5.3801338792503373</v>
      </c>
      <c r="EW51" s="32">
        <v>602.72897228413672</v>
      </c>
      <c r="EX51" s="32">
        <v>8.0363862971218225</v>
      </c>
      <c r="EY51" s="32">
        <v>0.497</v>
      </c>
      <c r="EZ51" s="32">
        <v>5.8999999999999997E-2</v>
      </c>
      <c r="FA51" s="32">
        <v>32.909139316347499</v>
      </c>
      <c r="FB51" s="32">
        <v>67.090860683652508</v>
      </c>
      <c r="FC51" s="32">
        <v>75.977654496609702</v>
      </c>
      <c r="FD51" s="32">
        <v>94.688027834950134</v>
      </c>
      <c r="FE51" s="32">
        <v>1.30738227900205</v>
      </c>
      <c r="FF51" s="32">
        <v>0.99332962199188868</v>
      </c>
      <c r="FG51" s="69"/>
      <c r="FH51" s="32">
        <v>644.16408500000011</v>
      </c>
      <c r="FI51" s="32">
        <v>8.5888544666666675</v>
      </c>
      <c r="FJ51" s="32">
        <v>1.6E-2</v>
      </c>
      <c r="FK51" s="32">
        <v>1740.198862</v>
      </c>
      <c r="FL51" s="32">
        <v>23.202651493333335</v>
      </c>
      <c r="FM51" s="32">
        <v>0.09</v>
      </c>
      <c r="FN51" s="32">
        <v>1038.9616712944444</v>
      </c>
      <c r="FO51" s="32">
        <v>13.852822283925924</v>
      </c>
      <c r="FP51" s="32">
        <v>405.73321274444436</v>
      </c>
      <c r="FQ51" s="32">
        <v>5.4097761699259248</v>
      </c>
      <c r="FR51" s="32">
        <v>722.34744201944432</v>
      </c>
      <c r="FS51" s="32">
        <v>9.6312992269259237</v>
      </c>
      <c r="FT51" s="32">
        <v>0.17899999999999999</v>
      </c>
      <c r="FU51" s="32">
        <v>5.8999999999999997E-2</v>
      </c>
      <c r="FV51" s="32">
        <v>30.598656685131775</v>
      </c>
      <c r="FW51" s="32">
        <v>69.401343314868228</v>
      </c>
      <c r="FX51" s="32">
        <v>88.461522055705927</v>
      </c>
      <c r="FY51" s="32">
        <v>99.41391108301309</v>
      </c>
      <c r="FZ51" s="32">
        <v>0.23608387087826826</v>
      </c>
      <c r="GA51" s="32">
        <v>7.371104411013734</v>
      </c>
      <c r="GB51" s="69"/>
      <c r="GC51" s="32">
        <v>25.749637124939433</v>
      </c>
      <c r="GD51" s="32">
        <v>29.059401082255754</v>
      </c>
      <c r="GE51" s="32">
        <v>-127.71084337349396</v>
      </c>
      <c r="GF51" s="32">
        <v>-94.082840236686408</v>
      </c>
      <c r="GG51" s="32">
        <v>-7.2762173360949447</v>
      </c>
      <c r="GH51" s="69"/>
      <c r="GI51" s="32">
        <v>1451.3710000000001</v>
      </c>
      <c r="GJ51" s="32">
        <v>19.351613333333333</v>
      </c>
      <c r="GK51" s="32">
        <v>2.1000000000000001E-2</v>
      </c>
      <c r="GL51" s="32">
        <v>2202.9438540000001</v>
      </c>
      <c r="GM51" s="32">
        <v>29.372584720000003</v>
      </c>
      <c r="GN51" s="32">
        <v>4.4999999999999998E-2</v>
      </c>
      <c r="GO51" s="32">
        <v>1312.8577774785715</v>
      </c>
      <c r="GP51" s="32">
        <v>17.504770366380953</v>
      </c>
      <c r="GQ51" s="32">
        <v>178.26798427857145</v>
      </c>
      <c r="GR51" s="32">
        <v>2.3769064570476193</v>
      </c>
      <c r="GS51" s="32">
        <v>745.56288087857149</v>
      </c>
      <c r="GT51" s="32">
        <v>9.9408384117142869</v>
      </c>
      <c r="GU51" s="32">
        <v>277.49862256363639</v>
      </c>
      <c r="GV51" s="32">
        <v>3.6999816341818184</v>
      </c>
      <c r="GW51" s="32">
        <v>1360.6899292000001</v>
      </c>
      <c r="GX51" s="32">
        <v>18.142532389333333</v>
      </c>
      <c r="GY51" s="32">
        <v>9.1999999999999998E-2</v>
      </c>
      <c r="GZ51" s="32">
        <v>-185.57768943333329</v>
      </c>
      <c r="HA51" s="8">
        <v>-2.4743691924444438</v>
      </c>
      <c r="HB51" s="32">
        <v>1137.4732211666665</v>
      </c>
      <c r="HC51" s="32">
        <v>0.31555784666666664</v>
      </c>
      <c r="HD51" s="32">
        <v>0.13900000000000001</v>
      </c>
      <c r="HE51" s="32">
        <v>34108.290903000001</v>
      </c>
      <c r="HF51" s="32">
        <v>148954.71515549999</v>
      </c>
      <c r="HG51" s="32">
        <v>0.13900000000000001</v>
      </c>
      <c r="HH51" s="32" t="s">
        <v>34</v>
      </c>
      <c r="HI51" s="32">
        <v>66.187050359712217</v>
      </c>
      <c r="HJ51" s="32">
        <v>12.50776912814294</v>
      </c>
      <c r="HK51" s="32">
        <v>12.015101584163187</v>
      </c>
      <c r="HL51" s="32">
        <v>18.70315723297395</v>
      </c>
      <c r="HM51" s="32">
        <v>88.485431782939941</v>
      </c>
      <c r="HN51" s="32">
        <v>12.50776912814294</v>
      </c>
      <c r="HO51" s="32">
        <v>36.560909356406327</v>
      </c>
      <c r="HP51" s="32">
        <v>18.70315723297395</v>
      </c>
      <c r="HQ51" s="32">
        <v>25.070178794931</v>
      </c>
      <c r="HR51" s="32">
        <v>66.187050359712217</v>
      </c>
      <c r="HS51" s="32" t="s">
        <v>34</v>
      </c>
      <c r="HT51" s="32" t="s">
        <v>34</v>
      </c>
      <c r="HU51" s="32" t="s">
        <v>34</v>
      </c>
      <c r="HV51" s="32" t="s">
        <v>34</v>
      </c>
      <c r="HW51" s="17" t="s">
        <v>34</v>
      </c>
      <c r="HX51" s="69"/>
      <c r="HY51" s="32" t="s">
        <v>34</v>
      </c>
      <c r="HZ51" s="32" t="s">
        <v>34</v>
      </c>
      <c r="IA51" s="32" t="s">
        <v>34</v>
      </c>
      <c r="IB51" s="32" t="s">
        <v>34</v>
      </c>
      <c r="IC51" s="32" t="s">
        <v>34</v>
      </c>
      <c r="ID51" s="32" t="s">
        <v>34</v>
      </c>
      <c r="IE51" s="32" t="s">
        <v>34</v>
      </c>
      <c r="IF51" s="32" t="s">
        <v>34</v>
      </c>
      <c r="IG51" s="32" t="s">
        <v>34</v>
      </c>
      <c r="IH51" s="32" t="s">
        <v>34</v>
      </c>
      <c r="II51" s="32" t="s">
        <v>34</v>
      </c>
      <c r="IJ51" s="32" t="s">
        <v>34</v>
      </c>
      <c r="IK51" s="32" t="s">
        <v>34</v>
      </c>
      <c r="IL51" s="32" t="s">
        <v>34</v>
      </c>
      <c r="IM51" s="32" t="s">
        <v>34</v>
      </c>
      <c r="IN51" s="32" t="s">
        <v>34</v>
      </c>
      <c r="IO51" s="32" t="s">
        <v>34</v>
      </c>
      <c r="IP51" s="32" t="s">
        <v>34</v>
      </c>
      <c r="IQ51" s="8" t="s">
        <v>34</v>
      </c>
      <c r="IR51" s="32" t="s">
        <v>34</v>
      </c>
      <c r="IS51" s="32" t="s">
        <v>34</v>
      </c>
      <c r="IT51" s="32" t="s">
        <v>34</v>
      </c>
      <c r="IU51" s="32" t="s">
        <v>34</v>
      </c>
      <c r="IV51" s="32" t="s">
        <v>34</v>
      </c>
      <c r="IW51" s="32" t="s">
        <v>34</v>
      </c>
      <c r="IX51" s="32" t="s">
        <v>34</v>
      </c>
      <c r="IY51" s="32" t="s">
        <v>34</v>
      </c>
      <c r="IZ51" s="32" t="s">
        <v>34</v>
      </c>
      <c r="JA51" s="32" t="s">
        <v>34</v>
      </c>
      <c r="JB51" s="32" t="s">
        <v>34</v>
      </c>
      <c r="JC51" s="32" t="s">
        <v>34</v>
      </c>
      <c r="JD51" s="32" t="s">
        <v>34</v>
      </c>
      <c r="JE51" s="32" t="s">
        <v>34</v>
      </c>
      <c r="JF51" s="32" t="s">
        <v>34</v>
      </c>
      <c r="JG51" s="32" t="s">
        <v>34</v>
      </c>
      <c r="JH51" s="32" t="s">
        <v>34</v>
      </c>
      <c r="JI51" s="69"/>
      <c r="JJ51" s="32" t="s">
        <v>34</v>
      </c>
      <c r="JK51" s="32" t="s">
        <v>34</v>
      </c>
      <c r="JL51" s="32" t="s">
        <v>34</v>
      </c>
      <c r="JM51" s="32" t="s">
        <v>34</v>
      </c>
      <c r="JN51" s="32" t="s">
        <v>34</v>
      </c>
      <c r="JO51" s="32" t="s">
        <v>34</v>
      </c>
      <c r="JP51" s="32" t="s">
        <v>34</v>
      </c>
      <c r="JQ51" s="32" t="s">
        <v>34</v>
      </c>
      <c r="JR51" s="32" t="s">
        <v>34</v>
      </c>
      <c r="JS51" s="32" t="s">
        <v>34</v>
      </c>
      <c r="JT51" s="32" t="s">
        <v>34</v>
      </c>
      <c r="JU51" s="69"/>
      <c r="JV51" s="32">
        <v>1326.559616</v>
      </c>
      <c r="JW51" s="32">
        <v>17.687461546666668</v>
      </c>
      <c r="JX51" s="32">
        <v>0.316</v>
      </c>
      <c r="JY51" s="32">
        <v>596.74393179268282</v>
      </c>
      <c r="JZ51" s="32">
        <v>7.9565857572357706</v>
      </c>
      <c r="KA51" s="32">
        <v>297.51081215121951</v>
      </c>
      <c r="KB51" s="32">
        <v>3.9668108286829269</v>
      </c>
      <c r="KC51" s="32">
        <v>447.12737197195116</v>
      </c>
      <c r="KD51" s="32">
        <v>5.9616982929593485</v>
      </c>
      <c r="KE51" s="32">
        <v>0.40899999999999997</v>
      </c>
      <c r="KF51" s="32">
        <v>5.5E-2</v>
      </c>
      <c r="KG51" s="32">
        <v>35.816452487685346</v>
      </c>
      <c r="KH51" s="32">
        <v>64.147762642837137</v>
      </c>
      <c r="KI51" s="32">
        <v>68.733161776827984</v>
      </c>
      <c r="KJ51" s="32">
        <v>92.664101757112903</v>
      </c>
      <c r="KK51" s="32">
        <v>0.50979081237176338</v>
      </c>
      <c r="KL51" s="32">
        <v>2.6021646208731801</v>
      </c>
      <c r="KM51" s="69"/>
      <c r="KN51" s="32">
        <v>1687.3781159999999</v>
      </c>
      <c r="KO51" s="32">
        <v>22.498374879999997</v>
      </c>
      <c r="KP51" s="32">
        <v>0.105</v>
      </c>
      <c r="KQ51" s="32">
        <v>1687.3781159999999</v>
      </c>
      <c r="KR51" s="32">
        <v>22.498374879999997</v>
      </c>
      <c r="KS51" s="32">
        <v>0.105</v>
      </c>
      <c r="KT51" s="32">
        <v>1001.8018822135921</v>
      </c>
      <c r="KU51" s="32">
        <v>13.35735842951456</v>
      </c>
      <c r="KV51" s="32">
        <v>363.2425030679612</v>
      </c>
      <c r="KW51" s="32">
        <v>4.8432333742394826</v>
      </c>
      <c r="KX51" s="32">
        <v>682.52219264077667</v>
      </c>
      <c r="KY51" s="32">
        <v>9.100295901877022</v>
      </c>
      <c r="KZ51" s="32">
        <v>0.20499999999999999</v>
      </c>
      <c r="LA51" s="32">
        <v>5.5E-2</v>
      </c>
      <c r="LB51" s="32">
        <v>28.512642831835983</v>
      </c>
      <c r="LC51" s="32">
        <v>71.487357168164024</v>
      </c>
      <c r="LD51" s="32">
        <v>60.818726724872583</v>
      </c>
      <c r="LE51" s="32">
        <v>99.182795069074373</v>
      </c>
      <c r="LF51" s="32">
        <v>0.29891512237426898</v>
      </c>
      <c r="LG51" s="32">
        <v>5.6450075278802681</v>
      </c>
      <c r="LH51" s="69"/>
      <c r="LI51" s="32">
        <v>50.678303602166174</v>
      </c>
      <c r="LJ51" s="32">
        <v>23.943328103236333</v>
      </c>
      <c r="LK51" s="32">
        <v>-100.23752969121142</v>
      </c>
      <c r="LL51" s="32">
        <v>-66.44951140065146</v>
      </c>
      <c r="LM51" s="32">
        <v>-22.707639893182041</v>
      </c>
      <c r="LN51" s="69"/>
      <c r="LO51" s="32">
        <v>2377.2937449999999</v>
      </c>
      <c r="LP51" s="32">
        <v>31.697249933333332</v>
      </c>
      <c r="LQ51" s="32">
        <v>3.9E-2</v>
      </c>
      <c r="LR51" s="32">
        <v>2377.2937449999999</v>
      </c>
      <c r="LS51" s="32">
        <v>31.697249933333332</v>
      </c>
      <c r="LT51" s="32">
        <v>3.9E-2</v>
      </c>
      <c r="LU51" s="32">
        <v>1417.3529301216215</v>
      </c>
      <c r="LV51" s="32">
        <v>18.898039068288288</v>
      </c>
      <c r="LW51" s="32">
        <v>108.55586220945945</v>
      </c>
      <c r="LX51" s="32">
        <v>1.447411496126126</v>
      </c>
      <c r="LY51" s="32">
        <v>762.95439616554052</v>
      </c>
      <c r="LZ51" s="32">
        <v>10.172725282207207</v>
      </c>
      <c r="MA51" s="32">
        <v>264.58566424242423</v>
      </c>
      <c r="MB51" s="32">
        <v>3.5278088565656565</v>
      </c>
      <c r="MC51" s="32">
        <v>1268.8982421212122</v>
      </c>
      <c r="MD51" s="32">
        <v>16.918643228282829</v>
      </c>
      <c r="ME51" s="32">
        <v>8.5999999999999993E-2</v>
      </c>
      <c r="MF51" s="32">
        <v>-206.68802353061221</v>
      </c>
      <c r="MG51" s="8">
        <v>-2.755840313741496</v>
      </c>
      <c r="MH51" s="32">
        <v>1717.291993632653</v>
      </c>
      <c r="MI51" s="32">
        <v>-0.74395063401360562</v>
      </c>
      <c r="MJ51" s="32">
        <v>6.0999999999999999E-2</v>
      </c>
      <c r="MK51" s="32">
        <v>83059.568451500003</v>
      </c>
      <c r="ML51" s="32">
        <v>124650.631261</v>
      </c>
      <c r="MM51" s="32">
        <v>0.14699999999999999</v>
      </c>
      <c r="MN51" s="32" t="s">
        <v>34</v>
      </c>
      <c r="MO51" s="32">
        <v>58.503401360544217</v>
      </c>
      <c r="MP51" s="32">
        <v>12.956602641488033</v>
      </c>
      <c r="MQ51" s="32">
        <v>6.8050153416062678</v>
      </c>
      <c r="MR51" s="32">
        <v>16.586018181723649</v>
      </c>
      <c r="MS51" s="32">
        <v>88.849263758210625</v>
      </c>
      <c r="MT51" s="32">
        <v>12.956602641488033</v>
      </c>
      <c r="MU51" s="32">
        <v>30.480993186142445</v>
      </c>
      <c r="MV51" s="32">
        <v>16.586018181723649</v>
      </c>
      <c r="MW51" s="32">
        <v>23.120887163844372</v>
      </c>
      <c r="MX51" s="32" t="s">
        <v>34</v>
      </c>
      <c r="MY51" s="32" t="s">
        <v>34</v>
      </c>
      <c r="MZ51" s="32" t="s">
        <v>34</v>
      </c>
      <c r="NA51" s="32" t="s">
        <v>34</v>
      </c>
      <c r="NB51" s="17" t="s">
        <v>34</v>
      </c>
      <c r="NC51" s="69"/>
      <c r="ND51" s="32" t="s">
        <v>34</v>
      </c>
      <c r="NE51" s="32" t="s">
        <v>34</v>
      </c>
      <c r="NF51" s="32" t="s">
        <v>34</v>
      </c>
      <c r="NG51" s="32" t="s">
        <v>34</v>
      </c>
      <c r="NH51" s="32" t="s">
        <v>34</v>
      </c>
      <c r="NI51" s="32" t="s">
        <v>34</v>
      </c>
      <c r="NJ51" s="32" t="s">
        <v>34</v>
      </c>
      <c r="NK51" s="32" t="s">
        <v>34</v>
      </c>
      <c r="NL51" s="32" t="s">
        <v>34</v>
      </c>
      <c r="NM51" s="32" t="s">
        <v>34</v>
      </c>
      <c r="NN51" s="32" t="s">
        <v>34</v>
      </c>
      <c r="NO51" s="32" t="s">
        <v>34</v>
      </c>
      <c r="NP51" s="32" t="s">
        <v>34</v>
      </c>
      <c r="NQ51" s="32" t="s">
        <v>34</v>
      </c>
      <c r="NR51" s="32" t="s">
        <v>34</v>
      </c>
      <c r="NS51" s="32" t="s">
        <v>34</v>
      </c>
      <c r="NT51" s="32" t="s">
        <v>34</v>
      </c>
      <c r="NU51" s="32" t="s">
        <v>34</v>
      </c>
      <c r="NV51" s="8" t="s">
        <v>34</v>
      </c>
      <c r="NW51" s="32" t="s">
        <v>34</v>
      </c>
      <c r="NX51" s="32" t="s">
        <v>34</v>
      </c>
      <c r="NY51" s="32" t="s">
        <v>34</v>
      </c>
      <c r="NZ51" s="32" t="s">
        <v>34</v>
      </c>
      <c r="OA51" s="32" t="s">
        <v>34</v>
      </c>
      <c r="OB51" s="32" t="s">
        <v>34</v>
      </c>
      <c r="OC51" s="32" t="s">
        <v>34</v>
      </c>
      <c r="OD51" s="32" t="s">
        <v>34</v>
      </c>
      <c r="OE51" s="32" t="s">
        <v>34</v>
      </c>
      <c r="OF51" s="32" t="s">
        <v>34</v>
      </c>
      <c r="OG51" s="32" t="s">
        <v>34</v>
      </c>
      <c r="OH51" s="32" t="s">
        <v>34</v>
      </c>
      <c r="OI51" s="32" t="s">
        <v>34</v>
      </c>
      <c r="OJ51" s="32" t="s">
        <v>34</v>
      </c>
      <c r="OK51" s="32" t="s">
        <v>34</v>
      </c>
      <c r="OL51" s="32" t="s">
        <v>34</v>
      </c>
      <c r="OM51" s="32" t="s">
        <v>34</v>
      </c>
      <c r="ON51" s="69"/>
      <c r="OO51" s="32" t="s">
        <v>34</v>
      </c>
      <c r="OP51" s="32" t="s">
        <v>34</v>
      </c>
      <c r="OQ51" s="32" t="s">
        <v>34</v>
      </c>
      <c r="OR51" s="32" t="s">
        <v>34</v>
      </c>
      <c r="OS51" s="32" t="s">
        <v>34</v>
      </c>
      <c r="OT51" s="32" t="s">
        <v>34</v>
      </c>
      <c r="OU51" s="32" t="s">
        <v>34</v>
      </c>
      <c r="OV51" s="32" t="s">
        <v>34</v>
      </c>
      <c r="OW51" s="32" t="s">
        <v>34</v>
      </c>
      <c r="OX51" s="32" t="s">
        <v>34</v>
      </c>
      <c r="OY51" s="32" t="s">
        <v>34</v>
      </c>
    </row>
    <row r="52" spans="1:415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9"/>
      <c r="K52" s="32">
        <v>1270.1682720000003</v>
      </c>
      <c r="L52" s="32">
        <v>18.408235826086962</v>
      </c>
      <c r="M52" s="32">
        <v>0.245</v>
      </c>
      <c r="N52" s="32">
        <v>687.08310916056337</v>
      </c>
      <c r="O52" s="32">
        <v>9.9577262197183103</v>
      </c>
      <c r="P52" s="32">
        <v>321.35480752394358</v>
      </c>
      <c r="Q52" s="32">
        <v>4.6573160510716463</v>
      </c>
      <c r="R52" s="32">
        <v>504.21895834225347</v>
      </c>
      <c r="S52" s="32">
        <v>7.3075211353949783</v>
      </c>
      <c r="T52" s="32">
        <v>0.35399999999999998</v>
      </c>
      <c r="U52" s="32">
        <v>7.0000000000000007E-2</v>
      </c>
      <c r="V52" s="32">
        <v>33.978419844184955</v>
      </c>
      <c r="W52" s="32">
        <v>66.02158015581503</v>
      </c>
      <c r="X52" s="32">
        <v>99.193544347950521</v>
      </c>
      <c r="Y52" s="32">
        <v>74.685352577321567</v>
      </c>
      <c r="Z52" s="32">
        <v>0.55200460929747974</v>
      </c>
      <c r="AA52" s="32">
        <v>2.3010102644188182</v>
      </c>
      <c r="AB52" s="69"/>
      <c r="AC52" s="32">
        <v>1401.940615</v>
      </c>
      <c r="AD52" s="32">
        <v>20.317979927536232</v>
      </c>
      <c r="AE52" s="32">
        <v>0.10100000000000001</v>
      </c>
      <c r="AF52" s="32">
        <v>1401.940615</v>
      </c>
      <c r="AG52" s="32">
        <v>20.317979927536232</v>
      </c>
      <c r="AH52" s="32">
        <v>0.10100000000000001</v>
      </c>
      <c r="AI52" s="32">
        <v>848.65594972164945</v>
      </c>
      <c r="AJ52" s="32">
        <v>12.299361590168832</v>
      </c>
      <c r="AK52" s="32">
        <v>362.61281180412379</v>
      </c>
      <c r="AL52" s="32">
        <v>5.255258142088751</v>
      </c>
      <c r="AM52" s="32">
        <v>605.63438076288662</v>
      </c>
      <c r="AN52" s="32">
        <v>8.7773098661287925</v>
      </c>
      <c r="AO52" s="32">
        <v>0.193</v>
      </c>
      <c r="AP52" s="32">
        <v>7.0000000000000007E-2</v>
      </c>
      <c r="AQ52" s="32">
        <v>32.860342732523932</v>
      </c>
      <c r="AR52" s="32">
        <v>67.139657267476053</v>
      </c>
      <c r="AS52" s="32">
        <v>96.700510971978318</v>
      </c>
      <c r="AT52" s="32">
        <v>83.529412359416128</v>
      </c>
      <c r="AU52" s="32">
        <v>0.23701517970852365</v>
      </c>
      <c r="AV52" s="32">
        <v>5.9149823936343546</v>
      </c>
      <c r="AW52" s="69"/>
      <c r="AX52" s="32">
        <v>21.041704920715741</v>
      </c>
      <c r="AY52" s="32">
        <v>9.862797406279471</v>
      </c>
      <c r="AZ52" s="32">
        <v>-83.236994219653184</v>
      </c>
      <c r="BA52" s="32">
        <v>-58.866544789762344</v>
      </c>
      <c r="BB52" s="32">
        <v>-3.3455948870323229</v>
      </c>
      <c r="BC52" s="69"/>
      <c r="BD52" s="32">
        <v>1969.9302440000001</v>
      </c>
      <c r="BE52" s="32">
        <v>28.549713681159421</v>
      </c>
      <c r="BF52" s="32">
        <v>3.6999999999999998E-2</v>
      </c>
      <c r="BG52" s="32">
        <v>1969.9302440000001</v>
      </c>
      <c r="BH52" s="32">
        <v>28.549713681159421</v>
      </c>
      <c r="BI52" s="32">
        <v>3.6999999999999998E-2</v>
      </c>
      <c r="BJ52" s="32">
        <v>1253.9608537426473</v>
      </c>
      <c r="BK52" s="32">
        <v>18.173345706415176</v>
      </c>
      <c r="BL52" s="32">
        <v>139.30523465441175</v>
      </c>
      <c r="BM52" s="32">
        <v>2.018916444266837</v>
      </c>
      <c r="BN52" s="32">
        <v>696.63304419852955</v>
      </c>
      <c r="BO52" s="32">
        <v>10.096131075341008</v>
      </c>
      <c r="BP52" s="32">
        <v>247.84470617525776</v>
      </c>
      <c r="BQ52" s="32">
        <v>3.5919522634095329</v>
      </c>
      <c r="BR52" s="32">
        <v>1174.9870797113404</v>
      </c>
      <c r="BS52" s="32">
        <v>17.028798256686091</v>
      </c>
      <c r="BT52" s="32">
        <v>8.4000000000000005E-2</v>
      </c>
      <c r="BU52" s="32">
        <v>-130.65191246153842</v>
      </c>
      <c r="BV52" s="8">
        <v>-1.8935059777034553</v>
      </c>
      <c r="BW52" s="32">
        <v>1450.3828045384616</v>
      </c>
      <c r="BX52" s="32" t="s">
        <v>34</v>
      </c>
      <c r="BY52" s="32">
        <v>5.0999999999999997E-2</v>
      </c>
      <c r="BZ52" s="32">
        <v>55584.923502000005</v>
      </c>
      <c r="CA52" s="32">
        <v>113171.98606549999</v>
      </c>
      <c r="CB52" s="32">
        <v>0.13500000000000001</v>
      </c>
      <c r="CC52" s="32" t="s">
        <v>34</v>
      </c>
      <c r="CD52" s="32">
        <v>62.222222222222221</v>
      </c>
      <c r="CE52" s="32">
        <v>9.3576485695413147</v>
      </c>
      <c r="CF52" s="32">
        <v>9.9774232556849967</v>
      </c>
      <c r="CG52" s="32">
        <v>17.75131811325021</v>
      </c>
      <c r="CH52" s="32">
        <v>89.812118079327789</v>
      </c>
      <c r="CI52" s="32">
        <v>9.3576485695413147</v>
      </c>
      <c r="CJ52" s="32">
        <v>30.3660744097288</v>
      </c>
      <c r="CK52" s="32">
        <v>17.75131811325021</v>
      </c>
      <c r="CL52" s="32">
        <v>25.704871474417839</v>
      </c>
      <c r="CM52" s="32" t="s">
        <v>34</v>
      </c>
      <c r="CN52" s="32" t="s">
        <v>34</v>
      </c>
      <c r="CO52" s="32" t="s">
        <v>34</v>
      </c>
      <c r="CP52" s="32" t="s">
        <v>34</v>
      </c>
      <c r="CQ52" s="17" t="s">
        <v>34</v>
      </c>
      <c r="CR52" s="69"/>
      <c r="CS52" s="32" t="s">
        <v>34</v>
      </c>
      <c r="CT52" s="32" t="s">
        <v>34</v>
      </c>
      <c r="CU52" s="32" t="s">
        <v>34</v>
      </c>
      <c r="CV52" s="32" t="s">
        <v>34</v>
      </c>
      <c r="CW52" s="32" t="s">
        <v>34</v>
      </c>
      <c r="CX52" s="32" t="s">
        <v>34</v>
      </c>
      <c r="CY52" s="32" t="s">
        <v>34</v>
      </c>
      <c r="CZ52" s="32" t="s">
        <v>34</v>
      </c>
      <c r="DA52" s="32" t="s">
        <v>34</v>
      </c>
      <c r="DB52" s="32" t="s">
        <v>34</v>
      </c>
      <c r="DC52" s="32" t="s">
        <v>34</v>
      </c>
      <c r="DD52" s="32" t="s">
        <v>34</v>
      </c>
      <c r="DE52" s="32" t="s">
        <v>34</v>
      </c>
      <c r="DF52" s="32" t="s">
        <v>34</v>
      </c>
      <c r="DG52" s="32" t="s">
        <v>34</v>
      </c>
      <c r="DH52" s="32" t="s">
        <v>34</v>
      </c>
      <c r="DI52" s="32" t="s">
        <v>34</v>
      </c>
      <c r="DJ52" s="32" t="s">
        <v>34</v>
      </c>
      <c r="DK52" s="8" t="s">
        <v>34</v>
      </c>
      <c r="DL52" s="32" t="s">
        <v>34</v>
      </c>
      <c r="DM52" s="32" t="s">
        <v>34</v>
      </c>
      <c r="DN52" s="32" t="s">
        <v>34</v>
      </c>
      <c r="DO52" s="32" t="s">
        <v>34</v>
      </c>
      <c r="DP52" s="32" t="s">
        <v>34</v>
      </c>
      <c r="DQ52" s="32" t="s">
        <v>34</v>
      </c>
      <c r="DR52" s="32" t="s">
        <v>34</v>
      </c>
      <c r="DS52" s="32" t="s">
        <v>34</v>
      </c>
      <c r="DT52" s="32" t="s">
        <v>34</v>
      </c>
      <c r="DU52" s="32" t="s">
        <v>34</v>
      </c>
      <c r="DV52" s="32" t="s">
        <v>34</v>
      </c>
      <c r="DW52" s="32" t="s">
        <v>34</v>
      </c>
      <c r="DX52" s="32" t="s">
        <v>34</v>
      </c>
      <c r="DY52" s="32" t="s">
        <v>34</v>
      </c>
      <c r="DZ52" s="32" t="s">
        <v>34</v>
      </c>
      <c r="EA52" s="32" t="s">
        <v>34</v>
      </c>
      <c r="EB52" s="32" t="s">
        <v>34</v>
      </c>
      <c r="EC52" s="69"/>
      <c r="ED52" s="32" t="s">
        <v>34</v>
      </c>
      <c r="EE52" s="32" t="s">
        <v>34</v>
      </c>
      <c r="EF52" s="32" t="s">
        <v>34</v>
      </c>
      <c r="EG52" s="32" t="s">
        <v>34</v>
      </c>
      <c r="EH52" s="32" t="s">
        <v>34</v>
      </c>
      <c r="EI52" s="32" t="s">
        <v>34</v>
      </c>
      <c r="EJ52" s="32" t="s">
        <v>34</v>
      </c>
      <c r="EK52" s="32" t="s">
        <v>34</v>
      </c>
      <c r="EL52" s="32" t="s">
        <v>34</v>
      </c>
      <c r="EM52" s="32" t="s">
        <v>34</v>
      </c>
      <c r="EN52" s="32" t="s">
        <v>34</v>
      </c>
      <c r="EO52" s="69"/>
      <c r="EP52" s="32">
        <v>1203.2090869999997</v>
      </c>
      <c r="EQ52" s="32">
        <v>17.437812855072458</v>
      </c>
      <c r="ER52" s="32">
        <v>0.29899999999999999</v>
      </c>
      <c r="ES52" s="32">
        <v>602.8686752191436</v>
      </c>
      <c r="ET52" s="32">
        <v>8.7372271770890375</v>
      </c>
      <c r="EU52" s="32">
        <v>301.06732639042821</v>
      </c>
      <c r="EV52" s="32">
        <v>4.363294585368525</v>
      </c>
      <c r="EW52" s="32">
        <v>451.9680008047859</v>
      </c>
      <c r="EX52" s="32">
        <v>6.5502608812287813</v>
      </c>
      <c r="EY52" s="32">
        <v>0.39600000000000002</v>
      </c>
      <c r="EZ52" s="32">
        <v>5.1999999999999998E-2</v>
      </c>
      <c r="FA52" s="32">
        <v>35.14675361000927</v>
      </c>
      <c r="FB52" s="32">
        <v>64.853246389990744</v>
      </c>
      <c r="FC52" s="32">
        <v>77.707020917187862</v>
      </c>
      <c r="FD52" s="32">
        <v>73.249814350587883</v>
      </c>
      <c r="FE52" s="32">
        <v>0.5784510581378387</v>
      </c>
      <c r="FF52" s="32">
        <v>2.0800533944451489</v>
      </c>
      <c r="FG52" s="69"/>
      <c r="FH52" s="32">
        <v>241.21889399999998</v>
      </c>
      <c r="FI52" s="32">
        <v>3.4959259999999999</v>
      </c>
      <c r="FJ52" s="32">
        <v>1.0999999999999999E-2</v>
      </c>
      <c r="FK52" s="32">
        <v>1368.469977</v>
      </c>
      <c r="FL52" s="32">
        <v>19.832898217391303</v>
      </c>
      <c r="FM52" s="32">
        <v>0.13100000000000001</v>
      </c>
      <c r="FN52" s="32">
        <v>826.80486084716165</v>
      </c>
      <c r="FO52" s="32">
        <v>11.982679142712488</v>
      </c>
      <c r="FP52" s="32">
        <v>287.01963535371181</v>
      </c>
      <c r="FQ52" s="32">
        <v>4.1597048601987217</v>
      </c>
      <c r="FR52" s="32">
        <v>556.91224810043673</v>
      </c>
      <c r="FS52" s="32">
        <v>8.0711920014556053</v>
      </c>
      <c r="FT52" s="32">
        <v>0.22800000000000001</v>
      </c>
      <c r="FU52" s="32">
        <v>5.1999999999999998E-2</v>
      </c>
      <c r="FV52" s="32">
        <v>27.353169912700626</v>
      </c>
      <c r="FW52" s="32">
        <v>72.646830087299364</v>
      </c>
      <c r="FX52" s="32">
        <v>90.748906049880645</v>
      </c>
      <c r="FY52" s="32">
        <v>99.271324636330732</v>
      </c>
      <c r="FZ52" s="32">
        <v>0.314021180532436</v>
      </c>
      <c r="GA52" s="32">
        <v>4.357890683296274</v>
      </c>
      <c r="GB52" s="69"/>
      <c r="GC52" s="32">
        <v>-31.326898061521142</v>
      </c>
      <c r="GD52" s="32">
        <v>-12.852372779591928</v>
      </c>
      <c r="GE52" s="32">
        <v>78.139534883720913</v>
      </c>
      <c r="GF52" s="32">
        <v>53.846153846153854</v>
      </c>
      <c r="GG52" s="32">
        <v>24.93949834827167</v>
      </c>
      <c r="GH52" s="69"/>
      <c r="GI52" s="32">
        <v>1573.0624300000002</v>
      </c>
      <c r="GJ52" s="32">
        <v>22.79800623188406</v>
      </c>
      <c r="GK52" s="32">
        <v>0.02</v>
      </c>
      <c r="GL52" s="32">
        <v>1859.3655979999999</v>
      </c>
      <c r="GM52" s="32">
        <v>26.947327507246374</v>
      </c>
      <c r="GN52" s="32">
        <v>6.8000000000000005E-2</v>
      </c>
      <c r="GO52" s="32">
        <v>1201.090885832258</v>
      </c>
      <c r="GP52" s="32">
        <v>17.407114287424029</v>
      </c>
      <c r="GQ52" s="32">
        <v>97.226243038709697</v>
      </c>
      <c r="GR52" s="32">
        <v>1.4090759860682565</v>
      </c>
      <c r="GS52" s="32">
        <v>649.15856443548387</v>
      </c>
      <c r="GT52" s="32">
        <v>9.4080951367461427</v>
      </c>
      <c r="GU52" s="32">
        <v>235.82934184999999</v>
      </c>
      <c r="GV52" s="32">
        <v>3.4178165485507246</v>
      </c>
      <c r="GW52" s="32">
        <v>1098.59410138</v>
      </c>
      <c r="GX52" s="32">
        <v>15.921653643188405</v>
      </c>
      <c r="GY52" s="32">
        <v>0.09</v>
      </c>
      <c r="GZ52" s="32">
        <v>-154.77939116363635</v>
      </c>
      <c r="HA52" s="8">
        <v>-2.243179582081686</v>
      </c>
      <c r="HB52" s="32">
        <v>1387.4486757454547</v>
      </c>
      <c r="HC52" s="32">
        <v>-0.78863148274044803</v>
      </c>
      <c r="HD52" s="32">
        <v>6.4000000000000001E-2</v>
      </c>
      <c r="HE52" s="32">
        <v>75366.703516000009</v>
      </c>
      <c r="HF52" s="32">
        <v>109110.56035499998</v>
      </c>
      <c r="HG52" s="32">
        <v>0.154</v>
      </c>
      <c r="HH52" s="32" t="s">
        <v>34</v>
      </c>
      <c r="HI52" s="32">
        <v>58.441558441558442</v>
      </c>
      <c r="HJ52" s="32">
        <v>11.094375010711326</v>
      </c>
      <c r="HK52" s="32">
        <v>6.969044089426724</v>
      </c>
      <c r="HL52" s="32">
        <v>16.903924594502652</v>
      </c>
      <c r="HM52" s="32">
        <v>86.092551528922002</v>
      </c>
      <c r="HN52" s="32">
        <v>11.094375010711326</v>
      </c>
      <c r="HO52" s="32">
        <v>28.170320794629923</v>
      </c>
      <c r="HP52" s="32">
        <v>16.903924594502652</v>
      </c>
      <c r="HQ52" s="32">
        <v>23.570879491023536</v>
      </c>
      <c r="HR52" s="32">
        <v>58.441558441558442</v>
      </c>
      <c r="HS52" s="32" t="s">
        <v>34</v>
      </c>
      <c r="HT52" s="32" t="s">
        <v>34</v>
      </c>
      <c r="HU52" s="32" t="s">
        <v>34</v>
      </c>
      <c r="HV52" s="32" t="s">
        <v>34</v>
      </c>
      <c r="HW52" s="17" t="s">
        <v>34</v>
      </c>
      <c r="HX52" s="69"/>
      <c r="HY52" s="32" t="s">
        <v>34</v>
      </c>
      <c r="HZ52" s="32" t="s">
        <v>34</v>
      </c>
      <c r="IA52" s="32" t="s">
        <v>34</v>
      </c>
      <c r="IB52" s="32" t="s">
        <v>34</v>
      </c>
      <c r="IC52" s="32" t="s">
        <v>34</v>
      </c>
      <c r="ID52" s="32" t="s">
        <v>34</v>
      </c>
      <c r="IE52" s="32" t="s">
        <v>34</v>
      </c>
      <c r="IF52" s="32" t="s">
        <v>34</v>
      </c>
      <c r="IG52" s="32" t="s">
        <v>34</v>
      </c>
      <c r="IH52" s="32" t="s">
        <v>34</v>
      </c>
      <c r="II52" s="32" t="s">
        <v>34</v>
      </c>
      <c r="IJ52" s="32" t="s">
        <v>34</v>
      </c>
      <c r="IK52" s="32" t="s">
        <v>34</v>
      </c>
      <c r="IL52" s="32" t="s">
        <v>34</v>
      </c>
      <c r="IM52" s="32" t="s">
        <v>34</v>
      </c>
      <c r="IN52" s="32" t="s">
        <v>34</v>
      </c>
      <c r="IO52" s="32" t="s">
        <v>34</v>
      </c>
      <c r="IP52" s="32" t="s">
        <v>34</v>
      </c>
      <c r="IQ52" s="8" t="s">
        <v>34</v>
      </c>
      <c r="IR52" s="32" t="s">
        <v>34</v>
      </c>
      <c r="IS52" s="32" t="s">
        <v>34</v>
      </c>
      <c r="IT52" s="32" t="s">
        <v>34</v>
      </c>
      <c r="IU52" s="32" t="s">
        <v>34</v>
      </c>
      <c r="IV52" s="32" t="s">
        <v>34</v>
      </c>
      <c r="IW52" s="32" t="s">
        <v>34</v>
      </c>
      <c r="IX52" s="32" t="s">
        <v>34</v>
      </c>
      <c r="IY52" s="32" t="s">
        <v>34</v>
      </c>
      <c r="IZ52" s="32" t="s">
        <v>34</v>
      </c>
      <c r="JA52" s="32" t="s">
        <v>34</v>
      </c>
      <c r="JB52" s="32" t="s">
        <v>34</v>
      </c>
      <c r="JC52" s="32" t="s">
        <v>34</v>
      </c>
      <c r="JD52" s="32" t="s">
        <v>34</v>
      </c>
      <c r="JE52" s="32" t="s">
        <v>34</v>
      </c>
      <c r="JF52" s="32" t="s">
        <v>34</v>
      </c>
      <c r="JG52" s="32" t="s">
        <v>34</v>
      </c>
      <c r="JH52" s="32" t="s">
        <v>34</v>
      </c>
      <c r="JI52" s="69"/>
      <c r="JJ52" s="32" t="s">
        <v>34</v>
      </c>
      <c r="JK52" s="32" t="s">
        <v>34</v>
      </c>
      <c r="JL52" s="32" t="s">
        <v>34</v>
      </c>
      <c r="JM52" s="32" t="s">
        <v>34</v>
      </c>
      <c r="JN52" s="32" t="s">
        <v>34</v>
      </c>
      <c r="JO52" s="32" t="s">
        <v>34</v>
      </c>
      <c r="JP52" s="32" t="s">
        <v>34</v>
      </c>
      <c r="JQ52" s="32" t="s">
        <v>34</v>
      </c>
      <c r="JR52" s="32" t="s">
        <v>34</v>
      </c>
      <c r="JS52" s="32" t="s">
        <v>34</v>
      </c>
      <c r="JT52" s="32" t="s">
        <v>34</v>
      </c>
      <c r="JU52" s="69"/>
      <c r="JV52" s="32">
        <v>1309.4636779999996</v>
      </c>
      <c r="JW52" s="32">
        <v>18.977734463768112</v>
      </c>
      <c r="JX52" s="32">
        <v>0.38200000000000001</v>
      </c>
      <c r="JY52" s="32">
        <v>497.95210814460296</v>
      </c>
      <c r="JZ52" s="32">
        <v>7.2166972194869992</v>
      </c>
      <c r="KA52" s="32">
        <v>247.98146404887981</v>
      </c>
      <c r="KB52" s="32">
        <v>3.5939342615779681</v>
      </c>
      <c r="KC52" s="32">
        <v>372.96678609674137</v>
      </c>
      <c r="KD52" s="32">
        <v>5.4053157405324841</v>
      </c>
      <c r="KE52" s="32">
        <v>0.49</v>
      </c>
      <c r="KF52" s="32">
        <v>5.3999999999999999E-2</v>
      </c>
      <c r="KG52" s="32">
        <v>37.202511773878136</v>
      </c>
      <c r="KH52" s="32">
        <v>62.797488226121871</v>
      </c>
      <c r="KI52" s="32">
        <v>88.874684804529167</v>
      </c>
      <c r="KJ52" s="32">
        <v>75.395752294776656</v>
      </c>
      <c r="KK52" s="32">
        <v>0.60188521749241652</v>
      </c>
      <c r="KL52" s="32">
        <v>2.1756036532272836</v>
      </c>
      <c r="KM52" s="69"/>
      <c r="KN52" s="32">
        <v>198.19046499999996</v>
      </c>
      <c r="KO52" s="32">
        <v>2.8723255797101443</v>
      </c>
      <c r="KP52" s="32">
        <v>1.6E-2</v>
      </c>
      <c r="KQ52" s="32">
        <v>1450.8840920000002</v>
      </c>
      <c r="KR52" s="32">
        <v>21.027305681159422</v>
      </c>
      <c r="KS52" s="32">
        <v>0.13100000000000001</v>
      </c>
      <c r="KT52" s="32">
        <v>844.76993972151922</v>
      </c>
      <c r="KU52" s="32">
        <v>12.243042604659699</v>
      </c>
      <c r="KV52" s="32">
        <v>261.73509373417721</v>
      </c>
      <c r="KW52" s="32">
        <v>3.793262228031554</v>
      </c>
      <c r="KX52" s="32">
        <v>553.25251672784816</v>
      </c>
      <c r="KY52" s="32">
        <v>8.0181524163456253</v>
      </c>
      <c r="KZ52" s="32">
        <v>0.23599999999999999</v>
      </c>
      <c r="LA52" s="32">
        <v>5.3999999999999999E-2</v>
      </c>
      <c r="LB52" s="32">
        <v>25.747957999409806</v>
      </c>
      <c r="LC52" s="32">
        <v>74.25204200059018</v>
      </c>
      <c r="LD52" s="32">
        <v>96.716406570580176</v>
      </c>
      <c r="LE52" s="32">
        <v>99.027195816581482</v>
      </c>
      <c r="LF52" s="32">
        <v>0.34438153004025912</v>
      </c>
      <c r="LG52" s="32">
        <v>4.2130136649035386</v>
      </c>
      <c r="LH52" s="69"/>
      <c r="LI52" s="32">
        <v>-51.65891662061933</v>
      </c>
      <c r="LJ52" s="32">
        <v>-10.24656498264352</v>
      </c>
      <c r="LK52" s="32">
        <v>97.855750487329431</v>
      </c>
      <c r="LL52" s="32">
        <v>69.972451790633613</v>
      </c>
      <c r="LM52" s="32">
        <v>36.392274166407866</v>
      </c>
      <c r="LN52" s="69"/>
      <c r="LO52" s="32">
        <v>1474.3098369999998</v>
      </c>
      <c r="LP52" s="32">
        <v>21.366809231884055</v>
      </c>
      <c r="LQ52" s="32">
        <v>2.1000000000000001E-2</v>
      </c>
      <c r="LR52" s="32">
        <v>1858.265592</v>
      </c>
      <c r="LS52" s="32">
        <v>26.931385391304346</v>
      </c>
      <c r="LT52" s="32">
        <v>7.5999999999999998E-2</v>
      </c>
      <c r="LU52" s="32">
        <v>1152.9602818117646</v>
      </c>
      <c r="LV52" s="32">
        <v>16.709569301619776</v>
      </c>
      <c r="LW52" s="32">
        <v>81.885878247058841</v>
      </c>
      <c r="LX52" s="32">
        <v>1.1867518586530266</v>
      </c>
      <c r="LY52" s="32">
        <v>617.42308002941172</v>
      </c>
      <c r="LZ52" s="32">
        <v>8.9481605801364026</v>
      </c>
      <c r="MA52" s="32">
        <v>228.76107226923074</v>
      </c>
      <c r="MB52" s="32">
        <v>3.3153778589743585</v>
      </c>
      <c r="MC52" s="32">
        <v>1058.6590277500002</v>
      </c>
      <c r="MD52" s="32">
        <v>15.34288446014493</v>
      </c>
      <c r="ME52" s="32">
        <v>9.6000000000000002E-2</v>
      </c>
      <c r="MF52" s="32">
        <v>-149.55382142424241</v>
      </c>
      <c r="MG52" s="8">
        <v>-2.1674466873078613</v>
      </c>
      <c r="MH52" s="32">
        <v>1301.5561973030306</v>
      </c>
      <c r="MI52" s="32">
        <v>-0.69597684145805883</v>
      </c>
      <c r="MJ52" s="32">
        <v>7.2999999999999995E-2</v>
      </c>
      <c r="MK52" s="32">
        <v>84958.049201000002</v>
      </c>
      <c r="ML52" s="32">
        <v>109399.56859399998</v>
      </c>
      <c r="MM52" s="32">
        <v>0.16900000000000001</v>
      </c>
      <c r="MN52" s="32" t="s">
        <v>34</v>
      </c>
      <c r="MO52" s="32">
        <v>56.80473372781065</v>
      </c>
      <c r="MP52" s="32">
        <v>11.193358263484699</v>
      </c>
      <c r="MQ52" s="32">
        <v>6.1287499256828895</v>
      </c>
      <c r="MR52" s="32">
        <v>17.121626276500777</v>
      </c>
      <c r="MS52" s="32">
        <v>86.293331557727797</v>
      </c>
      <c r="MT52" s="32">
        <v>11.193358263484699</v>
      </c>
      <c r="MU52" s="32">
        <v>28.688580948335211</v>
      </c>
      <c r="MV52" s="32">
        <v>17.121626276500777</v>
      </c>
      <c r="MW52" s="32">
        <v>21.82765143305442</v>
      </c>
      <c r="MX52" s="32" t="s">
        <v>34</v>
      </c>
      <c r="MY52" s="32" t="s">
        <v>34</v>
      </c>
      <c r="MZ52" s="32" t="s">
        <v>34</v>
      </c>
      <c r="NA52" s="32" t="s">
        <v>34</v>
      </c>
      <c r="NB52" s="17" t="s">
        <v>34</v>
      </c>
      <c r="NC52" s="69"/>
      <c r="ND52" s="32" t="s">
        <v>34</v>
      </c>
      <c r="NE52" s="32" t="s">
        <v>34</v>
      </c>
      <c r="NF52" s="32" t="s">
        <v>34</v>
      </c>
      <c r="NG52" s="32" t="s">
        <v>34</v>
      </c>
      <c r="NH52" s="32" t="s">
        <v>34</v>
      </c>
      <c r="NI52" s="32" t="s">
        <v>34</v>
      </c>
      <c r="NJ52" s="32" t="s">
        <v>34</v>
      </c>
      <c r="NK52" s="32" t="s">
        <v>34</v>
      </c>
      <c r="NL52" s="32" t="s">
        <v>34</v>
      </c>
      <c r="NM52" s="32" t="s">
        <v>34</v>
      </c>
      <c r="NN52" s="32" t="s">
        <v>34</v>
      </c>
      <c r="NO52" s="32" t="s">
        <v>34</v>
      </c>
      <c r="NP52" s="32" t="s">
        <v>34</v>
      </c>
      <c r="NQ52" s="32" t="s">
        <v>34</v>
      </c>
      <c r="NR52" s="32" t="s">
        <v>34</v>
      </c>
      <c r="NS52" s="32" t="s">
        <v>34</v>
      </c>
      <c r="NT52" s="32" t="s">
        <v>34</v>
      </c>
      <c r="NU52" s="32" t="s">
        <v>34</v>
      </c>
      <c r="NV52" s="8" t="s">
        <v>34</v>
      </c>
      <c r="NW52" s="32" t="s">
        <v>34</v>
      </c>
      <c r="NX52" s="32" t="s">
        <v>34</v>
      </c>
      <c r="NY52" s="32" t="s">
        <v>34</v>
      </c>
      <c r="NZ52" s="32" t="s">
        <v>34</v>
      </c>
      <c r="OA52" s="32" t="s">
        <v>34</v>
      </c>
      <c r="OB52" s="32" t="s">
        <v>34</v>
      </c>
      <c r="OC52" s="32" t="s">
        <v>34</v>
      </c>
      <c r="OD52" s="32" t="s">
        <v>34</v>
      </c>
      <c r="OE52" s="32" t="s">
        <v>34</v>
      </c>
      <c r="OF52" s="32" t="s">
        <v>34</v>
      </c>
      <c r="OG52" s="32" t="s">
        <v>34</v>
      </c>
      <c r="OH52" s="32" t="s">
        <v>34</v>
      </c>
      <c r="OI52" s="32" t="s">
        <v>34</v>
      </c>
      <c r="OJ52" s="32" t="s">
        <v>34</v>
      </c>
      <c r="OK52" s="32" t="s">
        <v>34</v>
      </c>
      <c r="OL52" s="32" t="s">
        <v>34</v>
      </c>
      <c r="OM52" s="32" t="s">
        <v>34</v>
      </c>
      <c r="ON52" s="69"/>
      <c r="OO52" s="32" t="s">
        <v>34</v>
      </c>
      <c r="OP52" s="32" t="s">
        <v>34</v>
      </c>
      <c r="OQ52" s="32" t="s">
        <v>34</v>
      </c>
      <c r="OR52" s="32" t="s">
        <v>34</v>
      </c>
      <c r="OS52" s="32" t="s">
        <v>34</v>
      </c>
      <c r="OT52" s="32" t="s">
        <v>34</v>
      </c>
      <c r="OU52" s="32" t="s">
        <v>34</v>
      </c>
      <c r="OV52" s="32" t="s">
        <v>34</v>
      </c>
      <c r="OW52" s="32" t="s">
        <v>34</v>
      </c>
      <c r="OX52" s="32" t="s">
        <v>34</v>
      </c>
      <c r="OY52" s="32" t="s">
        <v>34</v>
      </c>
    </row>
    <row r="53" spans="1:415" ht="15.75" x14ac:dyDescent="0.25">
      <c r="A53" s="10">
        <v>52</v>
      </c>
      <c r="B53" s="3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9"/>
      <c r="K53" s="32" t="s">
        <v>34</v>
      </c>
      <c r="L53" s="32" t="s">
        <v>34</v>
      </c>
      <c r="M53" s="32" t="s">
        <v>34</v>
      </c>
      <c r="N53" s="32" t="s">
        <v>34</v>
      </c>
      <c r="O53" s="32" t="s">
        <v>34</v>
      </c>
      <c r="P53" s="32" t="s">
        <v>34</v>
      </c>
      <c r="Q53" s="32" t="s">
        <v>34</v>
      </c>
      <c r="R53" s="32" t="s">
        <v>34</v>
      </c>
      <c r="S53" s="32" t="s">
        <v>34</v>
      </c>
      <c r="T53" s="32" t="s">
        <v>34</v>
      </c>
      <c r="U53" s="32" t="s">
        <v>34</v>
      </c>
      <c r="V53" s="32" t="s">
        <v>34</v>
      </c>
      <c r="W53" s="32" t="s">
        <v>34</v>
      </c>
      <c r="X53" s="32" t="s">
        <v>34</v>
      </c>
      <c r="Y53" s="32" t="s">
        <v>34</v>
      </c>
      <c r="Z53" s="32" t="s">
        <v>34</v>
      </c>
      <c r="AA53" s="32" t="s">
        <v>34</v>
      </c>
      <c r="AB53" s="69"/>
      <c r="AC53" s="32" t="s">
        <v>34</v>
      </c>
      <c r="AD53" s="32" t="s">
        <v>34</v>
      </c>
      <c r="AE53" s="32" t="s">
        <v>34</v>
      </c>
      <c r="AF53" s="32" t="s">
        <v>34</v>
      </c>
      <c r="AG53" s="32" t="s">
        <v>34</v>
      </c>
      <c r="AH53" s="32" t="s">
        <v>34</v>
      </c>
      <c r="AI53" s="32" t="s">
        <v>34</v>
      </c>
      <c r="AJ53" s="32" t="s">
        <v>34</v>
      </c>
      <c r="AK53" s="32" t="s">
        <v>34</v>
      </c>
      <c r="AL53" s="32" t="s">
        <v>34</v>
      </c>
      <c r="AM53" s="32" t="s">
        <v>34</v>
      </c>
      <c r="AN53" s="32" t="s">
        <v>34</v>
      </c>
      <c r="AO53" s="32" t="s">
        <v>34</v>
      </c>
      <c r="AP53" s="32" t="s">
        <v>34</v>
      </c>
      <c r="AQ53" s="32" t="s">
        <v>34</v>
      </c>
      <c r="AR53" s="32" t="s">
        <v>34</v>
      </c>
      <c r="AS53" s="32" t="s">
        <v>34</v>
      </c>
      <c r="AT53" s="32" t="s">
        <v>34</v>
      </c>
      <c r="AU53" s="32" t="s">
        <v>34</v>
      </c>
      <c r="AV53" s="32" t="s">
        <v>34</v>
      </c>
      <c r="AW53" s="69"/>
      <c r="AX53" s="32" t="s">
        <v>34</v>
      </c>
      <c r="AY53" s="32" t="s">
        <v>34</v>
      </c>
      <c r="AZ53" s="32" t="s">
        <v>34</v>
      </c>
      <c r="BA53" s="32" t="s">
        <v>34</v>
      </c>
      <c r="BB53" s="32" t="s">
        <v>34</v>
      </c>
      <c r="BC53" s="69"/>
      <c r="BD53" s="32" t="s">
        <v>34</v>
      </c>
      <c r="BE53" s="32" t="s">
        <v>34</v>
      </c>
      <c r="BF53" s="32" t="s">
        <v>34</v>
      </c>
      <c r="BG53" s="32" t="s">
        <v>34</v>
      </c>
      <c r="BH53" s="32" t="s">
        <v>34</v>
      </c>
      <c r="BI53" s="32" t="s">
        <v>34</v>
      </c>
      <c r="BJ53" s="32" t="s">
        <v>34</v>
      </c>
      <c r="BK53" s="32" t="s">
        <v>34</v>
      </c>
      <c r="BL53" s="32" t="s">
        <v>34</v>
      </c>
      <c r="BM53" s="32" t="s">
        <v>34</v>
      </c>
      <c r="BN53" s="32" t="s">
        <v>34</v>
      </c>
      <c r="BO53" s="32" t="s">
        <v>34</v>
      </c>
      <c r="BP53" s="32" t="s">
        <v>34</v>
      </c>
      <c r="BQ53" s="32" t="s">
        <v>34</v>
      </c>
      <c r="BR53" s="32" t="s">
        <v>34</v>
      </c>
      <c r="BS53" s="32" t="s">
        <v>34</v>
      </c>
      <c r="BT53" s="32" t="s">
        <v>34</v>
      </c>
      <c r="BU53" s="32" t="s">
        <v>34</v>
      </c>
      <c r="BV53" s="8" t="s">
        <v>34</v>
      </c>
      <c r="BW53" s="32" t="s">
        <v>34</v>
      </c>
      <c r="BX53" s="32" t="s">
        <v>34</v>
      </c>
      <c r="BY53" s="32" t="s">
        <v>34</v>
      </c>
      <c r="BZ53" s="32" t="s">
        <v>34</v>
      </c>
      <c r="CA53" s="32" t="s">
        <v>34</v>
      </c>
      <c r="CB53" s="32" t="s">
        <v>34</v>
      </c>
      <c r="CC53" s="32" t="s">
        <v>34</v>
      </c>
      <c r="CD53" s="32" t="s">
        <v>34</v>
      </c>
      <c r="CE53" s="32" t="s">
        <v>34</v>
      </c>
      <c r="CF53" s="32" t="s">
        <v>34</v>
      </c>
      <c r="CG53" s="32" t="s">
        <v>34</v>
      </c>
      <c r="CH53" s="32" t="s">
        <v>34</v>
      </c>
      <c r="CI53" s="32" t="s">
        <v>34</v>
      </c>
      <c r="CJ53" s="32" t="s">
        <v>34</v>
      </c>
      <c r="CK53" s="32" t="s">
        <v>34</v>
      </c>
      <c r="CL53" s="32" t="s">
        <v>34</v>
      </c>
      <c r="CM53" s="32" t="s">
        <v>34</v>
      </c>
      <c r="CN53" s="32" t="s">
        <v>34</v>
      </c>
      <c r="CO53" s="32" t="s">
        <v>34</v>
      </c>
      <c r="CP53" s="32" t="s">
        <v>34</v>
      </c>
      <c r="CQ53" s="17" t="s">
        <v>34</v>
      </c>
      <c r="CR53" s="69"/>
      <c r="CS53" s="32" t="s">
        <v>34</v>
      </c>
      <c r="CT53" s="32" t="s">
        <v>34</v>
      </c>
      <c r="CU53" s="32" t="s">
        <v>34</v>
      </c>
      <c r="CV53" s="32" t="s">
        <v>34</v>
      </c>
      <c r="CW53" s="32" t="s">
        <v>34</v>
      </c>
      <c r="CX53" s="32" t="s">
        <v>34</v>
      </c>
      <c r="CY53" s="32" t="s">
        <v>34</v>
      </c>
      <c r="CZ53" s="32" t="s">
        <v>34</v>
      </c>
      <c r="DA53" s="32" t="s">
        <v>34</v>
      </c>
      <c r="DB53" s="32" t="s">
        <v>34</v>
      </c>
      <c r="DC53" s="32" t="s">
        <v>34</v>
      </c>
      <c r="DD53" s="32" t="s">
        <v>34</v>
      </c>
      <c r="DE53" s="32" t="s">
        <v>34</v>
      </c>
      <c r="DF53" s="32" t="s">
        <v>34</v>
      </c>
      <c r="DG53" s="32" t="s">
        <v>34</v>
      </c>
      <c r="DH53" s="32" t="s">
        <v>34</v>
      </c>
      <c r="DI53" s="32" t="s">
        <v>34</v>
      </c>
      <c r="DJ53" s="32" t="s">
        <v>34</v>
      </c>
      <c r="DK53" s="8" t="s">
        <v>34</v>
      </c>
      <c r="DL53" s="32" t="s">
        <v>34</v>
      </c>
      <c r="DM53" s="32" t="s">
        <v>34</v>
      </c>
      <c r="DN53" s="32" t="s">
        <v>34</v>
      </c>
      <c r="DO53" s="32" t="s">
        <v>34</v>
      </c>
      <c r="DP53" s="32" t="s">
        <v>34</v>
      </c>
      <c r="DQ53" s="32" t="s">
        <v>34</v>
      </c>
      <c r="DR53" s="32" t="s">
        <v>34</v>
      </c>
      <c r="DS53" s="32" t="s">
        <v>34</v>
      </c>
      <c r="DT53" s="32" t="s">
        <v>34</v>
      </c>
      <c r="DU53" s="32" t="s">
        <v>34</v>
      </c>
      <c r="DV53" s="32" t="s">
        <v>34</v>
      </c>
      <c r="DW53" s="32" t="s">
        <v>34</v>
      </c>
      <c r="DX53" s="32" t="s">
        <v>34</v>
      </c>
      <c r="DY53" s="32" t="s">
        <v>34</v>
      </c>
      <c r="DZ53" s="32" t="s">
        <v>34</v>
      </c>
      <c r="EA53" s="32" t="s">
        <v>34</v>
      </c>
      <c r="EB53" s="32" t="s">
        <v>34</v>
      </c>
      <c r="EC53" s="69"/>
      <c r="ED53" s="32" t="s">
        <v>34</v>
      </c>
      <c r="EE53" s="32" t="s">
        <v>34</v>
      </c>
      <c r="EF53" s="32" t="s">
        <v>34</v>
      </c>
      <c r="EG53" s="32" t="s">
        <v>34</v>
      </c>
      <c r="EH53" s="32" t="s">
        <v>34</v>
      </c>
      <c r="EI53" s="32" t="s">
        <v>34</v>
      </c>
      <c r="EJ53" s="32" t="s">
        <v>34</v>
      </c>
      <c r="EK53" s="32" t="s">
        <v>34</v>
      </c>
      <c r="EL53" s="32" t="s">
        <v>34</v>
      </c>
      <c r="EM53" s="32" t="s">
        <v>34</v>
      </c>
      <c r="EN53" s="32" t="s">
        <v>34</v>
      </c>
      <c r="EO53" s="69"/>
      <c r="EP53" s="32" t="s">
        <v>34</v>
      </c>
      <c r="EQ53" s="32" t="s">
        <v>34</v>
      </c>
      <c r="ER53" s="32" t="s">
        <v>34</v>
      </c>
      <c r="ES53" s="32" t="s">
        <v>34</v>
      </c>
      <c r="ET53" s="32" t="s">
        <v>34</v>
      </c>
      <c r="EU53" s="32" t="s">
        <v>34</v>
      </c>
      <c r="EV53" s="32" t="s">
        <v>34</v>
      </c>
      <c r="EW53" s="32" t="s">
        <v>34</v>
      </c>
      <c r="EX53" s="32" t="s">
        <v>34</v>
      </c>
      <c r="EY53" s="32" t="s">
        <v>34</v>
      </c>
      <c r="EZ53" s="32" t="s">
        <v>34</v>
      </c>
      <c r="FA53" s="32" t="s">
        <v>34</v>
      </c>
      <c r="FB53" s="32" t="s">
        <v>34</v>
      </c>
      <c r="FC53" s="32" t="s">
        <v>34</v>
      </c>
      <c r="FD53" s="32" t="s">
        <v>34</v>
      </c>
      <c r="FE53" s="32" t="s">
        <v>34</v>
      </c>
      <c r="FF53" s="32" t="s">
        <v>34</v>
      </c>
      <c r="FG53" s="69"/>
      <c r="FH53" s="32" t="s">
        <v>34</v>
      </c>
      <c r="FI53" s="32" t="s">
        <v>34</v>
      </c>
      <c r="FJ53" s="32" t="s">
        <v>34</v>
      </c>
      <c r="FK53" s="32" t="s">
        <v>34</v>
      </c>
      <c r="FL53" s="32" t="s">
        <v>34</v>
      </c>
      <c r="FM53" s="32" t="s">
        <v>34</v>
      </c>
      <c r="FN53" s="32" t="s">
        <v>34</v>
      </c>
      <c r="FO53" s="32" t="s">
        <v>34</v>
      </c>
      <c r="FP53" s="32" t="s">
        <v>34</v>
      </c>
      <c r="FQ53" s="32" t="s">
        <v>34</v>
      </c>
      <c r="FR53" s="32" t="s">
        <v>34</v>
      </c>
      <c r="FS53" s="32" t="s">
        <v>34</v>
      </c>
      <c r="FT53" s="32" t="s">
        <v>34</v>
      </c>
      <c r="FU53" s="32" t="s">
        <v>34</v>
      </c>
      <c r="FV53" s="32" t="s">
        <v>34</v>
      </c>
      <c r="FW53" s="32" t="s">
        <v>34</v>
      </c>
      <c r="FX53" s="32" t="s">
        <v>34</v>
      </c>
      <c r="FY53" s="32" t="s">
        <v>34</v>
      </c>
      <c r="FZ53" s="32" t="s">
        <v>34</v>
      </c>
      <c r="GA53" s="32" t="s">
        <v>34</v>
      </c>
      <c r="GB53" s="69"/>
      <c r="GC53" s="32" t="s">
        <v>34</v>
      </c>
      <c r="GD53" s="32" t="s">
        <v>34</v>
      </c>
      <c r="GE53" s="32" t="s">
        <v>34</v>
      </c>
      <c r="GF53" s="32" t="s">
        <v>34</v>
      </c>
      <c r="GG53" s="32" t="s">
        <v>34</v>
      </c>
      <c r="GH53" s="69"/>
      <c r="GI53" s="32" t="s">
        <v>34</v>
      </c>
      <c r="GJ53" s="32" t="s">
        <v>34</v>
      </c>
      <c r="GK53" s="32" t="s">
        <v>34</v>
      </c>
      <c r="GL53" s="32" t="s">
        <v>34</v>
      </c>
      <c r="GM53" s="32" t="s">
        <v>34</v>
      </c>
      <c r="GN53" s="32" t="s">
        <v>34</v>
      </c>
      <c r="GO53" s="32" t="s">
        <v>34</v>
      </c>
      <c r="GP53" s="32" t="s">
        <v>34</v>
      </c>
      <c r="GQ53" s="32" t="s">
        <v>34</v>
      </c>
      <c r="GR53" s="32" t="s">
        <v>34</v>
      </c>
      <c r="GS53" s="32" t="s">
        <v>34</v>
      </c>
      <c r="GT53" s="32" t="s">
        <v>34</v>
      </c>
      <c r="GU53" s="32" t="s">
        <v>34</v>
      </c>
      <c r="GV53" s="32" t="s">
        <v>34</v>
      </c>
      <c r="GW53" s="32" t="s">
        <v>34</v>
      </c>
      <c r="GX53" s="32" t="s">
        <v>34</v>
      </c>
      <c r="GY53" s="32" t="s">
        <v>34</v>
      </c>
      <c r="GZ53" s="32" t="s">
        <v>34</v>
      </c>
      <c r="HA53" s="8" t="s">
        <v>34</v>
      </c>
      <c r="HB53" s="32" t="s">
        <v>34</v>
      </c>
      <c r="HC53" s="32" t="s">
        <v>34</v>
      </c>
      <c r="HD53" s="32" t="s">
        <v>34</v>
      </c>
      <c r="HE53" s="32" t="s">
        <v>34</v>
      </c>
      <c r="HF53" s="32" t="s">
        <v>34</v>
      </c>
      <c r="HG53" s="32" t="s">
        <v>34</v>
      </c>
      <c r="HH53" s="32" t="s">
        <v>34</v>
      </c>
      <c r="HI53" s="32" t="s">
        <v>34</v>
      </c>
      <c r="HJ53" s="32" t="s">
        <v>34</v>
      </c>
      <c r="HK53" s="32" t="s">
        <v>34</v>
      </c>
      <c r="HL53" s="32" t="s">
        <v>34</v>
      </c>
      <c r="HM53" s="32" t="s">
        <v>34</v>
      </c>
      <c r="HN53" s="32" t="s">
        <v>34</v>
      </c>
      <c r="HO53" s="32" t="s">
        <v>34</v>
      </c>
      <c r="HP53" s="32" t="s">
        <v>34</v>
      </c>
      <c r="HQ53" s="32" t="s">
        <v>34</v>
      </c>
      <c r="HR53" s="32" t="s">
        <v>34</v>
      </c>
      <c r="HS53" s="32" t="s">
        <v>34</v>
      </c>
      <c r="HT53" s="32" t="s">
        <v>34</v>
      </c>
      <c r="HU53" s="32" t="s">
        <v>34</v>
      </c>
      <c r="HV53" s="32" t="s">
        <v>34</v>
      </c>
      <c r="HW53" s="17" t="s">
        <v>34</v>
      </c>
      <c r="HX53" s="69"/>
      <c r="HY53" s="32" t="s">
        <v>34</v>
      </c>
      <c r="HZ53" s="32" t="s">
        <v>34</v>
      </c>
      <c r="IA53" s="32" t="s">
        <v>34</v>
      </c>
      <c r="IB53" s="32" t="s">
        <v>34</v>
      </c>
      <c r="IC53" s="32" t="s">
        <v>34</v>
      </c>
      <c r="ID53" s="32" t="s">
        <v>34</v>
      </c>
      <c r="IE53" s="32" t="s">
        <v>34</v>
      </c>
      <c r="IF53" s="32" t="s">
        <v>34</v>
      </c>
      <c r="IG53" s="32" t="s">
        <v>34</v>
      </c>
      <c r="IH53" s="32" t="s">
        <v>34</v>
      </c>
      <c r="II53" s="32" t="s">
        <v>34</v>
      </c>
      <c r="IJ53" s="32" t="s">
        <v>34</v>
      </c>
      <c r="IK53" s="32" t="s">
        <v>34</v>
      </c>
      <c r="IL53" s="32" t="s">
        <v>34</v>
      </c>
      <c r="IM53" s="32" t="s">
        <v>34</v>
      </c>
      <c r="IN53" s="32" t="s">
        <v>34</v>
      </c>
      <c r="IO53" s="32" t="s">
        <v>34</v>
      </c>
      <c r="IP53" s="32" t="s">
        <v>34</v>
      </c>
      <c r="IQ53" s="8" t="s">
        <v>34</v>
      </c>
      <c r="IR53" s="32" t="s">
        <v>34</v>
      </c>
      <c r="IS53" s="32" t="s">
        <v>34</v>
      </c>
      <c r="IT53" s="32" t="s">
        <v>34</v>
      </c>
      <c r="IU53" s="32" t="s">
        <v>34</v>
      </c>
      <c r="IV53" s="32" t="s">
        <v>34</v>
      </c>
      <c r="IW53" s="32" t="s">
        <v>34</v>
      </c>
      <c r="IX53" s="32" t="s">
        <v>34</v>
      </c>
      <c r="IY53" s="32" t="s">
        <v>34</v>
      </c>
      <c r="IZ53" s="32" t="s">
        <v>34</v>
      </c>
      <c r="JA53" s="32" t="s">
        <v>34</v>
      </c>
      <c r="JB53" s="32" t="s">
        <v>34</v>
      </c>
      <c r="JC53" s="32" t="s">
        <v>34</v>
      </c>
      <c r="JD53" s="32" t="s">
        <v>34</v>
      </c>
      <c r="JE53" s="32" t="s">
        <v>34</v>
      </c>
      <c r="JF53" s="32" t="s">
        <v>34</v>
      </c>
      <c r="JG53" s="32" t="s">
        <v>34</v>
      </c>
      <c r="JH53" s="32" t="s">
        <v>34</v>
      </c>
      <c r="JI53" s="69"/>
      <c r="JJ53" s="32" t="s">
        <v>34</v>
      </c>
      <c r="JK53" s="32" t="s">
        <v>34</v>
      </c>
      <c r="JL53" s="32" t="s">
        <v>34</v>
      </c>
      <c r="JM53" s="32" t="s">
        <v>34</v>
      </c>
      <c r="JN53" s="32" t="s">
        <v>34</v>
      </c>
      <c r="JO53" s="32" t="s">
        <v>34</v>
      </c>
      <c r="JP53" s="32" t="s">
        <v>34</v>
      </c>
      <c r="JQ53" s="32" t="s">
        <v>34</v>
      </c>
      <c r="JR53" s="32" t="s">
        <v>34</v>
      </c>
      <c r="JS53" s="32" t="s">
        <v>34</v>
      </c>
      <c r="JT53" s="32" t="s">
        <v>34</v>
      </c>
      <c r="JU53" s="69"/>
      <c r="JV53" s="32" t="s">
        <v>34</v>
      </c>
      <c r="JW53" s="32" t="s">
        <v>34</v>
      </c>
      <c r="JX53" s="32" t="s">
        <v>34</v>
      </c>
      <c r="JY53" s="32" t="s">
        <v>34</v>
      </c>
      <c r="JZ53" s="32" t="s">
        <v>34</v>
      </c>
      <c r="KA53" s="32" t="s">
        <v>34</v>
      </c>
      <c r="KB53" s="32" t="s">
        <v>34</v>
      </c>
      <c r="KC53" s="32" t="s">
        <v>34</v>
      </c>
      <c r="KD53" s="32" t="s">
        <v>34</v>
      </c>
      <c r="KE53" s="32" t="s">
        <v>34</v>
      </c>
      <c r="KF53" s="32" t="s">
        <v>34</v>
      </c>
      <c r="KG53" s="32" t="s">
        <v>34</v>
      </c>
      <c r="KH53" s="32" t="s">
        <v>34</v>
      </c>
      <c r="KI53" s="32" t="s">
        <v>34</v>
      </c>
      <c r="KJ53" s="32" t="s">
        <v>34</v>
      </c>
      <c r="KK53" s="32" t="s">
        <v>34</v>
      </c>
      <c r="KL53" s="32" t="s">
        <v>34</v>
      </c>
      <c r="KM53" s="69"/>
      <c r="KN53" s="32" t="s">
        <v>34</v>
      </c>
      <c r="KO53" s="32" t="s">
        <v>34</v>
      </c>
      <c r="KP53" s="32" t="s">
        <v>34</v>
      </c>
      <c r="KQ53" s="32" t="s">
        <v>34</v>
      </c>
      <c r="KR53" s="32" t="s">
        <v>34</v>
      </c>
      <c r="KS53" s="32" t="s">
        <v>34</v>
      </c>
      <c r="KT53" s="32" t="s">
        <v>34</v>
      </c>
      <c r="KU53" s="32" t="s">
        <v>34</v>
      </c>
      <c r="KV53" s="32" t="s">
        <v>34</v>
      </c>
      <c r="KW53" s="32" t="s">
        <v>34</v>
      </c>
      <c r="KX53" s="32" t="s">
        <v>34</v>
      </c>
      <c r="KY53" s="32" t="s">
        <v>34</v>
      </c>
      <c r="KZ53" s="32" t="s">
        <v>34</v>
      </c>
      <c r="LA53" s="32" t="s">
        <v>34</v>
      </c>
      <c r="LB53" s="32" t="s">
        <v>34</v>
      </c>
      <c r="LC53" s="32" t="s">
        <v>34</v>
      </c>
      <c r="LD53" s="32" t="s">
        <v>34</v>
      </c>
      <c r="LE53" s="32" t="s">
        <v>34</v>
      </c>
      <c r="LF53" s="32" t="s">
        <v>34</v>
      </c>
      <c r="LG53" s="32" t="s">
        <v>34</v>
      </c>
      <c r="LH53" s="69"/>
      <c r="LI53" s="32" t="s">
        <v>34</v>
      </c>
      <c r="LJ53" s="32" t="s">
        <v>34</v>
      </c>
      <c r="LK53" s="32" t="s">
        <v>34</v>
      </c>
      <c r="LL53" s="32" t="s">
        <v>34</v>
      </c>
      <c r="LM53" s="32" t="s">
        <v>34</v>
      </c>
      <c r="LN53" s="69"/>
      <c r="LO53" s="32" t="s">
        <v>34</v>
      </c>
      <c r="LP53" s="32" t="s">
        <v>34</v>
      </c>
      <c r="LQ53" s="32" t="s">
        <v>34</v>
      </c>
      <c r="LR53" s="32" t="s">
        <v>34</v>
      </c>
      <c r="LS53" s="32" t="s">
        <v>34</v>
      </c>
      <c r="LT53" s="32" t="s">
        <v>34</v>
      </c>
      <c r="LU53" s="32" t="s">
        <v>34</v>
      </c>
      <c r="LV53" s="32" t="s">
        <v>34</v>
      </c>
      <c r="LW53" s="32" t="s">
        <v>34</v>
      </c>
      <c r="LX53" s="32" t="s">
        <v>34</v>
      </c>
      <c r="LY53" s="32" t="s">
        <v>34</v>
      </c>
      <c r="LZ53" s="32" t="s">
        <v>34</v>
      </c>
      <c r="MA53" s="32" t="s">
        <v>34</v>
      </c>
      <c r="MB53" s="32" t="s">
        <v>34</v>
      </c>
      <c r="MC53" s="32" t="s">
        <v>34</v>
      </c>
      <c r="MD53" s="32" t="s">
        <v>34</v>
      </c>
      <c r="ME53" s="32" t="s">
        <v>34</v>
      </c>
      <c r="MF53" s="32" t="s">
        <v>34</v>
      </c>
      <c r="MG53" s="8" t="s">
        <v>34</v>
      </c>
      <c r="MH53" s="32" t="s">
        <v>34</v>
      </c>
      <c r="MI53" s="32" t="s">
        <v>34</v>
      </c>
      <c r="MJ53" s="32" t="s">
        <v>34</v>
      </c>
      <c r="MK53" s="32" t="s">
        <v>34</v>
      </c>
      <c r="ML53" s="32" t="s">
        <v>34</v>
      </c>
      <c r="MM53" s="32" t="s">
        <v>34</v>
      </c>
      <c r="MN53" s="32" t="s">
        <v>34</v>
      </c>
      <c r="MO53" s="32" t="s">
        <v>34</v>
      </c>
      <c r="MP53" s="32" t="s">
        <v>34</v>
      </c>
      <c r="MQ53" s="32" t="s">
        <v>34</v>
      </c>
      <c r="MR53" s="32" t="s">
        <v>34</v>
      </c>
      <c r="MS53" s="32" t="s">
        <v>34</v>
      </c>
      <c r="MT53" s="32" t="s">
        <v>34</v>
      </c>
      <c r="MU53" s="32" t="s">
        <v>34</v>
      </c>
      <c r="MV53" s="32" t="s">
        <v>34</v>
      </c>
      <c r="MW53" s="32" t="s">
        <v>34</v>
      </c>
      <c r="MX53" s="32" t="s">
        <v>34</v>
      </c>
      <c r="MY53" s="32" t="s">
        <v>34</v>
      </c>
      <c r="MZ53" s="32" t="s">
        <v>34</v>
      </c>
      <c r="NA53" s="32" t="s">
        <v>34</v>
      </c>
      <c r="NB53" s="17" t="s">
        <v>34</v>
      </c>
      <c r="NC53" s="69"/>
      <c r="ND53" s="32" t="s">
        <v>34</v>
      </c>
      <c r="NE53" s="32" t="s">
        <v>34</v>
      </c>
      <c r="NF53" s="32" t="s">
        <v>34</v>
      </c>
      <c r="NG53" s="32" t="s">
        <v>34</v>
      </c>
      <c r="NH53" s="32" t="s">
        <v>34</v>
      </c>
      <c r="NI53" s="32" t="s">
        <v>34</v>
      </c>
      <c r="NJ53" s="32" t="s">
        <v>34</v>
      </c>
      <c r="NK53" s="32" t="s">
        <v>34</v>
      </c>
      <c r="NL53" s="32" t="s">
        <v>34</v>
      </c>
      <c r="NM53" s="32" t="s">
        <v>34</v>
      </c>
      <c r="NN53" s="32" t="s">
        <v>34</v>
      </c>
      <c r="NO53" s="32" t="s">
        <v>34</v>
      </c>
      <c r="NP53" s="32" t="s">
        <v>34</v>
      </c>
      <c r="NQ53" s="32" t="s">
        <v>34</v>
      </c>
      <c r="NR53" s="32" t="s">
        <v>34</v>
      </c>
      <c r="NS53" s="32" t="s">
        <v>34</v>
      </c>
      <c r="NT53" s="32" t="s">
        <v>34</v>
      </c>
      <c r="NU53" s="32" t="s">
        <v>34</v>
      </c>
      <c r="NV53" s="8" t="s">
        <v>34</v>
      </c>
      <c r="NW53" s="32" t="s">
        <v>34</v>
      </c>
      <c r="NX53" s="32" t="s">
        <v>34</v>
      </c>
      <c r="NY53" s="32" t="s">
        <v>34</v>
      </c>
      <c r="NZ53" s="32" t="s">
        <v>34</v>
      </c>
      <c r="OA53" s="32" t="s">
        <v>34</v>
      </c>
      <c r="OB53" s="32" t="s">
        <v>34</v>
      </c>
      <c r="OC53" s="32" t="s">
        <v>34</v>
      </c>
      <c r="OD53" s="32" t="s">
        <v>34</v>
      </c>
      <c r="OE53" s="32" t="s">
        <v>34</v>
      </c>
      <c r="OF53" s="32" t="s">
        <v>34</v>
      </c>
      <c r="OG53" s="32" t="s">
        <v>34</v>
      </c>
      <c r="OH53" s="32" t="s">
        <v>34</v>
      </c>
      <c r="OI53" s="32" t="s">
        <v>34</v>
      </c>
      <c r="OJ53" s="32" t="s">
        <v>34</v>
      </c>
      <c r="OK53" s="32" t="s">
        <v>34</v>
      </c>
      <c r="OL53" s="32" t="s">
        <v>34</v>
      </c>
      <c r="OM53" s="32" t="s">
        <v>34</v>
      </c>
      <c r="ON53" s="69"/>
      <c r="OO53" s="32" t="s">
        <v>34</v>
      </c>
      <c r="OP53" s="32" t="s">
        <v>34</v>
      </c>
      <c r="OQ53" s="32" t="s">
        <v>34</v>
      </c>
      <c r="OR53" s="32" t="s">
        <v>34</v>
      </c>
      <c r="OS53" s="32" t="s">
        <v>34</v>
      </c>
      <c r="OT53" s="32" t="s">
        <v>34</v>
      </c>
      <c r="OU53" s="32" t="s">
        <v>34</v>
      </c>
      <c r="OV53" s="32" t="s">
        <v>34</v>
      </c>
      <c r="OW53" s="32" t="s">
        <v>34</v>
      </c>
      <c r="OX53" s="32" t="s">
        <v>34</v>
      </c>
      <c r="OY53" s="32" t="s">
        <v>34</v>
      </c>
    </row>
    <row r="54" spans="1:415" ht="15.75" x14ac:dyDescent="0.25">
      <c r="A54" s="10">
        <v>53</v>
      </c>
      <c r="B54" s="3" t="s">
        <v>338</v>
      </c>
      <c r="C54" s="3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9"/>
      <c r="K54" s="32">
        <v>1525.5255200000001</v>
      </c>
      <c r="L54" s="32">
        <v>21.187854444444447</v>
      </c>
      <c r="M54" s="32">
        <v>9.7000000000000003E-2</v>
      </c>
      <c r="N54" s="32">
        <v>908.83297462439043</v>
      </c>
      <c r="O54" s="32">
        <v>12.622680203116534</v>
      </c>
      <c r="P54" s="32">
        <v>579.97720084390255</v>
      </c>
      <c r="Q54" s="32">
        <v>8.0552389006097584</v>
      </c>
      <c r="R54" s="32">
        <v>744.40508773414649</v>
      </c>
      <c r="S54" s="32">
        <v>10.338959551863146</v>
      </c>
      <c r="T54" s="32">
        <v>0.20399999999999999</v>
      </c>
      <c r="U54" s="32">
        <v>6.3E-2</v>
      </c>
      <c r="V54" s="32">
        <v>37.059507128960554</v>
      </c>
      <c r="W54" s="32">
        <v>62.060584609658264</v>
      </c>
      <c r="X54" s="32">
        <v>50.533789645366433</v>
      </c>
      <c r="Y54" s="32">
        <v>98.628225556935931</v>
      </c>
      <c r="Z54" s="32">
        <v>0.28786751434231855</v>
      </c>
      <c r="AA54" s="32">
        <v>5.2994014398787517</v>
      </c>
      <c r="AB54" s="69"/>
      <c r="AC54" s="32">
        <v>72.423379000000025</v>
      </c>
      <c r="AD54" s="32">
        <v>1.0058802638888893</v>
      </c>
      <c r="AE54" s="32">
        <v>6.0000000000000001E-3</v>
      </c>
      <c r="AF54" s="32">
        <v>1624.0076060000001</v>
      </c>
      <c r="AG54" s="32">
        <v>22.555661194444447</v>
      </c>
      <c r="AH54" s="32">
        <v>9.0999999999999998E-2</v>
      </c>
      <c r="AI54" s="32">
        <v>978.89475641988952</v>
      </c>
      <c r="AJ54" s="32">
        <v>13.595760505831798</v>
      </c>
      <c r="AK54" s="32">
        <v>482.95439391160215</v>
      </c>
      <c r="AL54" s="32">
        <v>6.7076999154389192</v>
      </c>
      <c r="AM54" s="32">
        <v>730.92457516574586</v>
      </c>
      <c r="AN54" s="32">
        <v>10.151730210635359</v>
      </c>
      <c r="AO54" s="32">
        <v>0.18</v>
      </c>
      <c r="AP54" s="32">
        <v>6.3E-2</v>
      </c>
      <c r="AQ54" s="32">
        <v>36.227699307407953</v>
      </c>
      <c r="AR54" s="32">
        <v>63.77230069259204</v>
      </c>
      <c r="AS54" s="32">
        <v>87.50034657720353</v>
      </c>
      <c r="AT54" s="32">
        <v>75.589905226711565</v>
      </c>
      <c r="AU54" s="32">
        <v>0.23231080372743332</v>
      </c>
      <c r="AV54" s="32">
        <v>6.990667588173916</v>
      </c>
      <c r="AW54" s="69"/>
      <c r="AX54" s="32">
        <v>-7.4228693728773383</v>
      </c>
      <c r="AY54" s="32">
        <v>-6.253757751395689</v>
      </c>
      <c r="AZ54" s="32">
        <v>6.3829787234042605</v>
      </c>
      <c r="BA54" s="32">
        <v>12.499999999999996</v>
      </c>
      <c r="BB54" s="32">
        <v>2.2699946197971599</v>
      </c>
      <c r="BC54" s="69"/>
      <c r="BD54" s="32">
        <v>1325.6038429999996</v>
      </c>
      <c r="BE54" s="32">
        <v>18.411164486111105</v>
      </c>
      <c r="BF54" s="32">
        <v>1.2E-2</v>
      </c>
      <c r="BG54" s="32">
        <v>1938.8942370000002</v>
      </c>
      <c r="BH54" s="32">
        <v>26.929086625000004</v>
      </c>
      <c r="BI54" s="32">
        <v>6.0999999999999999E-2</v>
      </c>
      <c r="BJ54" s="32">
        <v>1239.0169035038759</v>
      </c>
      <c r="BK54" s="32">
        <v>17.2085681042205</v>
      </c>
      <c r="BL54" s="32">
        <v>201.69068344961238</v>
      </c>
      <c r="BM54" s="32">
        <v>2.8012594923557277</v>
      </c>
      <c r="BN54" s="32">
        <v>720.35379347674416</v>
      </c>
      <c r="BO54" s="32">
        <v>10.004913798288113</v>
      </c>
      <c r="BP54" s="32">
        <v>296.32153294949495</v>
      </c>
      <c r="BQ54" s="32">
        <v>4.1155768465207636</v>
      </c>
      <c r="BR54" s="32">
        <v>1215.9780467070707</v>
      </c>
      <c r="BS54" s="32">
        <v>16.888583982042647</v>
      </c>
      <c r="BT54" s="32">
        <v>8.4000000000000005E-2</v>
      </c>
      <c r="BU54" s="32">
        <v>-110.59111990000002</v>
      </c>
      <c r="BV54" s="8">
        <v>-1.5359877763888892</v>
      </c>
      <c r="BW54" s="32">
        <v>1315.0451309333334</v>
      </c>
      <c r="BX54" s="32" t="s">
        <v>34</v>
      </c>
      <c r="BY54" s="32">
        <v>4.3999999999999997E-2</v>
      </c>
      <c r="BZ54" s="32">
        <v>38536.828466500003</v>
      </c>
      <c r="CA54" s="32">
        <v>119792.7555035</v>
      </c>
      <c r="CB54" s="32">
        <v>0.128</v>
      </c>
      <c r="CC54" s="32">
        <v>9.6000000000000002E-2</v>
      </c>
      <c r="CD54" s="32">
        <v>65.625</v>
      </c>
      <c r="CE54" s="32">
        <v>8.0927535859849691</v>
      </c>
      <c r="CF54" s="32">
        <v>14.759168758056942</v>
      </c>
      <c r="CG54" s="32">
        <v>21.683993710796916</v>
      </c>
      <c r="CH54" s="32">
        <v>90.667844741908411</v>
      </c>
      <c r="CI54" s="32">
        <v>8.0927535859849691</v>
      </c>
      <c r="CJ54" s="32">
        <v>39.321824163537933</v>
      </c>
      <c r="CK54" s="32">
        <v>21.683993710796916</v>
      </c>
      <c r="CL54" s="32">
        <v>28.325722639595451</v>
      </c>
      <c r="CM54" s="32" t="s">
        <v>34</v>
      </c>
      <c r="CN54" s="32" t="s">
        <v>34</v>
      </c>
      <c r="CO54" s="32" t="s">
        <v>34</v>
      </c>
      <c r="CP54" s="32" t="s">
        <v>34</v>
      </c>
      <c r="CQ54" s="17" t="s">
        <v>34</v>
      </c>
      <c r="CR54" s="69"/>
      <c r="CS54" s="32">
        <v>1145.5553220000002</v>
      </c>
      <c r="CT54" s="32">
        <v>15.910490583333335</v>
      </c>
      <c r="CU54" s="32">
        <v>1.2999999999999999E-2</v>
      </c>
      <c r="CV54" s="32">
        <v>2022.101791</v>
      </c>
      <c r="CW54" s="32">
        <v>28.084747097222223</v>
      </c>
      <c r="CX54" s="32">
        <v>5.7000000000000002E-2</v>
      </c>
      <c r="CY54" s="32">
        <v>1210.0640413968254</v>
      </c>
      <c r="CZ54" s="32">
        <v>16.806445019400353</v>
      </c>
      <c r="DA54" s="32">
        <v>162.91996537301588</v>
      </c>
      <c r="DB54" s="32">
        <v>2.2627772968474429</v>
      </c>
      <c r="DC54" s="32">
        <v>686.49200338492062</v>
      </c>
      <c r="DD54" s="32">
        <v>9.5346111581238979</v>
      </c>
      <c r="DE54" s="32">
        <v>274.70865836559142</v>
      </c>
      <c r="DF54" s="32">
        <v>3.8153980328554362</v>
      </c>
      <c r="DG54" s="32">
        <v>1218.021741451613</v>
      </c>
      <c r="DH54" s="32">
        <v>16.916968631272404</v>
      </c>
      <c r="DI54" s="32">
        <v>0.08</v>
      </c>
      <c r="DJ54" s="32">
        <v>-152.12089669696965</v>
      </c>
      <c r="DK54" s="8">
        <v>-2.1127902319023564</v>
      </c>
      <c r="DL54" s="32">
        <v>1187.6377957878785</v>
      </c>
      <c r="DM54" s="32">
        <v>3.3424599768518517</v>
      </c>
      <c r="DN54" s="32">
        <v>4.4999999999999998E-2</v>
      </c>
      <c r="DO54" s="32">
        <v>38241.409292000004</v>
      </c>
      <c r="DP54" s="32">
        <v>112784.5673165</v>
      </c>
      <c r="DQ54" s="32">
        <v>0.125</v>
      </c>
      <c r="DR54" s="32">
        <v>9.6000000000000002E-2</v>
      </c>
      <c r="DS54" s="32">
        <v>64</v>
      </c>
      <c r="DT54" s="32">
        <v>11.215236166961521</v>
      </c>
      <c r="DU54" s="32">
        <v>10.471839829331591</v>
      </c>
      <c r="DV54" s="32">
        <v>18.910650230162304</v>
      </c>
      <c r="DW54" s="32">
        <v>83.299514398626698</v>
      </c>
      <c r="DX54" s="32">
        <v>11.215236166961521</v>
      </c>
      <c r="DY54" s="32">
        <v>10.471839829331591</v>
      </c>
      <c r="DZ54" s="32">
        <v>18.910650230162304</v>
      </c>
      <c r="EA54" s="32">
        <v>0.14758168860524576</v>
      </c>
      <c r="EB54" s="32">
        <v>13.701576463247791</v>
      </c>
      <c r="EC54" s="69"/>
      <c r="ED54" s="32">
        <v>2.3643858866595755</v>
      </c>
      <c r="EE54" s="32">
        <v>-31.616198859057953</v>
      </c>
      <c r="EF54" s="32">
        <v>7.5697834939791679</v>
      </c>
      <c r="EG54" s="32">
        <v>-4.2013449855446225</v>
      </c>
      <c r="EH54" s="32">
        <v>6.7796610169491469</v>
      </c>
      <c r="EI54" s="32">
        <v>14.571989012290068</v>
      </c>
      <c r="EJ54" s="32">
        <v>2.3715415019762864</v>
      </c>
      <c r="EK54" s="32">
        <v>-151.63446184698111</v>
      </c>
      <c r="EL54" s="32">
        <v>27.287882831778887</v>
      </c>
      <c r="EM54" s="32">
        <v>-25.630361948932073</v>
      </c>
      <c r="EN54" s="32">
        <v>13.663593082221182</v>
      </c>
      <c r="EO54" s="69"/>
      <c r="EP54" s="32">
        <v>1297.9582170000001</v>
      </c>
      <c r="EQ54" s="32">
        <v>18.027197458333333</v>
      </c>
      <c r="ER54" s="32">
        <v>0.22900000000000001</v>
      </c>
      <c r="ES54" s="32">
        <v>690.30191625074633</v>
      </c>
      <c r="ET54" s="32">
        <v>9.587526614593699</v>
      </c>
      <c r="EU54" s="32">
        <v>355.85315735223884</v>
      </c>
      <c r="EV54" s="32">
        <v>4.9424049632255391</v>
      </c>
      <c r="EW54" s="32">
        <v>523.07753680149256</v>
      </c>
      <c r="EX54" s="32">
        <v>7.2649657889096186</v>
      </c>
      <c r="EY54" s="32">
        <v>0.33400000000000002</v>
      </c>
      <c r="EZ54" s="32">
        <v>3.3000000000000002E-2</v>
      </c>
      <c r="FA54" s="32">
        <v>34.630263058957937</v>
      </c>
      <c r="FB54" s="32">
        <v>65.369736941042049</v>
      </c>
      <c r="FC54" s="32">
        <v>62.830183467693843</v>
      </c>
      <c r="FD54" s="32">
        <v>74.718702736061985</v>
      </c>
      <c r="FE54" s="32">
        <v>0.48001439869153228</v>
      </c>
      <c r="FF54" s="32">
        <v>2.703998506165846</v>
      </c>
      <c r="FG54" s="69"/>
      <c r="FH54" s="32">
        <v>1332.4205860000004</v>
      </c>
      <c r="FI54" s="32">
        <v>18.50584147222223</v>
      </c>
      <c r="FJ54" s="32">
        <v>0.11700000000000001</v>
      </c>
      <c r="FK54" s="32">
        <v>1332.4205860000004</v>
      </c>
      <c r="FL54" s="32">
        <v>18.50584147222223</v>
      </c>
      <c r="FM54" s="32">
        <v>0.11700000000000001</v>
      </c>
      <c r="FN54" s="32">
        <v>821.54289701421794</v>
      </c>
      <c r="FO54" s="32">
        <v>11.410318014086361</v>
      </c>
      <c r="FP54" s="32">
        <v>339.29347278199054</v>
      </c>
      <c r="FQ54" s="32">
        <v>4.7124093441943131</v>
      </c>
      <c r="FR54" s="32">
        <v>580.4181848981043</v>
      </c>
      <c r="FS54" s="32">
        <v>8.0613636791403369</v>
      </c>
      <c r="FT54" s="32">
        <v>0.21</v>
      </c>
      <c r="FU54" s="32">
        <v>3.3000000000000002E-2</v>
      </c>
      <c r="FV54" s="32">
        <v>31.230923350890421</v>
      </c>
      <c r="FW54" s="32">
        <v>68.769076649109564</v>
      </c>
      <c r="FX54" s="32">
        <v>86.666559870661843</v>
      </c>
      <c r="FY54" s="32">
        <v>96.738482374288679</v>
      </c>
      <c r="FZ54" s="32">
        <v>0.26443332973646383</v>
      </c>
      <c r="GA54" s="32">
        <v>5.0387770230322335</v>
      </c>
      <c r="GB54" s="69"/>
      <c r="GC54" s="32">
        <v>17.361700038517178</v>
      </c>
      <c r="GD54" s="32">
        <v>2.6203350605392099</v>
      </c>
      <c r="GE54" s="32">
        <v>-64.739884393063591</v>
      </c>
      <c r="GF54" s="32">
        <v>-45.588235294117652</v>
      </c>
      <c r="GG54" s="32">
        <v>-10.322740580206752</v>
      </c>
      <c r="GH54" s="69"/>
      <c r="GI54" s="32">
        <v>595.34683900000005</v>
      </c>
      <c r="GJ54" s="32">
        <v>8.2687060972222231</v>
      </c>
      <c r="GK54" s="32">
        <v>1.4E-2</v>
      </c>
      <c r="GL54" s="32">
        <v>1888.7245049999999</v>
      </c>
      <c r="GM54" s="32">
        <v>26.232284791666665</v>
      </c>
      <c r="GN54" s="32">
        <v>6.3E-2</v>
      </c>
      <c r="GO54" s="32">
        <v>1054.8877108550723</v>
      </c>
      <c r="GP54" s="32">
        <v>14.651218206320449</v>
      </c>
      <c r="GQ54" s="32">
        <v>115.03677136231883</v>
      </c>
      <c r="GR54" s="32">
        <v>1.5977329355877616</v>
      </c>
      <c r="GS54" s="32">
        <v>584.96224110869559</v>
      </c>
      <c r="GT54" s="32">
        <v>8.1244755709541057</v>
      </c>
      <c r="GU54" s="32">
        <v>254.06920263095239</v>
      </c>
      <c r="GV54" s="32">
        <v>3.5287389254298942</v>
      </c>
      <c r="GW54" s="32">
        <v>1053.1630468095238</v>
      </c>
      <c r="GX54" s="32">
        <v>14.627264539021164</v>
      </c>
      <c r="GY54" s="32">
        <v>8.2000000000000003E-2</v>
      </c>
      <c r="GZ54" s="32">
        <v>-101.23589950000002</v>
      </c>
      <c r="HA54" s="8">
        <v>-1.4060541597222225</v>
      </c>
      <c r="HB54" s="32">
        <v>1057.5705215925927</v>
      </c>
      <c r="HC54" s="32">
        <v>-2.0986172533436216</v>
      </c>
      <c r="HD54" s="32">
        <v>5.5E-2</v>
      </c>
      <c r="HE54" s="32">
        <v>56182.822241999995</v>
      </c>
      <c r="HF54" s="32">
        <v>88094.4089045</v>
      </c>
      <c r="HG54" s="32">
        <v>0.13700000000000001</v>
      </c>
      <c r="HH54" s="32">
        <v>0.105</v>
      </c>
      <c r="HI54" s="32">
        <v>59.85401459854014</v>
      </c>
      <c r="HJ54" s="32">
        <v>8.7708170453569103</v>
      </c>
      <c r="HK54" s="32">
        <v>9.9664889638033163</v>
      </c>
      <c r="HL54" s="32">
        <v>22.011899969692031</v>
      </c>
      <c r="HM54" s="32">
        <v>91.392748629701259</v>
      </c>
      <c r="HN54" s="32">
        <v>8.7708170453569103</v>
      </c>
      <c r="HO54" s="32">
        <v>37.059986320978751</v>
      </c>
      <c r="HP54" s="32">
        <v>22.011899969692031</v>
      </c>
      <c r="HQ54" s="32">
        <v>23.998067835909875</v>
      </c>
      <c r="HR54" s="32">
        <v>59.85401459854014</v>
      </c>
      <c r="HS54" s="32" t="s">
        <v>34</v>
      </c>
      <c r="HT54" s="32" t="s">
        <v>34</v>
      </c>
      <c r="HU54" s="32" t="s">
        <v>34</v>
      </c>
      <c r="HV54" s="32" t="s">
        <v>34</v>
      </c>
      <c r="HW54" s="17" t="s">
        <v>34</v>
      </c>
      <c r="HX54" s="69"/>
      <c r="HY54" s="32">
        <v>2038.5846419999998</v>
      </c>
      <c r="HZ54" s="32">
        <v>28.313675583333332</v>
      </c>
      <c r="IA54" s="32">
        <v>3.7999999999999999E-2</v>
      </c>
      <c r="IB54" s="32">
        <v>2038.5846419999998</v>
      </c>
      <c r="IC54" s="32">
        <v>28.313675583333332</v>
      </c>
      <c r="ID54" s="32">
        <v>3.7999999999999999E-2</v>
      </c>
      <c r="IE54" s="32">
        <v>1259.3013061060601</v>
      </c>
      <c r="IF54" s="32">
        <v>17.490295918139722</v>
      </c>
      <c r="IG54" s="32">
        <v>168.78062799242426</v>
      </c>
      <c r="IH54" s="32">
        <v>2.34417538878367</v>
      </c>
      <c r="II54" s="32">
        <v>714.04096704924223</v>
      </c>
      <c r="IJ54" s="32">
        <v>9.917235653461697</v>
      </c>
      <c r="IK54" s="32">
        <v>264.07319645000001</v>
      </c>
      <c r="IL54" s="32">
        <v>3.667683284027778</v>
      </c>
      <c r="IM54" s="32">
        <v>1247.1040424199998</v>
      </c>
      <c r="IN54" s="32">
        <v>17.320889478055552</v>
      </c>
      <c r="IO54" s="32">
        <v>8.5999999999999993E-2</v>
      </c>
      <c r="IP54" s="32">
        <v>-129.00864843750003</v>
      </c>
      <c r="IQ54" s="8">
        <v>-1.791786783854167</v>
      </c>
      <c r="IR54" s="32">
        <v>1297.4177551249998</v>
      </c>
      <c r="IS54" s="32">
        <v>2.3333694791666661</v>
      </c>
      <c r="IT54" s="32">
        <v>4.3999999999999997E-2</v>
      </c>
      <c r="IU54" s="32">
        <v>40516.028399499999</v>
      </c>
      <c r="IV54" s="32">
        <v>124715.5528665</v>
      </c>
      <c r="IW54" s="32">
        <v>0.13100000000000001</v>
      </c>
      <c r="IX54" s="32">
        <v>0.105</v>
      </c>
      <c r="IY54" s="32">
        <v>65.648854961832043</v>
      </c>
      <c r="IZ54" s="32">
        <v>11.322759429643787</v>
      </c>
      <c r="JA54" s="32">
        <v>8.6546300246428096</v>
      </c>
      <c r="JB54" s="32">
        <v>17.715524055015496</v>
      </c>
      <c r="JC54" s="32">
        <v>84.481056315983935</v>
      </c>
      <c r="JD54" s="32">
        <v>11.322759429643787</v>
      </c>
      <c r="JE54" s="32">
        <v>8.6546300246428096</v>
      </c>
      <c r="JF54" s="32">
        <v>17.715524055015496</v>
      </c>
      <c r="JG54" s="32">
        <v>0.17282311094183125</v>
      </c>
      <c r="JH54" s="32">
        <v>11.795787212082683</v>
      </c>
      <c r="JI54" s="69"/>
      <c r="JJ54" s="32">
        <v>17.666110568566491</v>
      </c>
      <c r="JK54" s="32">
        <v>24.124565976727435</v>
      </c>
      <c r="JL54" s="32">
        <v>3.8614843474658946</v>
      </c>
      <c r="JM54" s="32">
        <v>7.6316954632652392</v>
      </c>
      <c r="JN54" s="32">
        <v>-49.504950495049506</v>
      </c>
      <c r="JO54" s="32">
        <v>109.5881053406947</v>
      </c>
      <c r="JP54" s="32">
        <v>-4.4776119402985115</v>
      </c>
      <c r="JQ54" s="32">
        <v>140.92347589119615</v>
      </c>
      <c r="JR54" s="32">
        <v>-12.741365413895354</v>
      </c>
      <c r="JS54" s="32">
        <v>-1.3335327380395592</v>
      </c>
      <c r="JT54" s="32">
        <v>-21.629270057905117</v>
      </c>
      <c r="JU54" s="69"/>
      <c r="JV54" s="32">
        <v>1350.273991</v>
      </c>
      <c r="JW54" s="32">
        <v>18.753805430555555</v>
      </c>
      <c r="JX54" s="32">
        <v>0.20100000000000001</v>
      </c>
      <c r="JY54" s="32">
        <v>704.1508981836065</v>
      </c>
      <c r="JZ54" s="32">
        <v>9.7798735858834238</v>
      </c>
      <c r="KA54" s="32">
        <v>382.20330257377043</v>
      </c>
      <c r="KB54" s="32">
        <v>5.3083792024134784</v>
      </c>
      <c r="KC54" s="32">
        <v>543.17710037868846</v>
      </c>
      <c r="KD54" s="32">
        <v>7.5441263941484511</v>
      </c>
      <c r="KE54" s="32">
        <v>0.30399999999999999</v>
      </c>
      <c r="KF54" s="32">
        <v>6.2E-2</v>
      </c>
      <c r="KG54" s="32">
        <v>37.458001923760136</v>
      </c>
      <c r="KH54" s="32">
        <v>62.541998076239864</v>
      </c>
      <c r="KI54" s="32">
        <v>72.421523074690867</v>
      </c>
      <c r="KJ54" s="32">
        <v>71.97122691203694</v>
      </c>
      <c r="KK54" s="32">
        <v>0.40878239799580701</v>
      </c>
      <c r="KL54" s="32">
        <v>3.3031607956217579</v>
      </c>
      <c r="KM54" s="69"/>
      <c r="KN54" s="32">
        <v>1489.1877000000002</v>
      </c>
      <c r="KO54" s="32">
        <v>20.683162500000002</v>
      </c>
      <c r="KP54" s="32">
        <v>9.9000000000000005E-2</v>
      </c>
      <c r="KQ54" s="32">
        <v>1489.1877000000002</v>
      </c>
      <c r="KR54" s="32">
        <v>20.683162500000002</v>
      </c>
      <c r="KS54" s="32">
        <v>9.9000000000000005E-2</v>
      </c>
      <c r="KT54" s="32">
        <v>897.63860015942032</v>
      </c>
      <c r="KU54" s="32">
        <v>12.467202779991949</v>
      </c>
      <c r="KV54" s="32">
        <v>338.0748996135265</v>
      </c>
      <c r="KW54" s="32">
        <v>4.6954847168545344</v>
      </c>
      <c r="KX54" s="32">
        <v>617.85674988647338</v>
      </c>
      <c r="KY54" s="32">
        <v>8.581343748423242</v>
      </c>
      <c r="KZ54" s="32">
        <v>0.20599999999999999</v>
      </c>
      <c r="LA54" s="32">
        <v>6.2E-2</v>
      </c>
      <c r="LB54" s="32">
        <v>28.99388797690283</v>
      </c>
      <c r="LC54" s="32">
        <v>71.006112023097174</v>
      </c>
      <c r="LD54" s="32">
        <v>78.225858383493261</v>
      </c>
      <c r="LE54" s="32">
        <v>99.953428375717408</v>
      </c>
      <c r="LF54" s="32">
        <v>0.29037704054846009</v>
      </c>
      <c r="LG54" s="32">
        <v>5.1284622819601831</v>
      </c>
      <c r="LH54" s="69"/>
      <c r="LI54" s="32">
        <v>24.158942504738281</v>
      </c>
      <c r="LJ54" s="32">
        <v>9.7845101724952368</v>
      </c>
      <c r="LK54" s="32">
        <v>-68</v>
      </c>
      <c r="LL54" s="32">
        <v>-38.431372549019613</v>
      </c>
      <c r="LM54" s="32">
        <v>-25.474411516391992</v>
      </c>
      <c r="LN54" s="69"/>
      <c r="LO54" s="32">
        <v>304.22868000000005</v>
      </c>
      <c r="LP54" s="32">
        <v>4.2253983333333345</v>
      </c>
      <c r="LQ54" s="32">
        <v>1.9E-2</v>
      </c>
      <c r="LR54" s="32">
        <v>1186.0951570000002</v>
      </c>
      <c r="LS54" s="32">
        <v>16.473543847222224</v>
      </c>
      <c r="LT54" s="32">
        <v>7.4999999999999997E-2</v>
      </c>
      <c r="LU54" s="32">
        <v>695.33541538235295</v>
      </c>
      <c r="LV54" s="32">
        <v>9.6574363247549027</v>
      </c>
      <c r="LW54" s="32">
        <v>-25.966022286764694</v>
      </c>
      <c r="LX54" s="32">
        <v>-0.36063919842728742</v>
      </c>
      <c r="LY54" s="32">
        <v>334.68469654779415</v>
      </c>
      <c r="LZ54" s="32">
        <v>4.6483985631638074</v>
      </c>
      <c r="MA54" s="32">
        <v>158.27267950943397</v>
      </c>
      <c r="MB54" s="32">
        <v>2.1982316598532496</v>
      </c>
      <c r="MC54" s="32">
        <v>574.86906233962259</v>
      </c>
      <c r="MD54" s="32">
        <v>7.9842925324947585</v>
      </c>
      <c r="ME54" s="32">
        <v>5.2999999999999999E-2</v>
      </c>
      <c r="MF54" s="32">
        <v>-143.61242222891565</v>
      </c>
      <c r="MG54" s="8">
        <v>-1.9946169754016063</v>
      </c>
      <c r="MH54" s="32">
        <v>772.25971310843374</v>
      </c>
      <c r="MI54" s="32">
        <v>-1.0694870749665328</v>
      </c>
      <c r="MJ54" s="32">
        <v>8.2000000000000003E-2</v>
      </c>
      <c r="MK54" s="32">
        <v>63514.328005500007</v>
      </c>
      <c r="ML54" s="32">
        <v>29902.2346235</v>
      </c>
      <c r="MM54" s="32">
        <v>0.13500000000000001</v>
      </c>
      <c r="MN54" s="32">
        <v>0.12</v>
      </c>
      <c r="MO54" s="32">
        <v>39.259259259259252</v>
      </c>
      <c r="MP54" s="32">
        <v>18.30964870452576</v>
      </c>
      <c r="MQ54" s="32">
        <v>3.3104987642832402</v>
      </c>
      <c r="MR54" s="32">
        <v>20.178736047794668</v>
      </c>
      <c r="MS54" s="32">
        <v>88.650737797408894</v>
      </c>
      <c r="MT54" s="32">
        <v>18.30964870452576</v>
      </c>
      <c r="MU54" s="32">
        <v>32.16783568041938</v>
      </c>
      <c r="MV54" s="32">
        <v>20.178736047794668</v>
      </c>
      <c r="MW54" s="32">
        <v>24.180373565187413</v>
      </c>
      <c r="MX54" s="32" t="s">
        <v>34</v>
      </c>
      <c r="MY54" s="32" t="s">
        <v>34</v>
      </c>
      <c r="MZ54" s="32" t="s">
        <v>34</v>
      </c>
      <c r="NA54" s="32" t="s">
        <v>34</v>
      </c>
      <c r="NB54" s="17" t="s">
        <v>34</v>
      </c>
      <c r="NC54" s="69"/>
      <c r="ND54" s="32">
        <v>2236.3422530000003</v>
      </c>
      <c r="NE54" s="32">
        <v>31.060309069444447</v>
      </c>
      <c r="NF54" s="32">
        <v>3.5000000000000003E-2</v>
      </c>
      <c r="NG54" s="32">
        <v>2236.3422530000003</v>
      </c>
      <c r="NH54" s="32">
        <v>31.060309069444447</v>
      </c>
      <c r="NI54" s="32">
        <v>3.5000000000000003E-2</v>
      </c>
      <c r="NJ54" s="32">
        <v>1301.5852126058396</v>
      </c>
      <c r="NK54" s="32">
        <v>18.077572397303328</v>
      </c>
      <c r="NL54" s="32">
        <v>129.23429916058393</v>
      </c>
      <c r="NM54" s="32">
        <v>1.7949208216747767</v>
      </c>
      <c r="NN54" s="32">
        <v>715.4097558832118</v>
      </c>
      <c r="NO54" s="32">
        <v>9.9362466094890536</v>
      </c>
      <c r="NP54" s="32">
        <v>235.57867242</v>
      </c>
      <c r="NQ54" s="32">
        <v>3.2719260058333335</v>
      </c>
      <c r="NR54" s="32">
        <v>1226.4868236099999</v>
      </c>
      <c r="NS54" s="32">
        <v>17.034539216805555</v>
      </c>
      <c r="NT54" s="32">
        <v>8.5999999999999993E-2</v>
      </c>
      <c r="NU54" s="32">
        <v>-158.18292586486487</v>
      </c>
      <c r="NV54" s="8">
        <v>-2.1969850814564564</v>
      </c>
      <c r="NW54" s="32">
        <v>1504.5538315135136</v>
      </c>
      <c r="NX54" s="32">
        <v>2.1051986599099095</v>
      </c>
      <c r="NY54" s="32">
        <v>0.05</v>
      </c>
      <c r="NZ54" s="32">
        <v>54659.127029999996</v>
      </c>
      <c r="OA54" s="32">
        <v>121833.52264049998</v>
      </c>
      <c r="OB54" s="32">
        <v>0.13600000000000001</v>
      </c>
      <c r="OC54" s="32">
        <v>0.12</v>
      </c>
      <c r="OD54" s="32">
        <v>63.235294117647044</v>
      </c>
      <c r="OE54" s="32">
        <v>8.5232203703860545</v>
      </c>
      <c r="OF54" s="32">
        <v>10.432431210103152</v>
      </c>
      <c r="OG54" s="32">
        <v>15.536811455167063</v>
      </c>
      <c r="OH54" s="32">
        <v>85.841743793499802</v>
      </c>
      <c r="OI54" s="32">
        <v>8.5232203703860545</v>
      </c>
      <c r="OJ54" s="32">
        <v>10.432431210103152</v>
      </c>
      <c r="OK54" s="32">
        <v>15.536811455167063</v>
      </c>
      <c r="OL54" s="32">
        <v>0.20213856399807906</v>
      </c>
      <c r="OM54" s="32">
        <v>11.063412189973075</v>
      </c>
      <c r="ON54" s="69"/>
      <c r="OO54" s="32">
        <v>60.718467096436981</v>
      </c>
      <c r="OP54" s="32">
        <v>9.6558835170789692</v>
      </c>
      <c r="OQ54" s="32">
        <v>39.256431408374034</v>
      </c>
      <c r="OR54" s="32">
        <v>61.374217856039614</v>
      </c>
      <c r="OS54" s="32">
        <v>-72.72727272727272</v>
      </c>
      <c r="OT54" s="32">
        <v>152.10073829495394</v>
      </c>
      <c r="OU54" s="32">
        <v>0.73800738007380129</v>
      </c>
      <c r="OV54" s="32">
        <v>157.4811958412246</v>
      </c>
      <c r="OW54" s="32">
        <v>-454.03227062097187</v>
      </c>
      <c r="OX54" s="32">
        <v>-54.813134733602389</v>
      </c>
      <c r="OY54" s="32">
        <v>-25.993859353507997</v>
      </c>
    </row>
    <row r="55" spans="1:415" ht="15.75" x14ac:dyDescent="0.25">
      <c r="A55" s="10">
        <v>54</v>
      </c>
      <c r="B55" s="3" t="s">
        <v>341</v>
      </c>
      <c r="C55" s="3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9"/>
      <c r="K55" s="32" t="s">
        <v>34</v>
      </c>
      <c r="L55" s="32" t="s">
        <v>34</v>
      </c>
      <c r="M55" s="32" t="s">
        <v>34</v>
      </c>
      <c r="N55" s="32" t="s">
        <v>34</v>
      </c>
      <c r="O55" s="32" t="s">
        <v>34</v>
      </c>
      <c r="P55" s="32" t="s">
        <v>34</v>
      </c>
      <c r="Q55" s="32" t="s">
        <v>34</v>
      </c>
      <c r="R55" s="32" t="s">
        <v>34</v>
      </c>
      <c r="S55" s="32" t="s">
        <v>34</v>
      </c>
      <c r="T55" s="32" t="s">
        <v>34</v>
      </c>
      <c r="U55" s="32" t="s">
        <v>34</v>
      </c>
      <c r="V55" s="32" t="s">
        <v>34</v>
      </c>
      <c r="W55" s="32" t="s">
        <v>34</v>
      </c>
      <c r="X55" s="32" t="s">
        <v>34</v>
      </c>
      <c r="Y55" s="32" t="s">
        <v>34</v>
      </c>
      <c r="Z55" s="32" t="s">
        <v>34</v>
      </c>
      <c r="AA55" s="32" t="s">
        <v>34</v>
      </c>
      <c r="AB55" s="69"/>
      <c r="AC55" s="32" t="s">
        <v>34</v>
      </c>
      <c r="AD55" s="32" t="s">
        <v>34</v>
      </c>
      <c r="AE55" s="32" t="s">
        <v>34</v>
      </c>
      <c r="AF55" s="32" t="s">
        <v>34</v>
      </c>
      <c r="AG55" s="32" t="s">
        <v>34</v>
      </c>
      <c r="AH55" s="32" t="s">
        <v>34</v>
      </c>
      <c r="AI55" s="32" t="s">
        <v>34</v>
      </c>
      <c r="AJ55" s="32" t="s">
        <v>34</v>
      </c>
      <c r="AK55" s="32" t="s">
        <v>34</v>
      </c>
      <c r="AL55" s="32" t="s">
        <v>34</v>
      </c>
      <c r="AM55" s="32" t="s">
        <v>34</v>
      </c>
      <c r="AN55" s="32" t="s">
        <v>34</v>
      </c>
      <c r="AO55" s="32" t="s">
        <v>34</v>
      </c>
      <c r="AP55" s="32" t="s">
        <v>34</v>
      </c>
      <c r="AQ55" s="32" t="s">
        <v>34</v>
      </c>
      <c r="AR55" s="32" t="s">
        <v>34</v>
      </c>
      <c r="AS55" s="32" t="s">
        <v>34</v>
      </c>
      <c r="AT55" s="32" t="s">
        <v>34</v>
      </c>
      <c r="AU55" s="32" t="s">
        <v>34</v>
      </c>
      <c r="AV55" s="32" t="s">
        <v>34</v>
      </c>
      <c r="AW55" s="69"/>
      <c r="AX55" s="32" t="s">
        <v>34</v>
      </c>
      <c r="AY55" s="32" t="s">
        <v>34</v>
      </c>
      <c r="AZ55" s="32" t="s">
        <v>34</v>
      </c>
      <c r="BA55" s="32" t="s">
        <v>34</v>
      </c>
      <c r="BB55" s="32" t="s">
        <v>34</v>
      </c>
      <c r="BC55" s="69"/>
      <c r="BD55" s="32" t="s">
        <v>34</v>
      </c>
      <c r="BE55" s="32" t="s">
        <v>34</v>
      </c>
      <c r="BF55" s="32" t="s">
        <v>34</v>
      </c>
      <c r="BG55" s="32" t="s">
        <v>34</v>
      </c>
      <c r="BH55" s="32" t="s">
        <v>34</v>
      </c>
      <c r="BI55" s="32" t="s">
        <v>34</v>
      </c>
      <c r="BJ55" s="32" t="s">
        <v>34</v>
      </c>
      <c r="BK55" s="32" t="s">
        <v>34</v>
      </c>
      <c r="BL55" s="32" t="s">
        <v>34</v>
      </c>
      <c r="BM55" s="32" t="s">
        <v>34</v>
      </c>
      <c r="BN55" s="32" t="s">
        <v>34</v>
      </c>
      <c r="BO55" s="32" t="s">
        <v>34</v>
      </c>
      <c r="BP55" s="32" t="s">
        <v>34</v>
      </c>
      <c r="BQ55" s="32" t="s">
        <v>34</v>
      </c>
      <c r="BR55" s="32" t="s">
        <v>34</v>
      </c>
      <c r="BS55" s="32" t="s">
        <v>34</v>
      </c>
      <c r="BT55" s="32" t="s">
        <v>34</v>
      </c>
      <c r="BU55" s="32" t="s">
        <v>34</v>
      </c>
      <c r="BV55" s="8" t="s">
        <v>34</v>
      </c>
      <c r="BW55" s="32" t="s">
        <v>34</v>
      </c>
      <c r="BX55" s="32" t="s">
        <v>34</v>
      </c>
      <c r="BY55" s="32" t="s">
        <v>34</v>
      </c>
      <c r="BZ55" s="32" t="s">
        <v>34</v>
      </c>
      <c r="CA55" s="32" t="s">
        <v>34</v>
      </c>
      <c r="CB55" s="32" t="s">
        <v>34</v>
      </c>
      <c r="CC55" s="32" t="s">
        <v>34</v>
      </c>
      <c r="CD55" s="32" t="s">
        <v>34</v>
      </c>
      <c r="CE55" s="32" t="s">
        <v>34</v>
      </c>
      <c r="CF55" s="32" t="s">
        <v>34</v>
      </c>
      <c r="CG55" s="32" t="s">
        <v>34</v>
      </c>
      <c r="CH55" s="32" t="s">
        <v>34</v>
      </c>
      <c r="CI55" s="32" t="s">
        <v>34</v>
      </c>
      <c r="CJ55" s="32" t="s">
        <v>34</v>
      </c>
      <c r="CK55" s="32" t="s">
        <v>34</v>
      </c>
      <c r="CL55" s="32" t="s">
        <v>34</v>
      </c>
      <c r="CM55" s="32" t="s">
        <v>34</v>
      </c>
      <c r="CN55" s="32" t="s">
        <v>34</v>
      </c>
      <c r="CO55" s="32" t="s">
        <v>34</v>
      </c>
      <c r="CP55" s="32" t="s">
        <v>34</v>
      </c>
      <c r="CQ55" s="17" t="s">
        <v>34</v>
      </c>
      <c r="CR55" s="69"/>
      <c r="CS55" s="32" t="s">
        <v>34</v>
      </c>
      <c r="CT55" s="32" t="s">
        <v>34</v>
      </c>
      <c r="CU55" s="32" t="s">
        <v>34</v>
      </c>
      <c r="CV55" s="32" t="s">
        <v>34</v>
      </c>
      <c r="CW55" s="32" t="s">
        <v>34</v>
      </c>
      <c r="CX55" s="32" t="s">
        <v>34</v>
      </c>
      <c r="CY55" s="32" t="s">
        <v>34</v>
      </c>
      <c r="CZ55" s="32" t="s">
        <v>34</v>
      </c>
      <c r="DA55" s="32" t="s">
        <v>34</v>
      </c>
      <c r="DB55" s="32" t="s">
        <v>34</v>
      </c>
      <c r="DC55" s="32" t="s">
        <v>34</v>
      </c>
      <c r="DD55" s="32" t="s">
        <v>34</v>
      </c>
      <c r="DE55" s="32" t="s">
        <v>34</v>
      </c>
      <c r="DF55" s="32" t="s">
        <v>34</v>
      </c>
      <c r="DG55" s="32" t="s">
        <v>34</v>
      </c>
      <c r="DH55" s="32" t="s">
        <v>34</v>
      </c>
      <c r="DI55" s="32" t="s">
        <v>34</v>
      </c>
      <c r="DJ55" s="32" t="s">
        <v>34</v>
      </c>
      <c r="DK55" s="8" t="s">
        <v>34</v>
      </c>
      <c r="DL55" s="32" t="s">
        <v>34</v>
      </c>
      <c r="DM55" s="32" t="s">
        <v>34</v>
      </c>
      <c r="DN55" s="32" t="s">
        <v>34</v>
      </c>
      <c r="DO55" s="32" t="s">
        <v>34</v>
      </c>
      <c r="DP55" s="32" t="s">
        <v>34</v>
      </c>
      <c r="DQ55" s="32" t="s">
        <v>34</v>
      </c>
      <c r="DR55" s="32" t="s">
        <v>34</v>
      </c>
      <c r="DS55" s="32" t="s">
        <v>34</v>
      </c>
      <c r="DT55" s="32" t="s">
        <v>34</v>
      </c>
      <c r="DU55" s="32" t="s">
        <v>34</v>
      </c>
      <c r="DV55" s="32" t="s">
        <v>34</v>
      </c>
      <c r="DW55" s="32" t="s">
        <v>34</v>
      </c>
      <c r="DX55" s="32" t="s">
        <v>34</v>
      </c>
      <c r="DY55" s="32" t="s">
        <v>34</v>
      </c>
      <c r="DZ55" s="32" t="s">
        <v>34</v>
      </c>
      <c r="EA55" s="32" t="s">
        <v>34</v>
      </c>
      <c r="EB55" s="32" t="s">
        <v>34</v>
      </c>
      <c r="EC55" s="69"/>
      <c r="ED55" s="32" t="s">
        <v>34</v>
      </c>
      <c r="EE55" s="32" t="s">
        <v>34</v>
      </c>
      <c r="EF55" s="32" t="s">
        <v>34</v>
      </c>
      <c r="EG55" s="32" t="s">
        <v>34</v>
      </c>
      <c r="EH55" s="32" t="s">
        <v>34</v>
      </c>
      <c r="EI55" s="32" t="s">
        <v>34</v>
      </c>
      <c r="EJ55" s="32" t="s">
        <v>34</v>
      </c>
      <c r="EK55" s="32" t="s">
        <v>34</v>
      </c>
      <c r="EL55" s="32" t="s">
        <v>34</v>
      </c>
      <c r="EM55" s="32" t="s">
        <v>34</v>
      </c>
      <c r="EN55" s="32" t="s">
        <v>34</v>
      </c>
      <c r="EO55" s="69"/>
      <c r="EP55" s="32" t="s">
        <v>34</v>
      </c>
      <c r="EQ55" s="32" t="s">
        <v>34</v>
      </c>
      <c r="ER55" s="32" t="s">
        <v>34</v>
      </c>
      <c r="ES55" s="32" t="s">
        <v>34</v>
      </c>
      <c r="ET55" s="32" t="s">
        <v>34</v>
      </c>
      <c r="EU55" s="32" t="s">
        <v>34</v>
      </c>
      <c r="EV55" s="32" t="s">
        <v>34</v>
      </c>
      <c r="EW55" s="32" t="s">
        <v>34</v>
      </c>
      <c r="EX55" s="32" t="s">
        <v>34</v>
      </c>
      <c r="EY55" s="32" t="s">
        <v>34</v>
      </c>
      <c r="EZ55" s="32" t="s">
        <v>34</v>
      </c>
      <c r="FA55" s="32" t="s">
        <v>34</v>
      </c>
      <c r="FB55" s="32" t="s">
        <v>34</v>
      </c>
      <c r="FC55" s="32" t="s">
        <v>34</v>
      </c>
      <c r="FD55" s="32" t="s">
        <v>34</v>
      </c>
      <c r="FE55" s="32" t="s">
        <v>34</v>
      </c>
      <c r="FF55" s="32" t="s">
        <v>34</v>
      </c>
      <c r="FG55" s="69"/>
      <c r="FH55" s="32" t="s">
        <v>34</v>
      </c>
      <c r="FI55" s="32" t="s">
        <v>34</v>
      </c>
      <c r="FJ55" s="32" t="s">
        <v>34</v>
      </c>
      <c r="FK55" s="32" t="s">
        <v>34</v>
      </c>
      <c r="FL55" s="32" t="s">
        <v>34</v>
      </c>
      <c r="FM55" s="32" t="s">
        <v>34</v>
      </c>
      <c r="FN55" s="32" t="s">
        <v>34</v>
      </c>
      <c r="FO55" s="32" t="s">
        <v>34</v>
      </c>
      <c r="FP55" s="32" t="s">
        <v>34</v>
      </c>
      <c r="FQ55" s="32" t="s">
        <v>34</v>
      </c>
      <c r="FR55" s="32" t="s">
        <v>34</v>
      </c>
      <c r="FS55" s="32" t="s">
        <v>34</v>
      </c>
      <c r="FT55" s="32" t="s">
        <v>34</v>
      </c>
      <c r="FU55" s="32" t="s">
        <v>34</v>
      </c>
      <c r="FV55" s="32" t="s">
        <v>34</v>
      </c>
      <c r="FW55" s="32" t="s">
        <v>34</v>
      </c>
      <c r="FX55" s="32" t="s">
        <v>34</v>
      </c>
      <c r="FY55" s="32" t="s">
        <v>34</v>
      </c>
      <c r="FZ55" s="32" t="s">
        <v>34</v>
      </c>
      <c r="GA55" s="32" t="s">
        <v>34</v>
      </c>
      <c r="GB55" s="69"/>
      <c r="GC55" s="32" t="s">
        <v>34</v>
      </c>
      <c r="GD55" s="32" t="s">
        <v>34</v>
      </c>
      <c r="GE55" s="32" t="s">
        <v>34</v>
      </c>
      <c r="GF55" s="32" t="s">
        <v>34</v>
      </c>
      <c r="GG55" s="32" t="s">
        <v>34</v>
      </c>
      <c r="GH55" s="69"/>
      <c r="GI55" s="32" t="s">
        <v>34</v>
      </c>
      <c r="GJ55" s="32" t="s">
        <v>34</v>
      </c>
      <c r="GK55" s="32" t="s">
        <v>34</v>
      </c>
      <c r="GL55" s="32" t="s">
        <v>34</v>
      </c>
      <c r="GM55" s="32" t="s">
        <v>34</v>
      </c>
      <c r="GN55" s="32" t="s">
        <v>34</v>
      </c>
      <c r="GO55" s="32" t="s">
        <v>34</v>
      </c>
      <c r="GP55" s="32" t="s">
        <v>34</v>
      </c>
      <c r="GQ55" s="32" t="s">
        <v>34</v>
      </c>
      <c r="GR55" s="32" t="s">
        <v>34</v>
      </c>
      <c r="GS55" s="32" t="s">
        <v>34</v>
      </c>
      <c r="GT55" s="32" t="s">
        <v>34</v>
      </c>
      <c r="GU55" s="32" t="s">
        <v>34</v>
      </c>
      <c r="GV55" s="32" t="s">
        <v>34</v>
      </c>
      <c r="GW55" s="32" t="s">
        <v>34</v>
      </c>
      <c r="GX55" s="32" t="s">
        <v>34</v>
      </c>
      <c r="GY55" s="32" t="s">
        <v>34</v>
      </c>
      <c r="GZ55" s="32" t="s">
        <v>34</v>
      </c>
      <c r="HA55" s="8" t="s">
        <v>34</v>
      </c>
      <c r="HB55" s="32" t="s">
        <v>34</v>
      </c>
      <c r="HC55" s="32" t="s">
        <v>34</v>
      </c>
      <c r="HD55" s="32" t="s">
        <v>34</v>
      </c>
      <c r="HE55" s="32" t="s">
        <v>34</v>
      </c>
      <c r="HF55" s="32" t="s">
        <v>34</v>
      </c>
      <c r="HG55" s="32" t="s">
        <v>34</v>
      </c>
      <c r="HH55" s="32" t="s">
        <v>34</v>
      </c>
      <c r="HI55" s="32" t="s">
        <v>34</v>
      </c>
      <c r="HJ55" s="32" t="s">
        <v>34</v>
      </c>
      <c r="HK55" s="32" t="s">
        <v>34</v>
      </c>
      <c r="HL55" s="32" t="s">
        <v>34</v>
      </c>
      <c r="HM55" s="32" t="s">
        <v>34</v>
      </c>
      <c r="HN55" s="32" t="s">
        <v>34</v>
      </c>
      <c r="HO55" s="32" t="s">
        <v>34</v>
      </c>
      <c r="HP55" s="32" t="s">
        <v>34</v>
      </c>
      <c r="HQ55" s="32" t="s">
        <v>34</v>
      </c>
      <c r="HR55" s="32" t="s">
        <v>34</v>
      </c>
      <c r="HS55" s="32" t="s">
        <v>34</v>
      </c>
      <c r="HT55" s="32" t="s">
        <v>34</v>
      </c>
      <c r="HU55" s="32" t="s">
        <v>34</v>
      </c>
      <c r="HV55" s="32" t="s">
        <v>34</v>
      </c>
      <c r="HW55" s="17" t="s">
        <v>34</v>
      </c>
      <c r="HX55" s="69"/>
      <c r="HY55" s="32" t="s">
        <v>34</v>
      </c>
      <c r="HZ55" s="32" t="s">
        <v>34</v>
      </c>
      <c r="IA55" s="32" t="s">
        <v>34</v>
      </c>
      <c r="IB55" s="32" t="s">
        <v>34</v>
      </c>
      <c r="IC55" s="32" t="s">
        <v>34</v>
      </c>
      <c r="ID55" s="32" t="s">
        <v>34</v>
      </c>
      <c r="IE55" s="32" t="s">
        <v>34</v>
      </c>
      <c r="IF55" s="32" t="s">
        <v>34</v>
      </c>
      <c r="IG55" s="32" t="s">
        <v>34</v>
      </c>
      <c r="IH55" s="32" t="s">
        <v>34</v>
      </c>
      <c r="II55" s="32" t="s">
        <v>34</v>
      </c>
      <c r="IJ55" s="32" t="s">
        <v>34</v>
      </c>
      <c r="IK55" s="32" t="s">
        <v>34</v>
      </c>
      <c r="IL55" s="32" t="s">
        <v>34</v>
      </c>
      <c r="IM55" s="32" t="s">
        <v>34</v>
      </c>
      <c r="IN55" s="32" t="s">
        <v>34</v>
      </c>
      <c r="IO55" s="32" t="s">
        <v>34</v>
      </c>
      <c r="IP55" s="32" t="s">
        <v>34</v>
      </c>
      <c r="IQ55" s="8" t="s">
        <v>34</v>
      </c>
      <c r="IR55" s="32" t="s">
        <v>34</v>
      </c>
      <c r="IS55" s="32" t="s">
        <v>34</v>
      </c>
      <c r="IT55" s="32" t="s">
        <v>34</v>
      </c>
      <c r="IU55" s="32" t="s">
        <v>34</v>
      </c>
      <c r="IV55" s="32" t="s">
        <v>34</v>
      </c>
      <c r="IW55" s="32" t="s">
        <v>34</v>
      </c>
      <c r="IX55" s="32" t="s">
        <v>34</v>
      </c>
      <c r="IY55" s="32" t="s">
        <v>34</v>
      </c>
      <c r="IZ55" s="32" t="s">
        <v>34</v>
      </c>
      <c r="JA55" s="32" t="s">
        <v>34</v>
      </c>
      <c r="JB55" s="32" t="s">
        <v>34</v>
      </c>
      <c r="JC55" s="32" t="s">
        <v>34</v>
      </c>
      <c r="JD55" s="32" t="s">
        <v>34</v>
      </c>
      <c r="JE55" s="32" t="s">
        <v>34</v>
      </c>
      <c r="JF55" s="32" t="s">
        <v>34</v>
      </c>
      <c r="JG55" s="32" t="s">
        <v>34</v>
      </c>
      <c r="JH55" s="32" t="s">
        <v>34</v>
      </c>
      <c r="JI55" s="69"/>
      <c r="JJ55" s="32" t="s">
        <v>34</v>
      </c>
      <c r="JK55" s="32" t="s">
        <v>34</v>
      </c>
      <c r="JL55" s="32" t="s">
        <v>34</v>
      </c>
      <c r="JM55" s="32" t="s">
        <v>34</v>
      </c>
      <c r="JN55" s="32" t="s">
        <v>34</v>
      </c>
      <c r="JO55" s="32" t="s">
        <v>34</v>
      </c>
      <c r="JP55" s="32" t="s">
        <v>34</v>
      </c>
      <c r="JQ55" s="32" t="s">
        <v>34</v>
      </c>
      <c r="JR55" s="32" t="s">
        <v>34</v>
      </c>
      <c r="JS55" s="32" t="s">
        <v>34</v>
      </c>
      <c r="JT55" s="32" t="s">
        <v>34</v>
      </c>
      <c r="JU55" s="69"/>
      <c r="JV55" s="32" t="s">
        <v>34</v>
      </c>
      <c r="JW55" s="32" t="s">
        <v>34</v>
      </c>
      <c r="JX55" s="32" t="s">
        <v>34</v>
      </c>
      <c r="JY55" s="32" t="s">
        <v>34</v>
      </c>
      <c r="JZ55" s="32" t="s">
        <v>34</v>
      </c>
      <c r="KA55" s="32" t="s">
        <v>34</v>
      </c>
      <c r="KB55" s="32" t="s">
        <v>34</v>
      </c>
      <c r="KC55" s="32" t="s">
        <v>34</v>
      </c>
      <c r="KD55" s="32" t="s">
        <v>34</v>
      </c>
      <c r="KE55" s="32" t="s">
        <v>34</v>
      </c>
      <c r="KF55" s="32" t="s">
        <v>34</v>
      </c>
      <c r="KG55" s="32" t="s">
        <v>34</v>
      </c>
      <c r="KH55" s="32" t="s">
        <v>34</v>
      </c>
      <c r="KI55" s="32" t="s">
        <v>34</v>
      </c>
      <c r="KJ55" s="32" t="s">
        <v>34</v>
      </c>
      <c r="KK55" s="32" t="s">
        <v>34</v>
      </c>
      <c r="KL55" s="32" t="s">
        <v>34</v>
      </c>
      <c r="KM55" s="69"/>
      <c r="KN55" s="32" t="s">
        <v>34</v>
      </c>
      <c r="KO55" s="32" t="s">
        <v>34</v>
      </c>
      <c r="KP55" s="32" t="s">
        <v>34</v>
      </c>
      <c r="KQ55" s="32" t="s">
        <v>34</v>
      </c>
      <c r="KR55" s="32" t="s">
        <v>34</v>
      </c>
      <c r="KS55" s="32" t="s">
        <v>34</v>
      </c>
      <c r="KT55" s="32" t="s">
        <v>34</v>
      </c>
      <c r="KU55" s="32" t="s">
        <v>34</v>
      </c>
      <c r="KV55" s="32" t="s">
        <v>34</v>
      </c>
      <c r="KW55" s="32" t="s">
        <v>34</v>
      </c>
      <c r="KX55" s="32" t="s">
        <v>34</v>
      </c>
      <c r="KY55" s="32" t="s">
        <v>34</v>
      </c>
      <c r="KZ55" s="32" t="s">
        <v>34</v>
      </c>
      <c r="LA55" s="32" t="s">
        <v>34</v>
      </c>
      <c r="LB55" s="32" t="s">
        <v>34</v>
      </c>
      <c r="LC55" s="32" t="s">
        <v>34</v>
      </c>
      <c r="LD55" s="32" t="s">
        <v>34</v>
      </c>
      <c r="LE55" s="32" t="s">
        <v>34</v>
      </c>
      <c r="LF55" s="32" t="s">
        <v>34</v>
      </c>
      <c r="LG55" s="32" t="s">
        <v>34</v>
      </c>
      <c r="LH55" s="69"/>
      <c r="LI55" s="32" t="s">
        <v>34</v>
      </c>
      <c r="LJ55" s="32" t="s">
        <v>34</v>
      </c>
      <c r="LK55" s="32" t="s">
        <v>34</v>
      </c>
      <c r="LL55" s="32" t="s">
        <v>34</v>
      </c>
      <c r="LM55" s="32" t="s">
        <v>34</v>
      </c>
      <c r="LN55" s="69"/>
      <c r="LO55" s="32" t="s">
        <v>34</v>
      </c>
      <c r="LP55" s="32" t="s">
        <v>34</v>
      </c>
      <c r="LQ55" s="32" t="s">
        <v>34</v>
      </c>
      <c r="LR55" s="32" t="s">
        <v>34</v>
      </c>
      <c r="LS55" s="32" t="s">
        <v>34</v>
      </c>
      <c r="LT55" s="32" t="s">
        <v>34</v>
      </c>
      <c r="LU55" s="32" t="s">
        <v>34</v>
      </c>
      <c r="LV55" s="32" t="s">
        <v>34</v>
      </c>
      <c r="LW55" s="32" t="s">
        <v>34</v>
      </c>
      <c r="LX55" s="32" t="s">
        <v>34</v>
      </c>
      <c r="LY55" s="32" t="s">
        <v>34</v>
      </c>
      <c r="LZ55" s="32" t="s">
        <v>34</v>
      </c>
      <c r="MA55" s="32" t="s">
        <v>34</v>
      </c>
      <c r="MB55" s="32" t="s">
        <v>34</v>
      </c>
      <c r="MC55" s="32" t="s">
        <v>34</v>
      </c>
      <c r="MD55" s="32" t="s">
        <v>34</v>
      </c>
      <c r="ME55" s="32" t="s">
        <v>34</v>
      </c>
      <c r="MF55" s="32" t="s">
        <v>34</v>
      </c>
      <c r="MG55" s="8" t="s">
        <v>34</v>
      </c>
      <c r="MH55" s="32" t="s">
        <v>34</v>
      </c>
      <c r="MI55" s="32" t="s">
        <v>34</v>
      </c>
      <c r="MJ55" s="32" t="s">
        <v>34</v>
      </c>
      <c r="MK55" s="32" t="s">
        <v>34</v>
      </c>
      <c r="ML55" s="32" t="s">
        <v>34</v>
      </c>
      <c r="MM55" s="32" t="s">
        <v>34</v>
      </c>
      <c r="MN55" s="32" t="s">
        <v>34</v>
      </c>
      <c r="MO55" s="32" t="s">
        <v>34</v>
      </c>
      <c r="MP55" s="32" t="s">
        <v>34</v>
      </c>
      <c r="MQ55" s="32" t="s">
        <v>34</v>
      </c>
      <c r="MR55" s="32" t="s">
        <v>34</v>
      </c>
      <c r="MS55" s="32" t="s">
        <v>34</v>
      </c>
      <c r="MT55" s="32" t="s">
        <v>34</v>
      </c>
      <c r="MU55" s="32" t="s">
        <v>34</v>
      </c>
      <c r="MV55" s="32" t="s">
        <v>34</v>
      </c>
      <c r="MW55" s="32" t="s">
        <v>34</v>
      </c>
      <c r="MX55" s="32" t="s">
        <v>34</v>
      </c>
      <c r="MY55" s="32" t="s">
        <v>34</v>
      </c>
      <c r="MZ55" s="32" t="s">
        <v>34</v>
      </c>
      <c r="NA55" s="32" t="s">
        <v>34</v>
      </c>
      <c r="NB55" s="17" t="s">
        <v>34</v>
      </c>
      <c r="NC55" s="69"/>
      <c r="ND55" s="32" t="s">
        <v>34</v>
      </c>
      <c r="NE55" s="32" t="s">
        <v>34</v>
      </c>
      <c r="NF55" s="32" t="s">
        <v>34</v>
      </c>
      <c r="NG55" s="32" t="s">
        <v>34</v>
      </c>
      <c r="NH55" s="32" t="s">
        <v>34</v>
      </c>
      <c r="NI55" s="32" t="s">
        <v>34</v>
      </c>
      <c r="NJ55" s="32" t="s">
        <v>34</v>
      </c>
      <c r="NK55" s="32" t="s">
        <v>34</v>
      </c>
      <c r="NL55" s="32" t="s">
        <v>34</v>
      </c>
      <c r="NM55" s="32" t="s">
        <v>34</v>
      </c>
      <c r="NN55" s="32" t="s">
        <v>34</v>
      </c>
      <c r="NO55" s="32" t="s">
        <v>34</v>
      </c>
      <c r="NP55" s="32" t="s">
        <v>34</v>
      </c>
      <c r="NQ55" s="32" t="s">
        <v>34</v>
      </c>
      <c r="NR55" s="32" t="s">
        <v>34</v>
      </c>
      <c r="NS55" s="32" t="s">
        <v>34</v>
      </c>
      <c r="NT55" s="32" t="s">
        <v>34</v>
      </c>
      <c r="NU55" s="32" t="s">
        <v>34</v>
      </c>
      <c r="NV55" s="8" t="s">
        <v>34</v>
      </c>
      <c r="NW55" s="32" t="s">
        <v>34</v>
      </c>
      <c r="NX55" s="32" t="s">
        <v>34</v>
      </c>
      <c r="NY55" s="32" t="s">
        <v>34</v>
      </c>
      <c r="NZ55" s="32" t="s">
        <v>34</v>
      </c>
      <c r="OA55" s="32" t="s">
        <v>34</v>
      </c>
      <c r="OB55" s="32" t="s">
        <v>34</v>
      </c>
      <c r="OC55" s="32" t="s">
        <v>34</v>
      </c>
      <c r="OD55" s="32" t="s">
        <v>34</v>
      </c>
      <c r="OE55" s="32" t="s">
        <v>34</v>
      </c>
      <c r="OF55" s="32" t="s">
        <v>34</v>
      </c>
      <c r="OG55" s="32" t="s">
        <v>34</v>
      </c>
      <c r="OH55" s="32" t="s">
        <v>34</v>
      </c>
      <c r="OI55" s="32" t="s">
        <v>34</v>
      </c>
      <c r="OJ55" s="32" t="s">
        <v>34</v>
      </c>
      <c r="OK55" s="32" t="s">
        <v>34</v>
      </c>
      <c r="OL55" s="32" t="s">
        <v>34</v>
      </c>
      <c r="OM55" s="32" t="s">
        <v>34</v>
      </c>
      <c r="ON55" s="69"/>
      <c r="OO55" s="32" t="s">
        <v>34</v>
      </c>
      <c r="OP55" s="32" t="s">
        <v>34</v>
      </c>
      <c r="OQ55" s="32" t="s">
        <v>34</v>
      </c>
      <c r="OR55" s="32" t="s">
        <v>34</v>
      </c>
      <c r="OS55" s="32" t="s">
        <v>34</v>
      </c>
      <c r="OT55" s="32" t="s">
        <v>34</v>
      </c>
      <c r="OU55" s="32" t="s">
        <v>34</v>
      </c>
      <c r="OV55" s="32" t="s">
        <v>34</v>
      </c>
      <c r="OW55" s="32" t="s">
        <v>34</v>
      </c>
      <c r="OX55" s="32" t="s">
        <v>34</v>
      </c>
      <c r="OY55" s="32" t="s">
        <v>34</v>
      </c>
    </row>
    <row r="56" spans="1:415" ht="15.75" x14ac:dyDescent="0.25">
      <c r="A56" s="10">
        <v>55</v>
      </c>
      <c r="B56" s="3" t="s">
        <v>343</v>
      </c>
      <c r="C56" s="3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9"/>
      <c r="K56" s="32">
        <v>1603.7197020000001</v>
      </c>
      <c r="L56" s="32">
        <v>20.827528597402598</v>
      </c>
      <c r="M56" s="32">
        <v>8.4000000000000005E-2</v>
      </c>
      <c r="N56" s="32">
        <v>988.10270855494502</v>
      </c>
      <c r="O56" s="32">
        <v>12.83250270850578</v>
      </c>
      <c r="P56" s="32">
        <v>569.61214996703291</v>
      </c>
      <c r="Q56" s="32">
        <v>7.3975603891822459</v>
      </c>
      <c r="R56" s="32">
        <v>778.85742926098897</v>
      </c>
      <c r="S56" s="32">
        <v>10.115031548844012</v>
      </c>
      <c r="T56" s="32">
        <v>0.18099999999999999</v>
      </c>
      <c r="U56" s="32">
        <v>4.2999999999999997E-2</v>
      </c>
      <c r="V56" s="32">
        <v>33.132841771789309</v>
      </c>
      <c r="W56" s="32">
        <v>64.990772682242891</v>
      </c>
      <c r="X56" s="32">
        <v>48.587659720915219</v>
      </c>
      <c r="Y56" s="32">
        <v>99.308751020554183</v>
      </c>
      <c r="Z56" s="32">
        <v>0.23789666614848795</v>
      </c>
      <c r="AA56" s="32">
        <v>6.7412449613690955</v>
      </c>
      <c r="AB56" s="69"/>
      <c r="AC56" s="32">
        <v>600.77499699999998</v>
      </c>
      <c r="AD56" s="32">
        <v>7.802272688311688</v>
      </c>
      <c r="AE56" s="32">
        <v>2.1000000000000001E-2</v>
      </c>
      <c r="AF56" s="32">
        <v>1366.5945080000001</v>
      </c>
      <c r="AG56" s="32">
        <v>17.747980623376627</v>
      </c>
      <c r="AH56" s="32">
        <v>6.9000000000000006E-2</v>
      </c>
      <c r="AI56" s="32">
        <v>872.10784277401137</v>
      </c>
      <c r="AJ56" s="32">
        <v>11.326075880181966</v>
      </c>
      <c r="AK56" s="32">
        <v>416.00649888700559</v>
      </c>
      <c r="AL56" s="32">
        <v>5.4026818037273454</v>
      </c>
      <c r="AM56" s="32">
        <v>644.05717083050854</v>
      </c>
      <c r="AN56" s="32">
        <v>8.3643788419546556</v>
      </c>
      <c r="AO56" s="32">
        <v>0.17599999999999999</v>
      </c>
      <c r="AP56" s="32">
        <v>4.2999999999999997E-2</v>
      </c>
      <c r="AQ56" s="32">
        <v>30.464691698527233</v>
      </c>
      <c r="AR56" s="32">
        <v>69.535308301472767</v>
      </c>
      <c r="AS56" s="32">
        <v>45.645650246243896</v>
      </c>
      <c r="AT56" s="32">
        <v>98.419850661768749</v>
      </c>
      <c r="AU56" s="32">
        <v>0.19188311343097078</v>
      </c>
      <c r="AV56" s="32">
        <v>7.1220154997726119</v>
      </c>
      <c r="AW56" s="69"/>
      <c r="AX56" s="32">
        <v>12.471154482815457</v>
      </c>
      <c r="AY56" s="32">
        <v>15.966337379505713</v>
      </c>
      <c r="AZ56" s="32">
        <v>19.6078431372549</v>
      </c>
      <c r="BA56" s="32">
        <v>2.8011204481792742</v>
      </c>
      <c r="BB56" s="32">
        <v>8.3907344441507501</v>
      </c>
      <c r="BC56" s="69"/>
      <c r="BD56" s="32">
        <v>934.97567199999992</v>
      </c>
      <c r="BE56" s="32">
        <v>12.142541194805194</v>
      </c>
      <c r="BF56" s="32">
        <v>1.7000000000000001E-2</v>
      </c>
      <c r="BG56" s="32">
        <v>1770.9102379999999</v>
      </c>
      <c r="BH56" s="32">
        <v>22.99883425974026</v>
      </c>
      <c r="BI56" s="32">
        <v>4.7E-2</v>
      </c>
      <c r="BJ56" s="32">
        <v>1054.7787020222224</v>
      </c>
      <c r="BK56" s="32">
        <v>13.698424701587305</v>
      </c>
      <c r="BL56" s="32">
        <v>80.129382688888882</v>
      </c>
      <c r="BM56" s="32">
        <v>1.0406413336219336</v>
      </c>
      <c r="BN56" s="32">
        <v>567.45404235555566</v>
      </c>
      <c r="BO56" s="32">
        <v>7.3695330176046188</v>
      </c>
      <c r="BP56" s="32">
        <v>203.44397144210524</v>
      </c>
      <c r="BQ56" s="32">
        <v>2.6421294992481199</v>
      </c>
      <c r="BR56" s="32">
        <v>1075.4347522947367</v>
      </c>
      <c r="BS56" s="32">
        <v>13.966685094736839</v>
      </c>
      <c r="BT56" s="32">
        <v>8.5000000000000006E-2</v>
      </c>
      <c r="BU56" s="32">
        <v>-212.74276560000004</v>
      </c>
      <c r="BV56" s="8">
        <v>-2.7628930597402603</v>
      </c>
      <c r="BW56" s="32">
        <v>1005.7205826249998</v>
      </c>
      <c r="BX56" s="32" t="s">
        <v>34</v>
      </c>
      <c r="BY56" s="32">
        <v>4.9000000000000002E-2</v>
      </c>
      <c r="BZ56" s="32">
        <v>39347.398699499994</v>
      </c>
      <c r="CA56" s="32">
        <v>101706.5681205</v>
      </c>
      <c r="CB56" s="32">
        <v>0.13400000000000001</v>
      </c>
      <c r="CC56" s="32">
        <v>7.3999999999999996E-2</v>
      </c>
      <c r="CD56" s="32">
        <v>63.432835820895527</v>
      </c>
      <c r="CE56" s="32">
        <v>17.661119102028643</v>
      </c>
      <c r="CF56" s="32">
        <v>6.6520455689727962</v>
      </c>
      <c r="CG56" s="32">
        <v>16.889167535710243</v>
      </c>
      <c r="CH56" s="32">
        <v>87.563834333728536</v>
      </c>
      <c r="CI56" s="32">
        <v>17.661119102028643</v>
      </c>
      <c r="CJ56" s="32">
        <v>28.497146342420383</v>
      </c>
      <c r="CK56" s="32">
        <v>16.889167535710243</v>
      </c>
      <c r="CL56" s="32">
        <v>27.087899902798807</v>
      </c>
      <c r="CM56" s="32" t="s">
        <v>34</v>
      </c>
      <c r="CN56" s="32" t="s">
        <v>34</v>
      </c>
      <c r="CO56" s="32" t="s">
        <v>34</v>
      </c>
      <c r="CP56" s="32" t="s">
        <v>34</v>
      </c>
      <c r="CQ56" s="17" t="s">
        <v>34</v>
      </c>
      <c r="CR56" s="69"/>
      <c r="CS56" s="32">
        <v>1419.5595110000002</v>
      </c>
      <c r="CT56" s="32">
        <v>18.435837805194808</v>
      </c>
      <c r="CU56" s="32">
        <v>1.7999999999999999E-2</v>
      </c>
      <c r="CV56" s="32">
        <v>2091.4955550000004</v>
      </c>
      <c r="CW56" s="32">
        <v>27.162279935064941</v>
      </c>
      <c r="CX56" s="32">
        <v>4.1000000000000002E-2</v>
      </c>
      <c r="CY56" s="32">
        <v>1292.1695117272727</v>
      </c>
      <c r="CZ56" s="32">
        <v>16.781422230224322</v>
      </c>
      <c r="DA56" s="32">
        <v>150.1207935378788</v>
      </c>
      <c r="DB56" s="32">
        <v>1.9496206952971273</v>
      </c>
      <c r="DC56" s="32">
        <v>721.14515263257579</v>
      </c>
      <c r="DD56" s="32">
        <v>9.3655214627607251</v>
      </c>
      <c r="DE56" s="32">
        <v>252.62142936000004</v>
      </c>
      <c r="DF56" s="32">
        <v>3.2807977838961042</v>
      </c>
      <c r="DG56" s="32">
        <v>1306.99758993</v>
      </c>
      <c r="DH56" s="32">
        <v>16.973994674415586</v>
      </c>
      <c r="DI56" s="32">
        <v>8.3000000000000004E-2</v>
      </c>
      <c r="DJ56" s="32">
        <v>-170.19369340624993</v>
      </c>
      <c r="DK56" s="8">
        <v>-2.2103077065746746</v>
      </c>
      <c r="DL56" s="32">
        <v>1245.8317673437502</v>
      </c>
      <c r="DM56" s="32">
        <v>1.7232585442370127</v>
      </c>
      <c r="DN56" s="32">
        <v>4.8000000000000001E-2</v>
      </c>
      <c r="DO56" s="32">
        <v>38874.35680899999</v>
      </c>
      <c r="DP56" s="32">
        <v>130004.87509049999</v>
      </c>
      <c r="DQ56" s="32">
        <v>0.13100000000000001</v>
      </c>
      <c r="DR56" s="32">
        <v>7.3999999999999996E-2</v>
      </c>
      <c r="DS56" s="32">
        <v>63.358778625954201</v>
      </c>
      <c r="DT56" s="32">
        <v>9.8452230238107266</v>
      </c>
      <c r="DU56" s="32">
        <v>11.161644095678231</v>
      </c>
      <c r="DV56" s="32">
        <v>16.567420502047195</v>
      </c>
      <c r="DW56" s="32">
        <v>84.743070747981648</v>
      </c>
      <c r="DX56" s="32">
        <v>9.8452230238107266</v>
      </c>
      <c r="DY56" s="32">
        <v>11.161644095678231</v>
      </c>
      <c r="DZ56" s="32">
        <v>16.567420502047195</v>
      </c>
      <c r="EA56" s="32">
        <v>0.16372790652217656</v>
      </c>
      <c r="EB56" s="32">
        <v>12.774215461655048</v>
      </c>
      <c r="EC56" s="69"/>
      <c r="ED56" s="32">
        <v>-20.229744168559531</v>
      </c>
      <c r="EE56" s="32">
        <v>22.222523446405848</v>
      </c>
      <c r="EF56" s="32">
        <v>-21.565967438619076</v>
      </c>
      <c r="EG56" s="32">
        <v>-16.600291848205629</v>
      </c>
      <c r="EH56" s="32">
        <v>13.636363636363633</v>
      </c>
      <c r="EI56" s="32">
        <v>-41.161741179214332</v>
      </c>
      <c r="EJ56" s="32">
        <v>2.2641509433962281</v>
      </c>
      <c r="EK56" s="32">
        <v>-151.90629323005356</v>
      </c>
      <c r="EL56" s="32">
        <v>-38.71158958077141</v>
      </c>
      <c r="EM56" s="32">
        <v>45.099596882976904</v>
      </c>
      <c r="EN56" s="32">
        <v>1.9233702689583287</v>
      </c>
      <c r="EO56" s="69"/>
      <c r="EP56" s="32">
        <v>1403.3471919999997</v>
      </c>
      <c r="EQ56" s="32">
        <v>18.225288207792204</v>
      </c>
      <c r="ER56" s="32">
        <v>0.372</v>
      </c>
      <c r="ES56" s="32">
        <v>598.65954756082488</v>
      </c>
      <c r="ET56" s="32">
        <v>7.7747993189717519</v>
      </c>
      <c r="EU56" s="32">
        <v>263.25400707835053</v>
      </c>
      <c r="EV56" s="32">
        <v>3.4188832088097469</v>
      </c>
      <c r="EW56" s="32">
        <v>430.95677731958767</v>
      </c>
      <c r="EX56" s="32">
        <v>5.5968412638907488</v>
      </c>
      <c r="EY56" s="32">
        <v>0.48399999999999999</v>
      </c>
      <c r="EZ56" s="32">
        <v>6.7000000000000004E-2</v>
      </c>
      <c r="FA56" s="32">
        <v>30.904362329447959</v>
      </c>
      <c r="FB56" s="32">
        <v>69.095637670552037</v>
      </c>
      <c r="FC56" s="32">
        <v>47.003175267340289</v>
      </c>
      <c r="FD56" s="32">
        <v>77.380853063183039</v>
      </c>
      <c r="FE56" s="32">
        <v>0.68913245182881322</v>
      </c>
      <c r="FF56" s="32">
        <v>2.0363969049430342</v>
      </c>
      <c r="FG56" s="69"/>
      <c r="FH56" s="32">
        <v>23.389720000000001</v>
      </c>
      <c r="FI56" s="32">
        <v>0.30376259740259742</v>
      </c>
      <c r="FJ56" s="32">
        <v>3.0000000000000001E-3</v>
      </c>
      <c r="FK56" s="32">
        <v>1669.4525899999999</v>
      </c>
      <c r="FL56" s="32">
        <v>21.681202467532465</v>
      </c>
      <c r="FM56" s="32">
        <v>0.11600000000000001</v>
      </c>
      <c r="FN56" s="32">
        <v>958.64976193488383</v>
      </c>
      <c r="FO56" s="32">
        <v>12.449996908245245</v>
      </c>
      <c r="FP56" s="32">
        <v>368.47733192558138</v>
      </c>
      <c r="FQ56" s="32">
        <v>4.7854198951374203</v>
      </c>
      <c r="FR56" s="32">
        <v>663.56354693023263</v>
      </c>
      <c r="FS56" s="32">
        <v>8.617708401691333</v>
      </c>
      <c r="FT56" s="32">
        <v>0.214</v>
      </c>
      <c r="FU56" s="32">
        <v>6.7000000000000004E-2</v>
      </c>
      <c r="FV56" s="32">
        <v>30.553709160202274</v>
      </c>
      <c r="FW56" s="32">
        <v>69.446290839797712</v>
      </c>
      <c r="FX56" s="32">
        <v>74.074161549362344</v>
      </c>
      <c r="FY56" s="32">
        <v>92.875316342817399</v>
      </c>
      <c r="FZ56" s="32">
        <v>0.29331869580129133</v>
      </c>
      <c r="GA56" s="32">
        <v>5.6915996624060066</v>
      </c>
      <c r="GB56" s="69"/>
      <c r="GC56" s="32">
        <v>-46.232333188919519</v>
      </c>
      <c r="GD56" s="32">
        <v>-17.320060978837976</v>
      </c>
      <c r="GE56" s="32">
        <v>104.91803278688525</v>
      </c>
      <c r="GF56" s="32">
        <v>77.363896848137543</v>
      </c>
      <c r="GG56" s="32">
        <v>1.1411134802846412</v>
      </c>
      <c r="GH56" s="69"/>
      <c r="GI56" s="32">
        <v>1942.9338869999999</v>
      </c>
      <c r="GJ56" s="32">
        <v>25.232907623376622</v>
      </c>
      <c r="GK56" s="32">
        <v>7.2999999999999995E-2</v>
      </c>
      <c r="GL56" s="32">
        <v>1942.9338869999999</v>
      </c>
      <c r="GM56" s="32">
        <v>25.232907623376622</v>
      </c>
      <c r="GN56" s="32">
        <v>7.2999999999999995E-2</v>
      </c>
      <c r="GO56" s="32">
        <v>1180.3298841973683</v>
      </c>
      <c r="GP56" s="32">
        <v>15.328959535030757</v>
      </c>
      <c r="GQ56" s="32">
        <v>146.51131315789473</v>
      </c>
      <c r="GR56" s="32">
        <v>1.9027443267259057</v>
      </c>
      <c r="GS56" s="32">
        <v>663.42059867763146</v>
      </c>
      <c r="GT56" s="32">
        <v>8.6158519308783301</v>
      </c>
      <c r="GU56" s="32">
        <v>221.96132069747901</v>
      </c>
      <c r="GV56" s="32">
        <v>2.8826145545127142</v>
      </c>
      <c r="GW56" s="32">
        <v>1248.001030184874</v>
      </c>
      <c r="GX56" s="32">
        <v>16.207805586816544</v>
      </c>
      <c r="GY56" s="32">
        <v>0.1</v>
      </c>
      <c r="GZ56" s="32">
        <v>-125.56598675757576</v>
      </c>
      <c r="HA56" s="8">
        <v>-1.6307271007477371</v>
      </c>
      <c r="HB56" s="32">
        <v>936.30363048484867</v>
      </c>
      <c r="HC56" s="32">
        <v>-2.0001449067296346</v>
      </c>
      <c r="HD56" s="32">
        <v>5.0999999999999997E-2</v>
      </c>
      <c r="HE56" s="32">
        <v>29965.108986000003</v>
      </c>
      <c r="HF56" s="32">
        <v>147968.91120099998</v>
      </c>
      <c r="HG56" s="32">
        <v>0.151</v>
      </c>
      <c r="HH56" s="32">
        <v>9.6000000000000002E-2</v>
      </c>
      <c r="HI56" s="32">
        <v>66.225165562913915</v>
      </c>
      <c r="HJ56" s="32">
        <v>9.2968176828188724</v>
      </c>
      <c r="HK56" s="32">
        <v>10.847594974338465</v>
      </c>
      <c r="HL56" s="32">
        <v>16.433860669180415</v>
      </c>
      <c r="HM56" s="32">
        <v>87.390797638147774</v>
      </c>
      <c r="HN56" s="32">
        <v>9.2968176828188724</v>
      </c>
      <c r="HO56" s="32">
        <v>31.409321178144172</v>
      </c>
      <c r="HP56" s="32">
        <v>16.433860669180415</v>
      </c>
      <c r="HQ56" s="32">
        <v>24.259927743724642</v>
      </c>
      <c r="HR56" s="32">
        <v>66.225165562913915</v>
      </c>
      <c r="HS56" s="32" t="s">
        <v>34</v>
      </c>
      <c r="HT56" s="32" t="s">
        <v>34</v>
      </c>
      <c r="HU56" s="32" t="s">
        <v>34</v>
      </c>
      <c r="HV56" s="32" t="s">
        <v>34</v>
      </c>
      <c r="HW56" s="17" t="s">
        <v>34</v>
      </c>
      <c r="HX56" s="69"/>
      <c r="HY56" s="32">
        <v>2153.369173</v>
      </c>
      <c r="HZ56" s="32">
        <v>27.965833415584417</v>
      </c>
      <c r="IA56" s="32">
        <v>4.2000000000000003E-2</v>
      </c>
      <c r="IB56" s="32">
        <v>2153.369173</v>
      </c>
      <c r="IC56" s="32">
        <v>27.965833415584417</v>
      </c>
      <c r="ID56" s="32">
        <v>4.2000000000000003E-2</v>
      </c>
      <c r="IE56" s="32">
        <v>1315.9606854029851</v>
      </c>
      <c r="IF56" s="32">
        <v>17.090398511727077</v>
      </c>
      <c r="IG56" s="32">
        <v>164.07781988059699</v>
      </c>
      <c r="IH56" s="32">
        <v>2.1308807776700909</v>
      </c>
      <c r="II56" s="32">
        <v>740.01925264179101</v>
      </c>
      <c r="IJ56" s="32">
        <v>9.6106396446985851</v>
      </c>
      <c r="IK56" s="32">
        <v>215.8989462672414</v>
      </c>
      <c r="IL56" s="32">
        <v>2.8038824190550833</v>
      </c>
      <c r="IM56" s="32">
        <v>1402.7138394913795</v>
      </c>
      <c r="IN56" s="32">
        <v>18.217062850537395</v>
      </c>
      <c r="IO56" s="32">
        <v>0.112</v>
      </c>
      <c r="IP56" s="32">
        <v>-169.88055016666667</v>
      </c>
      <c r="IQ56" s="8">
        <v>-2.2062409112554113</v>
      </c>
      <c r="IR56" s="32">
        <v>756.88480349999998</v>
      </c>
      <c r="IS56" s="32">
        <v>2.4345768131313132</v>
      </c>
      <c r="IT56" s="32">
        <v>2.1000000000000001E-2</v>
      </c>
      <c r="IU56" s="32">
        <v>12921.892165500001</v>
      </c>
      <c r="IV56" s="32">
        <v>162708.24111050001</v>
      </c>
      <c r="IW56" s="32">
        <v>0.13300000000000001</v>
      </c>
      <c r="IX56" s="32">
        <v>9.6000000000000002E-2</v>
      </c>
      <c r="IY56" s="32">
        <v>84.210526315789465</v>
      </c>
      <c r="IZ56" s="32">
        <v>10.754419599030484</v>
      </c>
      <c r="JA56" s="32">
        <v>11.134757394607053</v>
      </c>
      <c r="JB56" s="32">
        <v>14.151016029077693</v>
      </c>
      <c r="JC56" s="32">
        <v>86.254153041224356</v>
      </c>
      <c r="JD56" s="32">
        <v>10.754419599030484</v>
      </c>
      <c r="JE56" s="32">
        <v>11.134757394607053</v>
      </c>
      <c r="JF56" s="32">
        <v>14.151016029077693</v>
      </c>
      <c r="JG56" s="32">
        <v>0.17079633755145568</v>
      </c>
      <c r="JH56" s="32">
        <v>12.607818199563303</v>
      </c>
      <c r="JI56" s="69"/>
      <c r="JJ56" s="32">
        <v>-10.866587636657277</v>
      </c>
      <c r="JK56" s="32">
        <v>-29.998363744878777</v>
      </c>
      <c r="JL56" s="32">
        <v>2.7690909121590033</v>
      </c>
      <c r="JM56" s="32">
        <v>-10.274400253969496</v>
      </c>
      <c r="JN56" s="32">
        <v>53.91304347826086</v>
      </c>
      <c r="JO56" s="32">
        <v>-10.274400253969496</v>
      </c>
      <c r="JP56" s="32">
        <v>12.676056338028161</v>
      </c>
      <c r="JQ56" s="32">
        <v>-148.19614003906628</v>
      </c>
      <c r="JR56" s="32">
        <v>0.86265449911183456</v>
      </c>
      <c r="JS56" s="32">
        <v>-17.991170086723766</v>
      </c>
      <c r="JT56" s="32">
        <v>14.927930968135868</v>
      </c>
      <c r="JU56" s="69"/>
      <c r="JV56" s="32">
        <v>1392.4368080000002</v>
      </c>
      <c r="JW56" s="32">
        <v>18.083594909090912</v>
      </c>
      <c r="JX56" s="32">
        <v>0.48399999999999999</v>
      </c>
      <c r="JY56" s="32">
        <v>442.87384471048239</v>
      </c>
      <c r="JZ56" s="32">
        <v>5.7516083728634078</v>
      </c>
      <c r="KA56" s="32">
        <v>210.61197116805323</v>
      </c>
      <c r="KB56" s="32">
        <v>2.7352204047799122</v>
      </c>
      <c r="KC56" s="32">
        <v>326.74290793926781</v>
      </c>
      <c r="KD56" s="32">
        <v>4.2434143888216598</v>
      </c>
      <c r="KE56" s="32">
        <v>0.6</v>
      </c>
      <c r="KF56" s="32">
        <v>4.3999999999999997E-2</v>
      </c>
      <c r="KG56" s="32">
        <v>33.131274933214911</v>
      </c>
      <c r="KH56" s="32">
        <v>63.140209635906302</v>
      </c>
      <c r="KI56" s="32">
        <v>98.974371078214205</v>
      </c>
      <c r="KJ56" s="32">
        <v>97.97687022890976</v>
      </c>
      <c r="KK56" s="32">
        <v>0.56935838283807783</v>
      </c>
      <c r="KL56" s="32">
        <v>2.4456244958739828</v>
      </c>
      <c r="KM56" s="69"/>
      <c r="KN56" s="32">
        <v>1598.5440680000002</v>
      </c>
      <c r="KO56" s="32">
        <v>20.760312571428575</v>
      </c>
      <c r="KP56" s="32">
        <v>0.122</v>
      </c>
      <c r="KQ56" s="32">
        <v>1598.5440680000002</v>
      </c>
      <c r="KR56" s="32">
        <v>20.760312571428575</v>
      </c>
      <c r="KS56" s="32">
        <v>0.122</v>
      </c>
      <c r="KT56" s="32">
        <v>931.49171655963323</v>
      </c>
      <c r="KU56" s="32">
        <v>12.097295020254977</v>
      </c>
      <c r="KV56" s="32">
        <v>319.58032736697248</v>
      </c>
      <c r="KW56" s="32">
        <v>4.1503938619087339</v>
      </c>
      <c r="KX56" s="32">
        <v>625.5360219633028</v>
      </c>
      <c r="KY56" s="32">
        <v>8.1238444410818538</v>
      </c>
      <c r="KZ56" s="32">
        <v>0.217</v>
      </c>
      <c r="LA56" s="32">
        <v>4.3999999999999997E-2</v>
      </c>
      <c r="LB56" s="32">
        <v>26.954119767578227</v>
      </c>
      <c r="LC56" s="32">
        <v>73.04588023242178</v>
      </c>
      <c r="LD56" s="32">
        <v>62.057897306258624</v>
      </c>
      <c r="LE56" s="32">
        <v>96.286492738092178</v>
      </c>
      <c r="LF56" s="32">
        <v>0.29036777171806455</v>
      </c>
      <c r="LG56" s="32">
        <v>5.5052392989126986</v>
      </c>
      <c r="LH56" s="69"/>
      <c r="LI56" s="32">
        <v>-71.10449877652583</v>
      </c>
      <c r="LJ56" s="32">
        <v>-13.781917607954638</v>
      </c>
      <c r="LK56" s="32">
        <v>119.47194719471948</v>
      </c>
      <c r="LL56" s="32">
        <v>93.757649938800498</v>
      </c>
      <c r="LM56" s="32">
        <v>20.561253517254983</v>
      </c>
      <c r="LN56" s="69"/>
      <c r="LO56" s="32">
        <v>2112.0900370000004</v>
      </c>
      <c r="LP56" s="32">
        <v>27.429740740259746</v>
      </c>
      <c r="LQ56" s="32">
        <v>4.3999999999999997E-2</v>
      </c>
      <c r="LR56" s="32">
        <v>2154.6315969999996</v>
      </c>
      <c r="LS56" s="32">
        <v>27.982228532467527</v>
      </c>
      <c r="LT56" s="32">
        <v>6.9000000000000006E-2</v>
      </c>
      <c r="LU56" s="32">
        <v>1334.3491179455784</v>
      </c>
      <c r="LV56" s="32">
        <v>17.329209323968552</v>
      </c>
      <c r="LW56" s="32">
        <v>139.35088802721089</v>
      </c>
      <c r="LX56" s="32">
        <v>1.8097517925611804</v>
      </c>
      <c r="LY56" s="32">
        <v>736.85000298639466</v>
      </c>
      <c r="LZ56" s="32">
        <v>9.5694805582648659</v>
      </c>
      <c r="MA56" s="32">
        <v>230.15914979999999</v>
      </c>
      <c r="MB56" s="32">
        <v>2.9890798675324675</v>
      </c>
      <c r="MC56" s="32">
        <v>1373.5879659545456</v>
      </c>
      <c r="MD56" s="32">
        <v>17.838804752656436</v>
      </c>
      <c r="ME56" s="32">
        <v>9.7000000000000003E-2</v>
      </c>
      <c r="MF56" s="32">
        <v>-130.61961994594594</v>
      </c>
      <c r="MG56" s="8">
        <v>-1.6963587005967005</v>
      </c>
      <c r="MH56" s="32">
        <v>1217.6930833243246</v>
      </c>
      <c r="MI56" s="32">
        <v>0.81546673183573193</v>
      </c>
      <c r="MJ56" s="32">
        <v>4.9000000000000002E-2</v>
      </c>
      <c r="MK56" s="32">
        <v>43999.599936999999</v>
      </c>
      <c r="ML56" s="32">
        <v>150381.34387049999</v>
      </c>
      <c r="MM56" s="32">
        <v>0.14599999999999999</v>
      </c>
      <c r="MN56" s="32">
        <v>0.109</v>
      </c>
      <c r="MO56" s="32">
        <v>66.438356164383578</v>
      </c>
      <c r="MP56" s="32">
        <v>8.6872728789487574</v>
      </c>
      <c r="MQ56" s="32">
        <v>9.2679736070062511</v>
      </c>
      <c r="MR56" s="32">
        <v>15.307465606827483</v>
      </c>
      <c r="MS56" s="32">
        <v>88.745128091590331</v>
      </c>
      <c r="MT56" s="32">
        <v>8.6872728789487574</v>
      </c>
      <c r="MU56" s="32">
        <v>30.615605766195266</v>
      </c>
      <c r="MV56" s="32">
        <v>15.307465606827483</v>
      </c>
      <c r="MW56" s="32">
        <v>23.666169087361631</v>
      </c>
      <c r="MX56" s="32" t="s">
        <v>34</v>
      </c>
      <c r="MY56" s="32" t="s">
        <v>34</v>
      </c>
      <c r="MZ56" s="32" t="s">
        <v>34</v>
      </c>
      <c r="NA56" s="32" t="s">
        <v>34</v>
      </c>
      <c r="NB56" s="17" t="s">
        <v>34</v>
      </c>
      <c r="NC56" s="69"/>
      <c r="ND56" s="32">
        <v>2065.4367559999996</v>
      </c>
      <c r="NE56" s="32">
        <v>26.823853974025969</v>
      </c>
      <c r="NF56" s="32">
        <v>6.8000000000000005E-2</v>
      </c>
      <c r="NG56" s="32">
        <v>2065.4367559999996</v>
      </c>
      <c r="NH56" s="32">
        <v>26.823853974025969</v>
      </c>
      <c r="NI56" s="32">
        <v>6.8000000000000005E-2</v>
      </c>
      <c r="NJ56" s="32">
        <v>1250.485075239726</v>
      </c>
      <c r="NK56" s="32">
        <v>16.240065912204233</v>
      </c>
      <c r="NL56" s="32">
        <v>95.310746609589046</v>
      </c>
      <c r="NM56" s="32">
        <v>1.2378019040206369</v>
      </c>
      <c r="NN56" s="32">
        <v>672.89791092465748</v>
      </c>
      <c r="NO56" s="32">
        <v>8.7389339081124344</v>
      </c>
      <c r="NP56" s="32">
        <v>200.17275879411764</v>
      </c>
      <c r="NQ56" s="32">
        <v>2.5996462181054238</v>
      </c>
      <c r="NR56" s="32">
        <v>1238.2415137941175</v>
      </c>
      <c r="NS56" s="32">
        <v>16.081058620702827</v>
      </c>
      <c r="NT56" s="32">
        <v>8.8999999999999996E-2</v>
      </c>
      <c r="NU56" s="32">
        <v>-147.77846345454546</v>
      </c>
      <c r="NV56" s="8">
        <v>-1.919200824085006</v>
      </c>
      <c r="NW56" s="32">
        <v>1278.8678767727272</v>
      </c>
      <c r="NX56" s="32">
        <v>-1.1053897328807556</v>
      </c>
      <c r="NY56" s="32">
        <v>5.5E-2</v>
      </c>
      <c r="NZ56" s="32">
        <v>55237.486189499999</v>
      </c>
      <c r="OA56" s="32">
        <v>126305.86418249998</v>
      </c>
      <c r="OB56" s="32">
        <v>0.14499999999999999</v>
      </c>
      <c r="OC56" s="32">
        <v>0.109</v>
      </c>
      <c r="OD56" s="32">
        <v>61.379310344827587</v>
      </c>
      <c r="OE56" s="32">
        <v>6.6424759438656666</v>
      </c>
      <c r="OF56" s="32">
        <v>10.299099770345217</v>
      </c>
      <c r="OG56" s="32">
        <v>13.950606644113497</v>
      </c>
      <c r="OH56" s="32">
        <v>87.149847482227614</v>
      </c>
      <c r="OI56" s="32">
        <v>6.6424759438656666</v>
      </c>
      <c r="OJ56" s="32">
        <v>10.299099770345217</v>
      </c>
      <c r="OK56" s="32">
        <v>13.950606644113497</v>
      </c>
      <c r="OL56" s="32">
        <v>0.19227515847651547</v>
      </c>
      <c r="OM56" s="32">
        <v>10.742088433916296</v>
      </c>
      <c r="ON56" s="69"/>
      <c r="OO56" s="32">
        <v>6.4889301547428309</v>
      </c>
      <c r="OP56" s="32">
        <v>-12.326840256235206</v>
      </c>
      <c r="OQ56" s="32">
        <v>13.936401371605028</v>
      </c>
      <c r="OR56" s="32">
        <v>4.2271751800698869</v>
      </c>
      <c r="OS56" s="32">
        <v>1.4598540145985412</v>
      </c>
      <c r="OT56" s="32">
        <v>2.2335359322254762</v>
      </c>
      <c r="OU56" s="32">
        <v>0.68728522336769826</v>
      </c>
      <c r="OV56" s="32">
        <v>-131.71082773049974</v>
      </c>
      <c r="OW56" s="32">
        <v>33.00343783179531</v>
      </c>
      <c r="OX56" s="32">
        <v>-16.97877652745214</v>
      </c>
      <c r="OY56" s="32">
        <v>9.2751084287198537</v>
      </c>
    </row>
    <row r="57" spans="1:415" ht="15.75" x14ac:dyDescent="0.25">
      <c r="A57" s="10">
        <v>56</v>
      </c>
      <c r="B57" s="3" t="s">
        <v>345</v>
      </c>
      <c r="C57" s="3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9"/>
      <c r="K57" s="32">
        <v>1383.8166549999999</v>
      </c>
      <c r="L57" s="32">
        <v>18.450888733333333</v>
      </c>
      <c r="M57" s="32">
        <v>0.24</v>
      </c>
      <c r="N57" s="32">
        <v>695.8712256</v>
      </c>
      <c r="O57" s="32">
        <v>9.2782830080000007</v>
      </c>
      <c r="P57" s="32">
        <v>415.5085652228571</v>
      </c>
      <c r="Q57" s="32">
        <v>5.5401142029714281</v>
      </c>
      <c r="R57" s="32">
        <v>555.68989541142855</v>
      </c>
      <c r="S57" s="32">
        <v>7.409198605485714</v>
      </c>
      <c r="T57" s="32">
        <v>0.34899999999999998</v>
      </c>
      <c r="U57" s="32">
        <v>4.2999999999999997E-2</v>
      </c>
      <c r="V57" s="32">
        <v>38.233056077492265</v>
      </c>
      <c r="W57" s="32">
        <v>61.766943922507757</v>
      </c>
      <c r="X57" s="32">
        <v>92.488249710635955</v>
      </c>
      <c r="Y57" s="32">
        <v>66.598267670920293</v>
      </c>
      <c r="Z57" s="32">
        <v>0.45595374305813374</v>
      </c>
      <c r="AA57" s="32">
        <v>3.0349935186814867</v>
      </c>
      <c r="AB57" s="69"/>
      <c r="AC57" s="32">
        <v>598.46666300000004</v>
      </c>
      <c r="AD57" s="32">
        <v>7.9795555066666672</v>
      </c>
      <c r="AE57" s="32">
        <v>1.0999999999999999E-2</v>
      </c>
      <c r="AF57" s="32">
        <v>1432.8864020000001</v>
      </c>
      <c r="AG57" s="32">
        <v>19.105152026666669</v>
      </c>
      <c r="AH57" s="32">
        <v>0.13</v>
      </c>
      <c r="AI57" s="32">
        <v>907.37613336190475</v>
      </c>
      <c r="AJ57" s="32">
        <v>12.098348444825398</v>
      </c>
      <c r="AK57" s="32">
        <v>390.38266388095235</v>
      </c>
      <c r="AL57" s="32">
        <v>5.2051021850793644</v>
      </c>
      <c r="AM57" s="32">
        <v>648.87939862142855</v>
      </c>
      <c r="AN57" s="32">
        <v>8.6517253149523814</v>
      </c>
      <c r="AO57" s="32">
        <v>0.20899999999999999</v>
      </c>
      <c r="AP57" s="32">
        <v>4.2999999999999997E-2</v>
      </c>
      <c r="AQ57" s="32">
        <v>32.925007567903869</v>
      </c>
      <c r="AR57" s="32">
        <v>67.074992432096124</v>
      </c>
      <c r="AS57" s="32">
        <v>83.673508072330563</v>
      </c>
      <c r="AT57" s="32">
        <v>97.884157717973679</v>
      </c>
      <c r="AU57" s="32">
        <v>0.26437892405081304</v>
      </c>
      <c r="AV57" s="32">
        <v>5.4198208391399705</v>
      </c>
      <c r="AW57" s="69"/>
      <c r="AX57" s="32">
        <v>-26.384563377525623</v>
      </c>
      <c r="AY57" s="32">
        <v>-3.4841973759394573</v>
      </c>
      <c r="AZ57" s="32">
        <v>59.459459459459453</v>
      </c>
      <c r="BA57" s="32">
        <v>50.179211469534046</v>
      </c>
      <c r="BB57" s="32">
        <v>14.919035841222813</v>
      </c>
      <c r="BC57" s="69"/>
      <c r="BD57" s="32">
        <v>1266.7598699999999</v>
      </c>
      <c r="BE57" s="32">
        <v>16.890131599999997</v>
      </c>
      <c r="BF57" s="32">
        <v>1.2E-2</v>
      </c>
      <c r="BG57" s="32">
        <v>1796.6083219999998</v>
      </c>
      <c r="BH57" s="32">
        <v>23.954777626666665</v>
      </c>
      <c r="BI57" s="32">
        <v>6.7000000000000004E-2</v>
      </c>
      <c r="BJ57" s="32">
        <v>1203.3343417006802</v>
      </c>
      <c r="BK57" s="32">
        <v>16.044457889342404</v>
      </c>
      <c r="BL57" s="32">
        <v>190.05468646258507</v>
      </c>
      <c r="BM57" s="32">
        <v>2.5340624861678007</v>
      </c>
      <c r="BN57" s="32">
        <v>696.69451408163263</v>
      </c>
      <c r="BO57" s="32">
        <v>9.2892601877551026</v>
      </c>
      <c r="BP57" s="32">
        <v>310.20321257894739</v>
      </c>
      <c r="BQ57" s="32">
        <v>4.1360428343859654</v>
      </c>
      <c r="BR57" s="32">
        <v>1195.2544805438597</v>
      </c>
      <c r="BS57" s="32">
        <v>15.936726407251463</v>
      </c>
      <c r="BT57" s="32">
        <v>9.8000000000000004E-2</v>
      </c>
      <c r="BU57" s="32">
        <v>-225.00385830303031</v>
      </c>
      <c r="BV57" s="8">
        <v>-3.000051444040404</v>
      </c>
      <c r="BW57" s="32">
        <v>1231.2465893333333</v>
      </c>
      <c r="BX57" s="32" t="s">
        <v>34</v>
      </c>
      <c r="BY57" s="32">
        <v>4.8000000000000001E-2</v>
      </c>
      <c r="BZ57" s="32">
        <v>39814.571075499989</v>
      </c>
      <c r="CA57" s="32">
        <v>135687.70287150002</v>
      </c>
      <c r="CB57" s="32">
        <v>0.14599999999999999</v>
      </c>
      <c r="CC57" s="32">
        <v>9.7000000000000003E-2</v>
      </c>
      <c r="CD57" s="32">
        <v>67.123287671232873</v>
      </c>
      <c r="CE57" s="32">
        <v>14.128491165240851</v>
      </c>
      <c r="CF57" s="32">
        <v>11.933955172372656</v>
      </c>
      <c r="CG57" s="32">
        <v>19.478347533260777</v>
      </c>
      <c r="CH57" s="32">
        <v>75.560031475780306</v>
      </c>
      <c r="CI57" s="32">
        <v>14.128491165240851</v>
      </c>
      <c r="CJ57" s="32">
        <v>38.11806016084288</v>
      </c>
      <c r="CK57" s="32">
        <v>19.478347533260777</v>
      </c>
      <c r="CL57" s="32">
        <v>26.680681727434113</v>
      </c>
      <c r="CM57" s="32" t="s">
        <v>34</v>
      </c>
      <c r="CN57" s="32" t="s">
        <v>34</v>
      </c>
      <c r="CO57" s="32" t="s">
        <v>34</v>
      </c>
      <c r="CP57" s="32" t="s">
        <v>34</v>
      </c>
      <c r="CQ57" s="17" t="s">
        <v>34</v>
      </c>
      <c r="CR57" s="69"/>
      <c r="CS57" s="32">
        <v>1744.3285720000001</v>
      </c>
      <c r="CT57" s="32">
        <v>23.257714293333336</v>
      </c>
      <c r="CU57" s="32">
        <v>1.2E-2</v>
      </c>
      <c r="CV57" s="32">
        <v>2076.5635259999999</v>
      </c>
      <c r="CW57" s="32">
        <v>27.687513679999999</v>
      </c>
      <c r="CX57" s="32">
        <v>6.4000000000000001E-2</v>
      </c>
      <c r="CY57" s="32">
        <v>1355.2905972896551</v>
      </c>
      <c r="CZ57" s="32">
        <v>18.070541297195401</v>
      </c>
      <c r="DA57" s="32">
        <v>140.81080961379314</v>
      </c>
      <c r="DB57" s="32">
        <v>1.8774774615172418</v>
      </c>
      <c r="DC57" s="32">
        <v>748.05070345172408</v>
      </c>
      <c r="DD57" s="32">
        <v>9.9740093793563211</v>
      </c>
      <c r="DE57" s="32">
        <v>314.13777099999993</v>
      </c>
      <c r="DF57" s="32">
        <v>4.1885036133333324</v>
      </c>
      <c r="DG57" s="32">
        <v>1310.8440607619048</v>
      </c>
      <c r="DH57" s="32">
        <v>17.477920810158729</v>
      </c>
      <c r="DI57" s="32">
        <v>8.1000000000000003E-2</v>
      </c>
      <c r="DJ57" s="32">
        <v>-314.17246402500007</v>
      </c>
      <c r="DK57" s="8">
        <v>-4.188966187000001</v>
      </c>
      <c r="DL57" s="32">
        <v>1471.9627556749999</v>
      </c>
      <c r="DM57" s="32">
        <v>-3.1360259930000005</v>
      </c>
      <c r="DN57" s="32">
        <v>0.14299999999999999</v>
      </c>
      <c r="DO57" s="32">
        <v>58846.942219499986</v>
      </c>
      <c r="DP57" s="32">
        <v>137635.44342999998</v>
      </c>
      <c r="DQ57" s="32">
        <v>0.14399999999999999</v>
      </c>
      <c r="DR57" s="32">
        <v>9.7000000000000003E-2</v>
      </c>
      <c r="DS57" s="32">
        <v>56.250000000000014</v>
      </c>
      <c r="DT57" s="32">
        <v>8.434623794206674</v>
      </c>
      <c r="DU57" s="32">
        <v>18.819056206109845</v>
      </c>
      <c r="DV57" s="32">
        <v>18.81697808004153</v>
      </c>
      <c r="DW57" s="32">
        <v>81.182448643801706</v>
      </c>
      <c r="DX57" s="32">
        <v>8.434623794206674</v>
      </c>
      <c r="DY57" s="32">
        <v>18.819056206109845</v>
      </c>
      <c r="DZ57" s="32">
        <v>18.81697808004153</v>
      </c>
      <c r="EA57" s="32">
        <v>0.21645471467339314</v>
      </c>
      <c r="EB57" s="32">
        <v>9.5935241195060623</v>
      </c>
      <c r="EC57" s="69"/>
      <c r="ED57" s="32">
        <v>-11.877962515986322</v>
      </c>
      <c r="EE57" s="32">
        <v>-33.075861097520637</v>
      </c>
      <c r="EF57" s="32">
        <v>-1.26038768062229</v>
      </c>
      <c r="EG57" s="32">
        <v>-14.456120977155265</v>
      </c>
      <c r="EH57" s="32">
        <v>4.5801526717557293</v>
      </c>
      <c r="EI57" s="32">
        <v>-31.720669199792322</v>
      </c>
      <c r="EJ57" s="32">
        <v>1.3793103448275876</v>
      </c>
      <c r="EK57" s="32">
        <v>-141.84929145787601</v>
      </c>
      <c r="EL57" s="32">
        <v>34.360093395888534</v>
      </c>
      <c r="EM57" s="32">
        <v>-28.472923875041712</v>
      </c>
      <c r="EN57" s="32">
        <v>3.4540479425484425</v>
      </c>
      <c r="EO57" s="69"/>
      <c r="EP57" s="32">
        <v>1328.254862</v>
      </c>
      <c r="EQ57" s="32">
        <v>17.710064826666667</v>
      </c>
      <c r="ER57" s="32">
        <v>0.29599999999999999</v>
      </c>
      <c r="ES57" s="32">
        <v>656.80924469999991</v>
      </c>
      <c r="ET57" s="32">
        <v>8.757456595999999</v>
      </c>
      <c r="EU57" s="32">
        <v>363.18461870769227</v>
      </c>
      <c r="EV57" s="32">
        <v>4.8424615827692303</v>
      </c>
      <c r="EW57" s="32">
        <v>509.99693170384609</v>
      </c>
      <c r="EX57" s="32">
        <v>6.7999590893846147</v>
      </c>
      <c r="EY57" s="32">
        <v>0.38900000000000001</v>
      </c>
      <c r="EZ57" s="32">
        <v>7.9000000000000001E-2</v>
      </c>
      <c r="FA57" s="32">
        <v>36.361016989928359</v>
      </c>
      <c r="FB57" s="32">
        <v>63.638983010071641</v>
      </c>
      <c r="FC57" s="32">
        <v>88.736262941083012</v>
      </c>
      <c r="FD57" s="32">
        <v>69.154079815437441</v>
      </c>
      <c r="FE57" s="32">
        <v>0.54540579518913412</v>
      </c>
      <c r="FF57" s="32">
        <v>2.43535157439864</v>
      </c>
      <c r="FG57" s="69"/>
      <c r="FH57" s="32">
        <v>556.80879800000002</v>
      </c>
      <c r="FI57" s="32">
        <v>7.424117306666667</v>
      </c>
      <c r="FJ57" s="32">
        <v>0.01</v>
      </c>
      <c r="FK57" s="32">
        <v>1613.3317250000002</v>
      </c>
      <c r="FL57" s="32">
        <v>21.51108966666667</v>
      </c>
      <c r="FM57" s="32">
        <v>0.11</v>
      </c>
      <c r="FN57" s="32">
        <v>1048.9316884950495</v>
      </c>
      <c r="FO57" s="32">
        <v>13.985755846600659</v>
      </c>
      <c r="FP57" s="32">
        <v>403.58656027722765</v>
      </c>
      <c r="FQ57" s="32">
        <v>5.3811541370297018</v>
      </c>
      <c r="FR57" s="32">
        <v>726.25912438613852</v>
      </c>
      <c r="FS57" s="32">
        <v>9.6834549918151804</v>
      </c>
      <c r="FT57" s="32">
        <v>0.20100000000000001</v>
      </c>
      <c r="FU57" s="32">
        <v>7.9000000000000001E-2</v>
      </c>
      <c r="FV57" s="32">
        <v>31.567389717869215</v>
      </c>
      <c r="FW57" s="32">
        <v>68.43261028213081</v>
      </c>
      <c r="FX57" s="32">
        <v>78.854629209489573</v>
      </c>
      <c r="FY57" s="32">
        <v>94.549375716718586</v>
      </c>
      <c r="FZ57" s="32">
        <v>0.30323147308635823</v>
      </c>
      <c r="GA57" s="32">
        <v>5.3204626438645919</v>
      </c>
      <c r="GB57" s="69"/>
      <c r="GC57" s="32">
        <v>-45.976787701349117</v>
      </c>
      <c r="GD57" s="32">
        <v>-19.38252399299509</v>
      </c>
      <c r="GE57" s="32">
        <v>91.625615763546804</v>
      </c>
      <c r="GF57" s="32">
        <v>63.728813559322028</v>
      </c>
      <c r="GG57" s="32">
        <v>14.113763311657001</v>
      </c>
      <c r="GH57" s="69"/>
      <c r="GI57" s="32">
        <v>1121.7869189999997</v>
      </c>
      <c r="GJ57" s="32">
        <v>14.957158919999996</v>
      </c>
      <c r="GK57" s="32">
        <v>1.7999999999999999E-2</v>
      </c>
      <c r="GL57" s="32">
        <v>1929.9134250000002</v>
      </c>
      <c r="GM57" s="32">
        <v>25.732179000000002</v>
      </c>
      <c r="GN57" s="32">
        <v>6.7000000000000004E-2</v>
      </c>
      <c r="GO57" s="32">
        <v>1246.3964234545454</v>
      </c>
      <c r="GP57" s="32">
        <v>16.61861897939394</v>
      </c>
      <c r="GQ57" s="32">
        <v>141.28860977272728</v>
      </c>
      <c r="GR57" s="32">
        <v>1.8838481303030306</v>
      </c>
      <c r="GS57" s="32">
        <v>693.84251661363635</v>
      </c>
      <c r="GT57" s="32">
        <v>9.2512335548484845</v>
      </c>
      <c r="GU57" s="32">
        <v>290.03367331372556</v>
      </c>
      <c r="GV57" s="32">
        <v>3.8671156441830075</v>
      </c>
      <c r="GW57" s="32">
        <v>1197.2869573137255</v>
      </c>
      <c r="GX57" s="32">
        <v>15.963826097516339</v>
      </c>
      <c r="GY57" s="32">
        <v>9.9000000000000005E-2</v>
      </c>
      <c r="GZ57" s="32">
        <v>-150.48055332692309</v>
      </c>
      <c r="HA57" s="8">
        <v>-2.0064073776923079</v>
      </c>
      <c r="HB57" s="32">
        <v>1342.7265301153845</v>
      </c>
      <c r="HC57" s="32">
        <v>2.7587875997435898</v>
      </c>
      <c r="HD57" s="32">
        <v>5.3999999999999999E-2</v>
      </c>
      <c r="HE57" s="32">
        <v>68909.697689499997</v>
      </c>
      <c r="HF57" s="32">
        <v>121551.27647300002</v>
      </c>
      <c r="HG57" s="32">
        <v>0.153</v>
      </c>
      <c r="HH57" s="32">
        <v>0.111</v>
      </c>
      <c r="HI57" s="32">
        <v>64.705882352941174</v>
      </c>
      <c r="HJ57" s="32">
        <v>9.4001396232384895</v>
      </c>
      <c r="HK57" s="32">
        <v>8.8259421544755376</v>
      </c>
      <c r="HL57" s="32">
        <v>18.117670119584652</v>
      </c>
      <c r="HM57" s="32">
        <v>77.859232620734929</v>
      </c>
      <c r="HN57" s="32">
        <v>9.4001396232384895</v>
      </c>
      <c r="HO57" s="32">
        <v>33.61648873395955</v>
      </c>
      <c r="HP57" s="32">
        <v>18.117670119584652</v>
      </c>
      <c r="HQ57" s="32">
        <v>24.479503493085261</v>
      </c>
      <c r="HR57" s="32">
        <v>64.705882352941174</v>
      </c>
      <c r="HS57" s="32" t="s">
        <v>34</v>
      </c>
      <c r="HT57" s="32" t="s">
        <v>34</v>
      </c>
      <c r="HU57" s="32" t="s">
        <v>34</v>
      </c>
      <c r="HV57" s="32" t="s">
        <v>34</v>
      </c>
      <c r="HW57" s="17" t="s">
        <v>34</v>
      </c>
      <c r="HX57" s="69"/>
      <c r="HY57" s="32">
        <v>2048.2145690000002</v>
      </c>
      <c r="HZ57" s="32">
        <v>27.309527586666668</v>
      </c>
      <c r="IA57" s="32">
        <v>3.2000000000000001E-2</v>
      </c>
      <c r="IB57" s="32">
        <v>2153.6937360000002</v>
      </c>
      <c r="IC57" s="32">
        <v>28.715916480000001</v>
      </c>
      <c r="ID57" s="32">
        <v>6.6000000000000003E-2</v>
      </c>
      <c r="IE57" s="32">
        <v>1400.0801453129254</v>
      </c>
      <c r="IF57" s="32">
        <v>18.667735270839007</v>
      </c>
      <c r="IG57" s="32">
        <v>119.37469136054425</v>
      </c>
      <c r="IH57" s="32">
        <v>1.5916625514739233</v>
      </c>
      <c r="II57" s="32">
        <v>759.72741833673479</v>
      </c>
      <c r="IJ57" s="32">
        <v>10.129698911156463</v>
      </c>
      <c r="IK57" s="32">
        <v>272.16102899019609</v>
      </c>
      <c r="IL57" s="32">
        <v>3.6288137198692811</v>
      </c>
      <c r="IM57" s="32">
        <v>1324.3024376176472</v>
      </c>
      <c r="IN57" s="32">
        <v>17.657365834901963</v>
      </c>
      <c r="IO57" s="32">
        <v>9.0999999999999998E-2</v>
      </c>
      <c r="IP57" s="32">
        <v>-226.94100726666665</v>
      </c>
      <c r="IQ57" s="8">
        <v>-3.0258800968888888</v>
      </c>
      <c r="IR57" s="32">
        <v>1571.8429494222225</v>
      </c>
      <c r="IS57" s="32">
        <v>-2.5478131428148147</v>
      </c>
      <c r="IT57" s="32">
        <v>5.3999999999999999E-2</v>
      </c>
      <c r="IU57" s="32">
        <v>69731.006907000003</v>
      </c>
      <c r="IV57" s="32">
        <v>135086.080154</v>
      </c>
      <c r="IW57" s="32">
        <v>0.14599999999999999</v>
      </c>
      <c r="IX57" s="32">
        <v>0.111</v>
      </c>
      <c r="IY57" s="32">
        <v>62.328767123287676</v>
      </c>
      <c r="IZ57" s="32">
        <v>7.1981918097720907</v>
      </c>
      <c r="JA57" s="32">
        <v>13.684348677179278</v>
      </c>
      <c r="JB57" s="32">
        <v>16.411077318721222</v>
      </c>
      <c r="JC57" s="32">
        <v>84.42363553073038</v>
      </c>
      <c r="JD57" s="32">
        <v>7.1981918097720907</v>
      </c>
      <c r="JE57" s="32">
        <v>13.684348677179278</v>
      </c>
      <c r="JF57" s="32">
        <v>16.411077318721222</v>
      </c>
      <c r="JG57" s="32">
        <v>0.23023602717360234</v>
      </c>
      <c r="JH57" s="32">
        <v>9.3542863922685484</v>
      </c>
      <c r="JI57" s="69"/>
      <c r="JJ57" s="32">
        <v>-11.614213681094812</v>
      </c>
      <c r="JK57" s="32">
        <v>-40.517268711141135</v>
      </c>
      <c r="JL57" s="32">
        <v>6.3581688871438518</v>
      </c>
      <c r="JM57" s="32">
        <v>-10.959933322538316</v>
      </c>
      <c r="JN57" s="32">
        <v>1.5037593984962419</v>
      </c>
      <c r="JO57" s="32">
        <v>-58.449666569998811</v>
      </c>
      <c r="JP57" s="32">
        <v>4.6822742474916437</v>
      </c>
      <c r="JQ57" s="32">
        <v>-134.44907211979478</v>
      </c>
      <c r="JR57" s="32">
        <v>20.316234853443124</v>
      </c>
      <c r="JS57" s="32">
        <v>-37.11764365912547</v>
      </c>
      <c r="JT57" s="32">
        <v>9.8850547875371308</v>
      </c>
      <c r="JU57" s="69"/>
      <c r="JV57" s="32">
        <v>1252.0443590000002</v>
      </c>
      <c r="JW57" s="32">
        <v>16.69392478666667</v>
      </c>
      <c r="JX57" s="32">
        <v>0.26500000000000001</v>
      </c>
      <c r="JY57" s="32">
        <v>631.4894401235955</v>
      </c>
      <c r="JZ57" s="32">
        <v>8.4198592016479399</v>
      </c>
      <c r="KA57" s="32">
        <v>256.06302099438193</v>
      </c>
      <c r="KB57" s="32">
        <v>3.4141736132584257</v>
      </c>
      <c r="KC57" s="32">
        <v>443.77623055898869</v>
      </c>
      <c r="KD57" s="32">
        <v>5.9170164074531826</v>
      </c>
      <c r="KE57" s="32">
        <v>0.35499999999999998</v>
      </c>
      <c r="KF57" s="32">
        <v>0.112</v>
      </c>
      <c r="KG57" s="32">
        <v>27.928227160718357</v>
      </c>
      <c r="KH57" s="32">
        <v>72.071772839281635</v>
      </c>
      <c r="KI57" s="32">
        <v>81.297705399895705</v>
      </c>
      <c r="KJ57" s="32">
        <v>86.141929934019316</v>
      </c>
      <c r="KK57" s="32">
        <v>0.43865357998445986</v>
      </c>
      <c r="KL57" s="32">
        <v>2.8542896174342318</v>
      </c>
      <c r="KM57" s="69"/>
      <c r="KN57" s="32">
        <v>1865.5511130000002</v>
      </c>
      <c r="KO57" s="32">
        <v>24.874014840000005</v>
      </c>
      <c r="KP57" s="32">
        <v>6.6000000000000003E-2</v>
      </c>
      <c r="KQ57" s="32">
        <v>1865.5511130000002</v>
      </c>
      <c r="KR57" s="32">
        <v>24.874014840000005</v>
      </c>
      <c r="KS57" s="32">
        <v>6.6000000000000003E-2</v>
      </c>
      <c r="KT57" s="32">
        <v>1148.0130151444441</v>
      </c>
      <c r="KU57" s="32">
        <v>15.306840201925922</v>
      </c>
      <c r="KV57" s="32">
        <v>449.46946741666665</v>
      </c>
      <c r="KW57" s="32">
        <v>5.9929262322222216</v>
      </c>
      <c r="KX57" s="32">
        <v>798.74124128055541</v>
      </c>
      <c r="KY57" s="32">
        <v>10.649883217074072</v>
      </c>
      <c r="KZ57" s="32">
        <v>0.17899999999999999</v>
      </c>
      <c r="LA57" s="32">
        <v>0.112</v>
      </c>
      <c r="LB57" s="32">
        <v>32.35472517984222</v>
      </c>
      <c r="LC57" s="32">
        <v>67.64527482015778</v>
      </c>
      <c r="LD57" s="32">
        <v>97.411433097789526</v>
      </c>
      <c r="LE57" s="32">
        <v>96.431538067893271</v>
      </c>
      <c r="LF57" s="32">
        <v>0.27709128103498804</v>
      </c>
      <c r="LG57" s="32">
        <v>6.7326229321681152</v>
      </c>
      <c r="LH57" s="69"/>
      <c r="LI57" s="32">
        <v>58.052583573766029</v>
      </c>
      <c r="LJ57" s="32">
        <v>39.357688289585759</v>
      </c>
      <c r="LK57" s="32">
        <v>-120.24169184290029</v>
      </c>
      <c r="LL57" s="32">
        <v>-65.917602996254672</v>
      </c>
      <c r="LM57" s="32">
        <v>14.685737334551717</v>
      </c>
      <c r="LN57" s="69"/>
      <c r="LO57" s="32">
        <v>2183.5575780000008</v>
      </c>
      <c r="LP57" s="32">
        <v>29.114101040000012</v>
      </c>
      <c r="LQ57" s="32">
        <v>3.7999999999999999E-2</v>
      </c>
      <c r="LR57" s="32">
        <v>2301.7325349999996</v>
      </c>
      <c r="LS57" s="32">
        <v>30.68976713333333</v>
      </c>
      <c r="LT57" s="32">
        <v>6.5000000000000002E-2</v>
      </c>
      <c r="LU57" s="32">
        <v>1457.9574199013157</v>
      </c>
      <c r="LV57" s="32">
        <v>19.439432265350877</v>
      </c>
      <c r="LW57" s="32">
        <v>115.34467307236844</v>
      </c>
      <c r="LX57" s="32">
        <v>1.5379289742982458</v>
      </c>
      <c r="LY57" s="32">
        <v>786.65104648684201</v>
      </c>
      <c r="LZ57" s="32">
        <v>10.48868061982456</v>
      </c>
      <c r="MA57" s="32">
        <v>263.52484466019416</v>
      </c>
      <c r="MB57" s="32">
        <v>3.5136645954692556</v>
      </c>
      <c r="MC57" s="32">
        <v>1369.868399475728</v>
      </c>
      <c r="MD57" s="32">
        <v>18.264911993009708</v>
      </c>
      <c r="ME57" s="32">
        <v>9.5000000000000001E-2</v>
      </c>
      <c r="MF57" s="32">
        <v>-196.1360957755102</v>
      </c>
      <c r="MG57" s="8">
        <v>-2.6151479436734695</v>
      </c>
      <c r="MH57" s="32">
        <v>1643.1241363061224</v>
      </c>
      <c r="MI57" s="32">
        <v>-1.0419116699319728</v>
      </c>
      <c r="MJ57" s="32">
        <v>5.6000000000000001E-2</v>
      </c>
      <c r="MK57" s="32">
        <v>79405.858000500011</v>
      </c>
      <c r="ML57" s="32">
        <v>140348.920851</v>
      </c>
      <c r="MM57" s="32">
        <v>0.151</v>
      </c>
      <c r="MN57" s="32">
        <v>0.13600000000000001</v>
      </c>
      <c r="MO57" s="32">
        <v>62.913907284768214</v>
      </c>
      <c r="MP57" s="32">
        <v>11.654441968626141</v>
      </c>
      <c r="MQ57" s="32">
        <v>6.8538011496398932</v>
      </c>
      <c r="MR57" s="32">
        <v>15.65869350687325</v>
      </c>
      <c r="MS57" s="32">
        <v>86.632091231263232</v>
      </c>
      <c r="MT57" s="32">
        <v>11.654441968626141</v>
      </c>
      <c r="MU57" s="32">
        <v>28.873351833853057</v>
      </c>
      <c r="MV57" s="32">
        <v>15.65869350687325</v>
      </c>
      <c r="MW57" s="32">
        <v>22.32596963371185</v>
      </c>
      <c r="MX57" s="32" t="s">
        <v>34</v>
      </c>
      <c r="MY57" s="32" t="s">
        <v>34</v>
      </c>
      <c r="MZ57" s="32" t="s">
        <v>34</v>
      </c>
      <c r="NA57" s="32" t="s">
        <v>34</v>
      </c>
      <c r="NB57" s="17" t="s">
        <v>34</v>
      </c>
      <c r="NC57" s="69"/>
      <c r="ND57" s="32">
        <v>1331.050078</v>
      </c>
      <c r="NE57" s="32">
        <v>17.747334373333334</v>
      </c>
      <c r="NF57" s="32">
        <v>1.9E-2</v>
      </c>
      <c r="NG57" s="32">
        <v>2424.361727</v>
      </c>
      <c r="NH57" s="32">
        <v>32.324823026666664</v>
      </c>
      <c r="NI57" s="32">
        <v>4.4999999999999998E-2</v>
      </c>
      <c r="NJ57" s="32">
        <v>1415.7176856619717</v>
      </c>
      <c r="NK57" s="32">
        <v>18.876235808826291</v>
      </c>
      <c r="NL57" s="32">
        <v>108.21393943661971</v>
      </c>
      <c r="NM57" s="32">
        <v>1.4428525258215961</v>
      </c>
      <c r="NN57" s="32">
        <v>761.96581254929572</v>
      </c>
      <c r="NO57" s="32">
        <v>10.159544167323943</v>
      </c>
      <c r="NP57" s="32">
        <v>248.18412841489362</v>
      </c>
      <c r="NQ57" s="32">
        <v>3.3091217121985816</v>
      </c>
      <c r="NR57" s="32">
        <v>1298.4639066914895</v>
      </c>
      <c r="NS57" s="32">
        <v>17.312852089219859</v>
      </c>
      <c r="NT57" s="32">
        <v>9.1999999999999998E-2</v>
      </c>
      <c r="NU57" s="32">
        <v>-165.8943473125</v>
      </c>
      <c r="NV57" s="8">
        <v>-2.2119246308333333</v>
      </c>
      <c r="NW57" s="32">
        <v>1645.3396694791666</v>
      </c>
      <c r="NX57" s="32">
        <v>0.99961852083333325</v>
      </c>
      <c r="NY57" s="32">
        <v>4.7E-2</v>
      </c>
      <c r="NZ57" s="32">
        <v>77717.08233450001</v>
      </c>
      <c r="OA57" s="32">
        <v>122058.068832</v>
      </c>
      <c r="OB57" s="32">
        <v>0.14099999999999999</v>
      </c>
      <c r="OC57" s="32">
        <v>0.13600000000000001</v>
      </c>
      <c r="OD57" s="32">
        <v>65.248226950354621</v>
      </c>
      <c r="OE57" s="32">
        <v>6.614198104361046</v>
      </c>
      <c r="OF57" s="32">
        <v>10.139711050453053</v>
      </c>
      <c r="OG57" s="32">
        <v>15.169385757883141</v>
      </c>
      <c r="OH57" s="32">
        <v>86.530785974205926</v>
      </c>
      <c r="OI57" s="32">
        <v>6.614198104361046</v>
      </c>
      <c r="OJ57" s="32">
        <v>10.139711050453053</v>
      </c>
      <c r="OK57" s="32">
        <v>15.169385757883141</v>
      </c>
      <c r="OL57" s="32">
        <v>0.22142665172632126</v>
      </c>
      <c r="OM57" s="32">
        <v>10.948825302188377</v>
      </c>
      <c r="ON57" s="69"/>
      <c r="OO57" s="32">
        <v>-2.9397710379694648</v>
      </c>
      <c r="OP57" s="32">
        <v>-16.70674333631019</v>
      </c>
      <c r="OQ57" s="32">
        <v>-5.9958754106308998</v>
      </c>
      <c r="OR57" s="32">
        <v>5.1894518053097745</v>
      </c>
      <c r="OS57" s="32">
        <v>-36.363636363636367</v>
      </c>
      <c r="OT57" s="32">
        <v>-48.512242812914451</v>
      </c>
      <c r="OU57" s="32">
        <v>-6.8493150684931576</v>
      </c>
      <c r="OV57" s="32">
        <v>127.10685363018118</v>
      </c>
      <c r="OW57" s="32">
        <v>3.5581089775850443</v>
      </c>
      <c r="OX57" s="32">
        <v>-13.900342140821451</v>
      </c>
      <c r="OY57" s="32">
        <v>-3.1744290313247046</v>
      </c>
    </row>
    <row r="58" spans="1:415" ht="15.75" x14ac:dyDescent="0.25">
      <c r="A58" s="10">
        <v>57</v>
      </c>
      <c r="B58" s="3" t="s">
        <v>346</v>
      </c>
      <c r="C58" s="3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9"/>
      <c r="K58" s="32">
        <v>1500.494782</v>
      </c>
      <c r="L58" s="32">
        <v>17.969997389221557</v>
      </c>
      <c r="M58" s="32">
        <v>0.29899999999999999</v>
      </c>
      <c r="N58" s="32">
        <v>704.85428721518974</v>
      </c>
      <c r="O58" s="32">
        <v>8.4413687091639495</v>
      </c>
      <c r="P58" s="32">
        <v>381.74970499493668</v>
      </c>
      <c r="Q58" s="32">
        <v>4.5718527544303793</v>
      </c>
      <c r="R58" s="32">
        <v>543.30199610506315</v>
      </c>
      <c r="S58" s="32">
        <v>6.5066107317971635</v>
      </c>
      <c r="T58" s="32">
        <v>0.39400000000000002</v>
      </c>
      <c r="U58" s="32">
        <v>8.3000000000000004E-2</v>
      </c>
      <c r="V58" s="32">
        <v>31.640697035277412</v>
      </c>
      <c r="W58" s="32">
        <v>64.638939496161129</v>
      </c>
      <c r="X58" s="32">
        <v>49.090365819619628</v>
      </c>
      <c r="Y58" s="32">
        <v>97.256243749417237</v>
      </c>
      <c r="Z58" s="32">
        <v>0.52948891017710664</v>
      </c>
      <c r="AA58" s="32">
        <v>2.8338549744093893</v>
      </c>
      <c r="AB58" s="69"/>
      <c r="AC58" s="32">
        <v>752.29422599999998</v>
      </c>
      <c r="AD58" s="32">
        <v>9.0095116886227551</v>
      </c>
      <c r="AE58" s="32">
        <v>2.1999999999999999E-2</v>
      </c>
      <c r="AF58" s="32">
        <v>1920.1031780000003</v>
      </c>
      <c r="AG58" s="32">
        <v>22.995247640718567</v>
      </c>
      <c r="AH58" s="32">
        <v>8.8999999999999996E-2</v>
      </c>
      <c r="AI58" s="32">
        <v>1181.2697488165682</v>
      </c>
      <c r="AJ58" s="32">
        <v>14.146943099599619</v>
      </c>
      <c r="AK58" s="32">
        <v>537.36281723668651</v>
      </c>
      <c r="AL58" s="32">
        <v>6.4354828411579224</v>
      </c>
      <c r="AM58" s="32">
        <v>859.31628302662739</v>
      </c>
      <c r="AN58" s="32">
        <v>10.291212970378771</v>
      </c>
      <c r="AO58" s="32">
        <v>0.16800000000000001</v>
      </c>
      <c r="AP58" s="32">
        <v>8.3000000000000004E-2</v>
      </c>
      <c r="AQ58" s="32">
        <v>31.209748502016122</v>
      </c>
      <c r="AR58" s="32">
        <v>68.790251497983874</v>
      </c>
      <c r="AS58" s="32">
        <v>65.580944430267763</v>
      </c>
      <c r="AT58" s="32">
        <v>99.830331504116856</v>
      </c>
      <c r="AU58" s="32">
        <v>0.20831275896104806</v>
      </c>
      <c r="AV58" s="32">
        <v>9.2174055375985677</v>
      </c>
      <c r="AW58" s="69"/>
      <c r="AX58" s="32">
        <v>50.517935459188081</v>
      </c>
      <c r="AY58" s="32">
        <v>24.534213076593211</v>
      </c>
      <c r="AZ58" s="32">
        <v>-108.24742268041237</v>
      </c>
      <c r="BA58" s="32">
        <v>-80.42704626334519</v>
      </c>
      <c r="BB58" s="32">
        <v>-1.3713459931022396</v>
      </c>
      <c r="BC58" s="69"/>
      <c r="BD58" s="32">
        <v>1415.8626219999999</v>
      </c>
      <c r="BE58" s="32">
        <v>16.956438586826344</v>
      </c>
      <c r="BF58" s="32">
        <v>2.1999999999999999E-2</v>
      </c>
      <c r="BG58" s="32">
        <v>2412.2429999999999</v>
      </c>
      <c r="BH58" s="32">
        <v>28.889137724550899</v>
      </c>
      <c r="BI58" s="32">
        <v>4.3999999999999997E-2</v>
      </c>
      <c r="BJ58" s="32">
        <v>1441.4962413169014</v>
      </c>
      <c r="BK58" s="32">
        <v>17.263428039723369</v>
      </c>
      <c r="BL58" s="32">
        <v>204.46467371830983</v>
      </c>
      <c r="BM58" s="32">
        <v>2.4486787271653871</v>
      </c>
      <c r="BN58" s="32">
        <v>822.9804575176056</v>
      </c>
      <c r="BO58" s="32">
        <v>9.8560533834443778</v>
      </c>
      <c r="BP58" s="32">
        <v>335.21665670909084</v>
      </c>
      <c r="BQ58" s="32">
        <v>4.0145707390310283</v>
      </c>
      <c r="BR58" s="32">
        <v>1476.473235927273</v>
      </c>
      <c r="BS58" s="32">
        <v>17.682314202721834</v>
      </c>
      <c r="BT58" s="32">
        <v>9.1999999999999998E-2</v>
      </c>
      <c r="BU58" s="32">
        <v>-244.9952678125</v>
      </c>
      <c r="BV58" s="8">
        <v>-2.9340750636227546</v>
      </c>
      <c r="BW58" s="32">
        <v>1321.26282234375</v>
      </c>
      <c r="BX58" s="32" t="s">
        <v>34</v>
      </c>
      <c r="BY58" s="32">
        <v>4.9000000000000002E-2</v>
      </c>
      <c r="BZ58" s="32">
        <v>41068.391776999997</v>
      </c>
      <c r="CA58" s="32">
        <v>161685.58601999999</v>
      </c>
      <c r="CB58" s="32">
        <v>0.14099999999999999</v>
      </c>
      <c r="CC58" s="32">
        <v>0.115</v>
      </c>
      <c r="CD58" s="32">
        <v>65.248226950354621</v>
      </c>
      <c r="CE58" s="32">
        <v>14.381756471685661</v>
      </c>
      <c r="CF58" s="32">
        <v>12.002522214959159</v>
      </c>
      <c r="CG58" s="32">
        <v>19.677948741983105</v>
      </c>
      <c r="CH58" s="32">
        <v>84.618972776796483</v>
      </c>
      <c r="CI58" s="32">
        <v>14.381756471685661</v>
      </c>
      <c r="CJ58" s="32">
        <v>36.954240149252641</v>
      </c>
      <c r="CK58" s="32">
        <v>19.677948741983105</v>
      </c>
      <c r="CL58" s="32">
        <v>25.416628715338557</v>
      </c>
      <c r="CM58" s="32" t="s">
        <v>34</v>
      </c>
      <c r="CN58" s="32" t="s">
        <v>34</v>
      </c>
      <c r="CO58" s="32" t="s">
        <v>34</v>
      </c>
      <c r="CP58" s="32" t="s">
        <v>34</v>
      </c>
      <c r="CQ58" s="17" t="s">
        <v>34</v>
      </c>
      <c r="CR58" s="69"/>
      <c r="CS58" s="32">
        <v>992.86386900000002</v>
      </c>
      <c r="CT58" s="32">
        <v>11.89058525748503</v>
      </c>
      <c r="CU58" s="32">
        <v>1.4999999999999999E-2</v>
      </c>
      <c r="CV58" s="32">
        <v>2400.6834870000002</v>
      </c>
      <c r="CW58" s="32">
        <v>28.750700443113775</v>
      </c>
      <c r="CX58" s="32">
        <v>6.4000000000000001E-2</v>
      </c>
      <c r="CY58" s="32">
        <v>1447.3548664210525</v>
      </c>
      <c r="CZ58" s="32">
        <v>17.333591214623382</v>
      </c>
      <c r="DA58" s="32">
        <v>235.77827490977441</v>
      </c>
      <c r="DB58" s="32">
        <v>2.8236919150871187</v>
      </c>
      <c r="DC58" s="32">
        <v>841.56657066541345</v>
      </c>
      <c r="DD58" s="32">
        <v>10.078641564855252</v>
      </c>
      <c r="DE58" s="32">
        <v>322.98275943243243</v>
      </c>
      <c r="DF58" s="32">
        <v>3.8680569991908076</v>
      </c>
      <c r="DG58" s="32">
        <v>1583.5236062882882</v>
      </c>
      <c r="DH58" s="32">
        <v>18.964354566326804</v>
      </c>
      <c r="DI58" s="32">
        <v>0.109</v>
      </c>
      <c r="DJ58" s="32">
        <v>-204.20798790909086</v>
      </c>
      <c r="DK58" s="8">
        <v>-2.4456046456178546</v>
      </c>
      <c r="DL58" s="32">
        <v>760.32167890909102</v>
      </c>
      <c r="DM58" s="32">
        <v>1.7075871094175288</v>
      </c>
      <c r="DN58" s="32">
        <v>2.1000000000000001E-2</v>
      </c>
      <c r="DO58" s="32">
        <v>16066.9079255</v>
      </c>
      <c r="DP58" s="32">
        <v>175782.22004650001</v>
      </c>
      <c r="DQ58" s="32">
        <v>0.13200000000000001</v>
      </c>
      <c r="DR58" s="32">
        <v>0.115</v>
      </c>
      <c r="DS58" s="32">
        <v>82.575757575757564</v>
      </c>
      <c r="DT58" s="32">
        <v>13.467728982231892</v>
      </c>
      <c r="DU58" s="32">
        <v>11.664424291080049</v>
      </c>
      <c r="DV58" s="32">
        <v>18.448876477843271</v>
      </c>
      <c r="DW58" s="32">
        <v>82.67336373350102</v>
      </c>
      <c r="DX58" s="32">
        <v>13.467728982231892</v>
      </c>
      <c r="DY58" s="32">
        <v>11.664424291080049</v>
      </c>
      <c r="DZ58" s="32">
        <v>18.448876477843271</v>
      </c>
      <c r="EA58" s="32">
        <v>0.16212722453340361</v>
      </c>
      <c r="EB58" s="32">
        <v>14.807405072831425</v>
      </c>
      <c r="EC58" s="69"/>
      <c r="ED58" s="32">
        <v>0.40560242710040839</v>
      </c>
      <c r="EE58" s="32">
        <v>-18.159832718883258</v>
      </c>
      <c r="EF58" s="32">
        <v>-3.7173832053439346</v>
      </c>
      <c r="EG58" s="32">
        <v>-0.48035277626710593</v>
      </c>
      <c r="EH58" s="32">
        <v>37.037037037037045</v>
      </c>
      <c r="EI58" s="32">
        <v>-35.122190467078632</v>
      </c>
      <c r="EJ58" s="32">
        <v>-6.593406593406578</v>
      </c>
      <c r="EK58" s="32">
        <v>144.5202064017827</v>
      </c>
      <c r="EL58" s="32">
        <v>-11.50524002240167</v>
      </c>
      <c r="EM58" s="32">
        <v>-20.865494295349212</v>
      </c>
      <c r="EN58" s="32">
        <v>-6.4472835440843506</v>
      </c>
      <c r="EO58" s="69"/>
      <c r="EP58" s="32">
        <v>1407.152261</v>
      </c>
      <c r="EQ58" s="32">
        <v>16.852122886227544</v>
      </c>
      <c r="ER58" s="32">
        <v>0.44600000000000001</v>
      </c>
      <c r="ES58" s="32">
        <v>555.72672175185187</v>
      </c>
      <c r="ET58" s="32">
        <v>6.6554098413395435</v>
      </c>
      <c r="EU58" s="32">
        <v>278.91365675370355</v>
      </c>
      <c r="EV58" s="32">
        <v>3.3402833144156112</v>
      </c>
      <c r="EW58" s="32">
        <v>417.32018925277771</v>
      </c>
      <c r="EX58" s="32">
        <v>4.9978465778775769</v>
      </c>
      <c r="EY58" s="32">
        <v>0.53900000000000003</v>
      </c>
      <c r="EZ58" s="32">
        <v>0.06</v>
      </c>
      <c r="FA58" s="32">
        <v>31.531556456182948</v>
      </c>
      <c r="FB58" s="32">
        <v>68.468443543817045</v>
      </c>
      <c r="FC58" s="32">
        <v>87.93104107629766</v>
      </c>
      <c r="FD58" s="32">
        <v>81.352278815775492</v>
      </c>
      <c r="FE58" s="32">
        <v>0.68713421013603793</v>
      </c>
      <c r="FF58" s="32">
        <v>2.0478565034935663</v>
      </c>
      <c r="FG58" s="69"/>
      <c r="FH58" s="32" t="s">
        <v>34</v>
      </c>
      <c r="FI58" s="32" t="s">
        <v>34</v>
      </c>
      <c r="FJ58" s="32" t="s">
        <v>34</v>
      </c>
      <c r="FK58" s="32" t="s">
        <v>34</v>
      </c>
      <c r="FL58" s="32" t="s">
        <v>34</v>
      </c>
      <c r="FM58" s="32" t="s">
        <v>34</v>
      </c>
      <c r="FN58" s="32" t="s">
        <v>34</v>
      </c>
      <c r="FO58" s="32" t="s">
        <v>34</v>
      </c>
      <c r="FP58" s="32" t="s">
        <v>34</v>
      </c>
      <c r="FQ58" s="32" t="s">
        <v>34</v>
      </c>
      <c r="FR58" s="32" t="s">
        <v>34</v>
      </c>
      <c r="FS58" s="32" t="s">
        <v>34</v>
      </c>
      <c r="FT58" s="32" t="s">
        <v>34</v>
      </c>
      <c r="FU58" s="32" t="s">
        <v>34</v>
      </c>
      <c r="FV58" s="32" t="s">
        <v>34</v>
      </c>
      <c r="FW58" s="32" t="s">
        <v>34</v>
      </c>
      <c r="FX58" s="32" t="s">
        <v>34</v>
      </c>
      <c r="FY58" s="32" t="s">
        <v>34</v>
      </c>
      <c r="FZ58" s="32" t="s">
        <v>34</v>
      </c>
      <c r="GA58" s="32" t="s">
        <v>34</v>
      </c>
      <c r="GB58" s="69"/>
      <c r="GC58" s="32" t="s">
        <v>34</v>
      </c>
      <c r="GD58" s="32" t="s">
        <v>34</v>
      </c>
      <c r="GE58" s="32" t="s">
        <v>34</v>
      </c>
      <c r="GF58" s="32" t="s">
        <v>34</v>
      </c>
      <c r="GG58" s="32" t="s">
        <v>34</v>
      </c>
      <c r="GH58" s="69"/>
      <c r="GI58" s="32">
        <v>2383.7317130000001</v>
      </c>
      <c r="GJ58" s="32">
        <v>28.547685185628744</v>
      </c>
      <c r="GK58" s="32">
        <v>0.05</v>
      </c>
      <c r="GL58" s="32">
        <v>2383.7317130000001</v>
      </c>
      <c r="GM58" s="32">
        <v>28.547685185628744</v>
      </c>
      <c r="GN58" s="32">
        <v>0.05</v>
      </c>
      <c r="GO58" s="32">
        <v>1430.4779644195808</v>
      </c>
      <c r="GP58" s="32">
        <v>17.131472627779409</v>
      </c>
      <c r="GQ58" s="32">
        <v>193.00646707692306</v>
      </c>
      <c r="GR58" s="32">
        <v>2.3114546955320128</v>
      </c>
      <c r="GS58" s="32">
        <v>811.74221574825197</v>
      </c>
      <c r="GT58" s="32">
        <v>9.7214636616557115</v>
      </c>
      <c r="GU58" s="32">
        <v>291.2108038034188</v>
      </c>
      <c r="GV58" s="32">
        <v>3.4875545365678899</v>
      </c>
      <c r="GW58" s="32">
        <v>1537.3264039743592</v>
      </c>
      <c r="GX58" s="32">
        <v>18.411094658375561</v>
      </c>
      <c r="GY58" s="32">
        <v>9.5000000000000001E-2</v>
      </c>
      <c r="GZ58" s="32">
        <v>-248.91304819230768</v>
      </c>
      <c r="HA58" s="8">
        <v>-2.9809945891294332</v>
      </c>
      <c r="HB58" s="32">
        <v>949.65998642307693</v>
      </c>
      <c r="HC58" s="32">
        <v>-2.7043669783509903</v>
      </c>
      <c r="HD58" s="32">
        <v>4.7E-2</v>
      </c>
      <c r="HE58" s="32">
        <v>23497.003477999999</v>
      </c>
      <c r="HF58" s="32">
        <v>179142.9645155</v>
      </c>
      <c r="HG58" s="32">
        <v>0.14199999999999999</v>
      </c>
      <c r="HH58" s="32">
        <v>0.11899999999999999</v>
      </c>
      <c r="HI58" s="32">
        <v>66.901408450704238</v>
      </c>
      <c r="HJ58" s="32">
        <v>15.213383481360054</v>
      </c>
      <c r="HK58" s="32">
        <v>11.796414126732254</v>
      </c>
      <c r="HL58" s="32">
        <v>17.798591372974986</v>
      </c>
      <c r="HM58" s="32">
        <v>87.42976711103141</v>
      </c>
      <c r="HN58" s="32">
        <v>15.213383481360054</v>
      </c>
      <c r="HO58" s="32">
        <v>36.128145476669886</v>
      </c>
      <c r="HP58" s="32">
        <v>17.798591372974986</v>
      </c>
      <c r="HQ58" s="32">
        <v>25.374441130131437</v>
      </c>
      <c r="HR58" s="32">
        <v>66.901408450704238</v>
      </c>
      <c r="HS58" s="32" t="s">
        <v>34</v>
      </c>
      <c r="HT58" s="32" t="s">
        <v>34</v>
      </c>
      <c r="HU58" s="32" t="s">
        <v>34</v>
      </c>
      <c r="HV58" s="32" t="s">
        <v>34</v>
      </c>
      <c r="HW58" s="17" t="s">
        <v>34</v>
      </c>
      <c r="HX58" s="69"/>
      <c r="HY58" s="32">
        <v>2304.942509</v>
      </c>
      <c r="HZ58" s="32">
        <v>27.604101904191616</v>
      </c>
      <c r="IA58" s="32">
        <v>5.5E-2</v>
      </c>
      <c r="IB58" s="32">
        <v>2304.942509</v>
      </c>
      <c r="IC58" s="32">
        <v>27.604101904191616</v>
      </c>
      <c r="ID58" s="32">
        <v>5.5E-2</v>
      </c>
      <c r="IE58" s="32">
        <v>1267.2400574733333</v>
      </c>
      <c r="IF58" s="32">
        <v>15.176527634411178</v>
      </c>
      <c r="IG58" s="32">
        <v>203.03985068000003</v>
      </c>
      <c r="IH58" s="32">
        <v>2.431614978203593</v>
      </c>
      <c r="II58" s="32">
        <v>735.13995407666664</v>
      </c>
      <c r="IJ58" s="32">
        <v>8.8040713063073852</v>
      </c>
      <c r="IK58" s="32">
        <v>307.9633954561404</v>
      </c>
      <c r="IL58" s="32">
        <v>3.6881843767202445</v>
      </c>
      <c r="IM58" s="32">
        <v>1375.658174587719</v>
      </c>
      <c r="IN58" s="32">
        <v>16.474948198655319</v>
      </c>
      <c r="IO58" s="32">
        <v>2E-3</v>
      </c>
      <c r="IP58" s="32">
        <v>-129.21804111111121</v>
      </c>
      <c r="IQ58" s="8">
        <v>-1.5475214504324695</v>
      </c>
      <c r="IR58" s="32">
        <v>923.9160199444442</v>
      </c>
      <c r="IS58" s="32">
        <v>1.3296831097804391</v>
      </c>
      <c r="IT58" s="32">
        <v>0.14699999999999999</v>
      </c>
      <c r="IU58" s="32">
        <v>33264.754779999996</v>
      </c>
      <c r="IV58" s="32">
        <v>156103.01626800004</v>
      </c>
      <c r="IW58" s="32">
        <v>0.14899999999999999</v>
      </c>
      <c r="IX58" s="32">
        <v>0.11899999999999999</v>
      </c>
      <c r="IY58" s="32">
        <v>1.3422818791946309</v>
      </c>
      <c r="IZ58" s="32">
        <v>13.250619683267656</v>
      </c>
      <c r="JA58" s="32">
        <v>8.432921484357836</v>
      </c>
      <c r="JB58" s="32">
        <v>20.098053736202022</v>
      </c>
      <c r="JC58" s="32">
        <v>82.701578004240602</v>
      </c>
      <c r="JD58" s="32">
        <v>13.250619683267656</v>
      </c>
      <c r="JE58" s="32">
        <v>8.432921484357836</v>
      </c>
      <c r="JF58" s="32">
        <v>20.098053736202022</v>
      </c>
      <c r="JG58" s="32">
        <v>0.19456251654886944</v>
      </c>
      <c r="JH58" s="32">
        <v>11.84679634024498</v>
      </c>
      <c r="JI58" s="69"/>
      <c r="JJ58" s="32">
        <v>-12.1019250804951</v>
      </c>
      <c r="JK58" s="32">
        <v>-63.308736291265987</v>
      </c>
      <c r="JL58" s="32">
        <v>5.5918935339418612</v>
      </c>
      <c r="JM58" s="32">
        <v>-3.3608308135510363</v>
      </c>
      <c r="JN58" s="32">
        <v>9.5238095238095184</v>
      </c>
      <c r="JO58" s="32">
        <v>-3.3608308135510363</v>
      </c>
      <c r="JP58" s="32">
        <v>4.8109965635738874</v>
      </c>
      <c r="JQ58" s="32">
        <v>133.97869167807434</v>
      </c>
      <c r="JR58" s="32">
        <v>-11.611798567180582</v>
      </c>
      <c r="JS58" s="32">
        <v>-57.349019280876611</v>
      </c>
      <c r="JT58" s="32">
        <v>12.135440256531844</v>
      </c>
      <c r="JU58" s="69"/>
      <c r="JV58" s="32">
        <v>1374.8178830000002</v>
      </c>
      <c r="JW58" s="32">
        <v>16.464884826347308</v>
      </c>
      <c r="JX58" s="32">
        <v>0.373</v>
      </c>
      <c r="JY58" s="32">
        <v>617.56169685350312</v>
      </c>
      <c r="JZ58" s="32">
        <v>7.3959484653114149</v>
      </c>
      <c r="KA58" s="32">
        <v>305.31008664118895</v>
      </c>
      <c r="KB58" s="32">
        <v>3.6564082232477717</v>
      </c>
      <c r="KC58" s="32">
        <v>461.43589174734603</v>
      </c>
      <c r="KD58" s="32">
        <v>5.5261783442795931</v>
      </c>
      <c r="KE58" s="32">
        <v>0.47</v>
      </c>
      <c r="KF58" s="32">
        <v>9.0999999999999998E-2</v>
      </c>
      <c r="KG58" s="32">
        <v>33.730225465673392</v>
      </c>
      <c r="KH58" s="32">
        <v>66.235588389937334</v>
      </c>
      <c r="KI58" s="32">
        <v>60.064082661260684</v>
      </c>
      <c r="KJ58" s="32">
        <v>91.949162996319274</v>
      </c>
      <c r="KK58" s="32">
        <v>0.60949791193268776</v>
      </c>
      <c r="KL58" s="32">
        <v>2.2556564281582534</v>
      </c>
      <c r="KM58" s="69"/>
      <c r="KN58" s="32">
        <v>1884.3062280000001</v>
      </c>
      <c r="KO58" s="32">
        <v>22.566541652694614</v>
      </c>
      <c r="KP58" s="32">
        <v>9.5000000000000001E-2</v>
      </c>
      <c r="KQ58" s="32">
        <v>1884.3062280000001</v>
      </c>
      <c r="KR58" s="32">
        <v>22.566541652694614</v>
      </c>
      <c r="KS58" s="32">
        <v>9.5000000000000001E-2</v>
      </c>
      <c r="KT58" s="32">
        <v>1203.6806263934427</v>
      </c>
      <c r="KU58" s="32">
        <v>14.415336843035242</v>
      </c>
      <c r="KV58" s="32">
        <v>484.63248707103833</v>
      </c>
      <c r="KW58" s="32">
        <v>5.8039818810902792</v>
      </c>
      <c r="KX58" s="32">
        <v>844.15655673224046</v>
      </c>
      <c r="KY58" s="32">
        <v>10.109659362062761</v>
      </c>
      <c r="KZ58" s="32">
        <v>0.182</v>
      </c>
      <c r="LA58" s="32">
        <v>9.0999999999999998E-2</v>
      </c>
      <c r="LB58" s="32">
        <v>30.199633446825015</v>
      </c>
      <c r="LC58" s="32">
        <v>69.800366553174996</v>
      </c>
      <c r="LD58" s="32">
        <v>89.89471649240825</v>
      </c>
      <c r="LE58" s="32">
        <v>99.053496829711904</v>
      </c>
      <c r="LF58" s="32">
        <v>0.25023691690634214</v>
      </c>
      <c r="LG58" s="32">
        <v>7.5300888905422863</v>
      </c>
      <c r="LH58" s="69"/>
      <c r="LI58" s="32">
        <v>64.364738514861159</v>
      </c>
      <c r="LJ58" s="32">
        <v>31.265353981482662</v>
      </c>
      <c r="LK58" s="32">
        <v>-118.80341880341882</v>
      </c>
      <c r="LL58" s="32">
        <v>-88.343558282208591</v>
      </c>
      <c r="LM58" s="32">
        <v>-11.045205101049083</v>
      </c>
      <c r="LN58" s="69"/>
      <c r="LO58" s="32">
        <v>2304.239208</v>
      </c>
      <c r="LP58" s="32">
        <v>27.595679137724549</v>
      </c>
      <c r="LQ58" s="32">
        <v>5.0999999999999997E-2</v>
      </c>
      <c r="LR58" s="32">
        <v>2304.239208</v>
      </c>
      <c r="LS58" s="32">
        <v>27.595679137724549</v>
      </c>
      <c r="LT58" s="32">
        <v>5.0999999999999997E-2</v>
      </c>
      <c r="LU58" s="32">
        <v>1426.1634436322583</v>
      </c>
      <c r="LV58" s="32">
        <v>17.079801720146808</v>
      </c>
      <c r="LW58" s="32">
        <v>156.35912472903226</v>
      </c>
      <c r="LX58" s="32">
        <v>1.8725643680123625</v>
      </c>
      <c r="LY58" s="32">
        <v>791.26128418064536</v>
      </c>
      <c r="LZ58" s="32">
        <v>9.4761830440795851</v>
      </c>
      <c r="MA58" s="32">
        <v>288.97079806603773</v>
      </c>
      <c r="MB58" s="32">
        <v>3.4607281205513503</v>
      </c>
      <c r="MC58" s="32">
        <v>1423.2183009528303</v>
      </c>
      <c r="MD58" s="32">
        <v>17.044530550333295</v>
      </c>
      <c r="ME58" s="32">
        <v>9.7000000000000003E-2</v>
      </c>
      <c r="MF58" s="32">
        <v>-130.51510738775508</v>
      </c>
      <c r="MG58" s="8">
        <v>-1.5630551782964681</v>
      </c>
      <c r="MH58" s="32">
        <v>1432.5345686122448</v>
      </c>
      <c r="MI58" s="32">
        <v>-0.36461017475253571</v>
      </c>
      <c r="MJ58" s="32">
        <v>5.7000000000000002E-2</v>
      </c>
      <c r="MK58" s="32">
        <v>69029.739239499992</v>
      </c>
      <c r="ML58" s="32">
        <v>150106.4562205</v>
      </c>
      <c r="MM58" s="32">
        <v>0.154</v>
      </c>
      <c r="MN58" s="32">
        <v>0.123</v>
      </c>
      <c r="MO58" s="32">
        <v>62.987012987012989</v>
      </c>
      <c r="MP58" s="32">
        <v>7.7486999239563117</v>
      </c>
      <c r="MQ58" s="32">
        <v>9.2830627974597082</v>
      </c>
      <c r="MR58" s="32">
        <v>17.156236130944471</v>
      </c>
      <c r="MS58" s="32">
        <v>84.67152031979515</v>
      </c>
      <c r="MT58" s="32">
        <v>7.7486999239563117</v>
      </c>
      <c r="MU58" s="32">
        <v>32.673447328321345</v>
      </c>
      <c r="MV58" s="32">
        <v>17.156236130944471</v>
      </c>
      <c r="MW58" s="32">
        <v>23.515567315853112</v>
      </c>
      <c r="MX58" s="32" t="s">
        <v>34</v>
      </c>
      <c r="MY58" s="32" t="s">
        <v>34</v>
      </c>
      <c r="MZ58" s="32" t="s">
        <v>34</v>
      </c>
      <c r="NA58" s="32" t="s">
        <v>34</v>
      </c>
      <c r="NB58" s="17" t="s">
        <v>34</v>
      </c>
      <c r="NC58" s="69"/>
      <c r="ND58" s="32">
        <v>2534.2591990000001</v>
      </c>
      <c r="NE58" s="32">
        <v>30.350409568862275</v>
      </c>
      <c r="NF58" s="32">
        <v>5.2999999999999999E-2</v>
      </c>
      <c r="NG58" s="32">
        <v>2534.2591990000001</v>
      </c>
      <c r="NH58" s="32">
        <v>30.350409568862275</v>
      </c>
      <c r="NI58" s="32">
        <v>5.2999999999999999E-2</v>
      </c>
      <c r="NJ58" s="32">
        <v>1527.0814248169013</v>
      </c>
      <c r="NK58" s="32">
        <v>18.288400297208398</v>
      </c>
      <c r="NL58" s="32">
        <v>162.97685459154928</v>
      </c>
      <c r="NM58" s="32">
        <v>1.9518186178628656</v>
      </c>
      <c r="NN58" s="32">
        <v>845.02913970422526</v>
      </c>
      <c r="NO58" s="32">
        <v>10.120109457535632</v>
      </c>
      <c r="NP58" s="32">
        <v>320.97788665346536</v>
      </c>
      <c r="NQ58" s="32">
        <v>3.8440465467480882</v>
      </c>
      <c r="NR58" s="32">
        <v>1580.0523679999999</v>
      </c>
      <c r="NS58" s="32">
        <v>18.922782850299399</v>
      </c>
      <c r="NT58" s="32">
        <v>8.8999999999999996E-2</v>
      </c>
      <c r="NU58" s="32">
        <v>-226.24519999999993</v>
      </c>
      <c r="NV58" s="8">
        <v>-2.7095233532934122</v>
      </c>
      <c r="NW58" s="32">
        <v>1396.5920281951221</v>
      </c>
      <c r="NX58" s="32">
        <v>2.4347957093617638</v>
      </c>
      <c r="NY58" s="32">
        <v>5.1999999999999998E-2</v>
      </c>
      <c r="NZ58" s="32">
        <v>55995.848612499984</v>
      </c>
      <c r="OA58" s="32">
        <v>158835.05980300001</v>
      </c>
      <c r="OB58" s="32">
        <v>0.14099999999999999</v>
      </c>
      <c r="OC58" s="32">
        <v>0.123</v>
      </c>
      <c r="OD58" s="32">
        <v>63.12056737588653</v>
      </c>
      <c r="OE58" s="32">
        <v>8.9512954093171455</v>
      </c>
      <c r="OF58" s="32">
        <v>12.426228406576756</v>
      </c>
      <c r="OG58" s="32">
        <v>17.629300126660219</v>
      </c>
      <c r="OH58" s="32">
        <v>83.872995229138539</v>
      </c>
      <c r="OI58" s="32">
        <v>8.9512954093171455</v>
      </c>
      <c r="OJ58" s="32">
        <v>12.426228406576756</v>
      </c>
      <c r="OK58" s="32">
        <v>17.629300126660219</v>
      </c>
      <c r="OL58" s="32">
        <v>0.20082037775113804</v>
      </c>
      <c r="OM58" s="32">
        <v>12.61953207826609</v>
      </c>
      <c r="ON58" s="69"/>
      <c r="OO58" s="32">
        <v>6.8343795167678119</v>
      </c>
      <c r="OP58" s="32">
        <v>53.666335985184524</v>
      </c>
      <c r="OQ58" s="32">
        <v>10.495010281773695</v>
      </c>
      <c r="OR58" s="32">
        <v>9.5079081008778807</v>
      </c>
      <c r="OS58" s="32">
        <v>3.8461538461538498</v>
      </c>
      <c r="OT58" s="32">
        <v>9.5079081008778807</v>
      </c>
      <c r="OU58" s="32">
        <v>-8.8135593220339068</v>
      </c>
      <c r="OV58" s="32">
        <v>139.22905753779372</v>
      </c>
      <c r="OW58" s="32">
        <v>3.6389258605138113</v>
      </c>
      <c r="OX58" s="32">
        <v>46.369715976055254</v>
      </c>
      <c r="OY58" s="32">
        <v>2.7198890493592911</v>
      </c>
    </row>
    <row r="59" spans="1:415" ht="15.75" x14ac:dyDescent="0.25">
      <c r="A59" s="10">
        <v>58</v>
      </c>
      <c r="B59" s="3" t="s">
        <v>349</v>
      </c>
      <c r="C59" s="3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9"/>
      <c r="K59" s="32">
        <v>1066.8562259999999</v>
      </c>
      <c r="L59" s="32">
        <v>15.689062147058822</v>
      </c>
      <c r="M59" s="32">
        <v>0.33200000000000002</v>
      </c>
      <c r="N59" s="32">
        <v>515.99944366343823</v>
      </c>
      <c r="O59" s="32">
        <v>7.5882271126976208</v>
      </c>
      <c r="P59" s="32">
        <v>340.85352464406776</v>
      </c>
      <c r="Q59" s="32">
        <v>5.0125518330009964</v>
      </c>
      <c r="R59" s="32">
        <v>428.42648415375299</v>
      </c>
      <c r="S59" s="32">
        <v>6.3003894728493091</v>
      </c>
      <c r="T59" s="32">
        <v>0.41199999999999998</v>
      </c>
      <c r="U59" s="32">
        <v>6.0999999999999999E-2</v>
      </c>
      <c r="V59" s="32">
        <v>40.395135976630321</v>
      </c>
      <c r="W59" s="32">
        <v>59.604864023369686</v>
      </c>
      <c r="X59" s="32">
        <v>97.619054953924518</v>
      </c>
      <c r="Y59" s="32">
        <v>64.076167526771798</v>
      </c>
      <c r="Z59" s="32">
        <v>0.51047860246040477</v>
      </c>
      <c r="AA59" s="32">
        <v>2.0899137022746226</v>
      </c>
      <c r="AB59" s="69"/>
      <c r="AC59" s="32">
        <v>547.14274099999977</v>
      </c>
      <c r="AD59" s="32">
        <v>8.0462167794117612</v>
      </c>
      <c r="AE59" s="32">
        <v>1.4999999999999999E-2</v>
      </c>
      <c r="AF59" s="32">
        <v>1352.3118199999999</v>
      </c>
      <c r="AG59" s="32">
        <v>19.886938529411765</v>
      </c>
      <c r="AH59" s="32">
        <v>9.8000000000000004E-2</v>
      </c>
      <c r="AI59" s="32">
        <v>869.16850912087909</v>
      </c>
      <c r="AJ59" s="32">
        <v>12.781889840012928</v>
      </c>
      <c r="AK59" s="32">
        <v>415.32425246153849</v>
      </c>
      <c r="AL59" s="32">
        <v>6.1077095950226248</v>
      </c>
      <c r="AM59" s="32">
        <v>642.24638079120882</v>
      </c>
      <c r="AN59" s="32">
        <v>9.4447997175177765</v>
      </c>
      <c r="AO59" s="32">
        <v>0.18099999999999999</v>
      </c>
      <c r="AP59" s="32">
        <v>6.0999999999999999E-2</v>
      </c>
      <c r="AQ59" s="32">
        <v>35.51147821393949</v>
      </c>
      <c r="AR59" s="32">
        <v>64.488521786060502</v>
      </c>
      <c r="AS59" s="32">
        <v>91.719735774385725</v>
      </c>
      <c r="AT59" s="32">
        <v>96.00926786987101</v>
      </c>
      <c r="AU59" s="32">
        <v>0.21725197678188771</v>
      </c>
      <c r="AV59" s="32">
        <v>6.2246237757259477</v>
      </c>
      <c r="AW59" s="69"/>
      <c r="AX59" s="32">
        <v>-50.992959337174668</v>
      </c>
      <c r="AY59" s="32">
        <v>-23.599484498151316</v>
      </c>
      <c r="AZ59" s="32">
        <v>108.83720930232556</v>
      </c>
      <c r="BA59" s="32">
        <v>77.908937605396289</v>
      </c>
      <c r="BB59" s="32">
        <v>12.867542083829495</v>
      </c>
      <c r="BC59" s="69"/>
      <c r="BD59" s="32">
        <v>993.06228699999997</v>
      </c>
      <c r="BE59" s="32">
        <v>14.603857161764706</v>
      </c>
      <c r="BF59" s="32">
        <v>1.2999999999999999E-2</v>
      </c>
      <c r="BG59" s="32">
        <v>1832.477306</v>
      </c>
      <c r="BH59" s="32">
        <v>26.94819567647059</v>
      </c>
      <c r="BI59" s="32">
        <v>0.06</v>
      </c>
      <c r="BJ59" s="32">
        <v>1163.5630838705035</v>
      </c>
      <c r="BK59" s="32">
        <v>17.111221821625051</v>
      </c>
      <c r="BL59" s="32">
        <v>203.49029956834536</v>
      </c>
      <c r="BM59" s="32">
        <v>2.9925044054168435</v>
      </c>
      <c r="BN59" s="32">
        <v>683.52669171942443</v>
      </c>
      <c r="BO59" s="32">
        <v>10.051863113520948</v>
      </c>
      <c r="BP59" s="32">
        <v>290.26446337614675</v>
      </c>
      <c r="BQ59" s="32">
        <v>4.2685950496492167</v>
      </c>
      <c r="BR59" s="32">
        <v>1183.333957880734</v>
      </c>
      <c r="BS59" s="32">
        <v>17.401969968834322</v>
      </c>
      <c r="BT59" s="32">
        <v>9.2999999999999999E-2</v>
      </c>
      <c r="BU59" s="32">
        <v>-111.78916226666668</v>
      </c>
      <c r="BV59" s="8">
        <v>-1.6439582686274512</v>
      </c>
      <c r="BW59" s="32">
        <v>1091.7289083000001</v>
      </c>
      <c r="BX59" s="32" t="s">
        <v>34</v>
      </c>
      <c r="BY59" s="32">
        <v>4.4999999999999998E-2</v>
      </c>
      <c r="BZ59" s="32">
        <v>31850.975235499995</v>
      </c>
      <c r="CA59" s="32">
        <v>128496.049444</v>
      </c>
      <c r="CB59" s="32">
        <v>0.13800000000000001</v>
      </c>
      <c r="CC59" s="32">
        <v>8.0000000000000002E-3</v>
      </c>
      <c r="CD59" s="32">
        <v>67.391304347826079</v>
      </c>
      <c r="CE59" s="32">
        <v>7.8429492388937332</v>
      </c>
      <c r="CF59" s="32">
        <v>14.276554701382683</v>
      </c>
      <c r="CG59" s="32">
        <v>20.364491565678939</v>
      </c>
      <c r="CH59" s="32">
        <v>81.633729227507914</v>
      </c>
      <c r="CI59" s="32">
        <v>7.8429492388937332</v>
      </c>
      <c r="CJ59" s="32">
        <v>38.900340052163727</v>
      </c>
      <c r="CK59" s="32">
        <v>20.364491565678939</v>
      </c>
      <c r="CL59" s="32">
        <v>26.000145496685231</v>
      </c>
      <c r="CM59" s="32" t="s">
        <v>34</v>
      </c>
      <c r="CN59" s="32" t="s">
        <v>34</v>
      </c>
      <c r="CO59" s="32" t="s">
        <v>34</v>
      </c>
      <c r="CP59" s="32" t="s">
        <v>34</v>
      </c>
      <c r="CQ59" s="17" t="s">
        <v>34</v>
      </c>
      <c r="CR59" s="69"/>
      <c r="CS59" s="32">
        <v>1340.96856</v>
      </c>
      <c r="CT59" s="32">
        <v>19.720125882352942</v>
      </c>
      <c r="CU59" s="32">
        <v>1.7999999999999999E-2</v>
      </c>
      <c r="CV59" s="32">
        <v>1864.9199640000002</v>
      </c>
      <c r="CW59" s="32">
        <v>27.425293588235295</v>
      </c>
      <c r="CX59" s="32">
        <v>0.04</v>
      </c>
      <c r="CY59" s="32">
        <v>1216.7093507364341</v>
      </c>
      <c r="CZ59" s="32">
        <v>17.892784569653443</v>
      </c>
      <c r="DA59" s="32">
        <v>184.4188629379845</v>
      </c>
      <c r="DB59" s="32">
        <v>2.7120421020291836</v>
      </c>
      <c r="DC59" s="32">
        <v>700.56410683720924</v>
      </c>
      <c r="DD59" s="32">
        <v>10.302413335841312</v>
      </c>
      <c r="DE59" s="32">
        <v>291.86819259999999</v>
      </c>
      <c r="DF59" s="32">
        <v>4.2921793029411761</v>
      </c>
      <c r="DG59" s="32">
        <v>1226.2296639599999</v>
      </c>
      <c r="DH59" s="32">
        <v>18.032789175882353</v>
      </c>
      <c r="DI59" s="32">
        <v>8.2000000000000003E-2</v>
      </c>
      <c r="DJ59" s="32">
        <v>-186.09606693103453</v>
      </c>
      <c r="DK59" s="8">
        <v>-2.7367068666328609</v>
      </c>
      <c r="DL59" s="32">
        <v>1183.8806844482758</v>
      </c>
      <c r="DM59" s="32">
        <v>-3.229981817444219</v>
      </c>
      <c r="DN59" s="32">
        <v>4.5999999999999999E-2</v>
      </c>
      <c r="DO59" s="32">
        <v>33412.946886499994</v>
      </c>
      <c r="DP59" s="32">
        <v>121955.55684199999</v>
      </c>
      <c r="DQ59" s="32">
        <v>0.128</v>
      </c>
      <c r="DR59" s="32">
        <v>8.0000000000000002E-3</v>
      </c>
      <c r="DS59" s="32">
        <v>64.0625</v>
      </c>
      <c r="DT59" s="32">
        <v>12.420457179424185</v>
      </c>
      <c r="DU59" s="32">
        <v>12.533415474714415</v>
      </c>
      <c r="DV59" s="32">
        <v>19.657080249124377</v>
      </c>
      <c r="DW59" s="32">
        <v>81.944363769929026</v>
      </c>
      <c r="DX59" s="32">
        <v>12.420457179424185</v>
      </c>
      <c r="DY59" s="32">
        <v>12.533415474714415</v>
      </c>
      <c r="DZ59" s="32">
        <v>19.657080249124377</v>
      </c>
      <c r="EA59" s="32">
        <v>0.1686428386674983</v>
      </c>
      <c r="EB59" s="32">
        <v>11.058399981495432</v>
      </c>
      <c r="EC59" s="69"/>
      <c r="ED59" s="32">
        <v>-4.4655616805230762</v>
      </c>
      <c r="EE59" s="32">
        <v>-49.889620149679629</v>
      </c>
      <c r="EF59" s="32">
        <v>-0.55098411243190926</v>
      </c>
      <c r="EG59" s="32">
        <v>-1.7548916511208525</v>
      </c>
      <c r="EH59" s="32">
        <v>39.999999999999993</v>
      </c>
      <c r="EI59" s="32">
        <v>-29.811625964341854</v>
      </c>
      <c r="EJ59" s="32">
        <v>7.5187969924812093</v>
      </c>
      <c r="EK59" s="32">
        <v>-144.12572652164459</v>
      </c>
      <c r="EL59" s="32">
        <v>13.904908386341855</v>
      </c>
      <c r="EM59" s="32">
        <v>-46.03830272716116</v>
      </c>
      <c r="EN59" s="32">
        <v>3.5351500926952744</v>
      </c>
      <c r="EO59" s="69"/>
      <c r="EP59" s="32">
        <v>1117.8735809999994</v>
      </c>
      <c r="EQ59" s="32">
        <v>16.43931736764705</v>
      </c>
      <c r="ER59" s="32">
        <v>0.36299999999999999</v>
      </c>
      <c r="ES59" s="32">
        <v>449.66951215824179</v>
      </c>
      <c r="ET59" s="32">
        <v>6.612786943503556</v>
      </c>
      <c r="EU59" s="32">
        <v>288.39896511648351</v>
      </c>
      <c r="EV59" s="32">
        <v>4.2411612517129926</v>
      </c>
      <c r="EW59" s="32">
        <v>369.03423863736265</v>
      </c>
      <c r="EX59" s="32">
        <v>5.4269740976082739</v>
      </c>
      <c r="EY59" s="32">
        <v>0.45400000000000001</v>
      </c>
      <c r="EZ59" s="32">
        <v>5.1999999999999998E-2</v>
      </c>
      <c r="FA59" s="32">
        <v>40.884388143757576</v>
      </c>
      <c r="FB59" s="32">
        <v>59.115611856242438</v>
      </c>
      <c r="FC59" s="32">
        <v>85.234955277627051</v>
      </c>
      <c r="FD59" s="32">
        <v>67.367842265216566</v>
      </c>
      <c r="FE59" s="32">
        <v>0.49760451898207919</v>
      </c>
      <c r="FF59" s="32">
        <v>2.2465101066340165</v>
      </c>
      <c r="FG59" s="69"/>
      <c r="FH59" s="32">
        <v>431.90733999999998</v>
      </c>
      <c r="FI59" s="32">
        <v>6.3515785294117642</v>
      </c>
      <c r="FJ59" s="32">
        <v>1.4999999999999999E-2</v>
      </c>
      <c r="FK59" s="32">
        <v>1335.5584680000002</v>
      </c>
      <c r="FL59" s="32">
        <v>19.640565705882356</v>
      </c>
      <c r="FM59" s="32">
        <v>0.10199999999999999</v>
      </c>
      <c r="FN59" s="32">
        <v>836.92254689268304</v>
      </c>
      <c r="FO59" s="32">
        <v>12.307684513127692</v>
      </c>
      <c r="FP59" s="32">
        <v>350.48628471707315</v>
      </c>
      <c r="FQ59" s="32">
        <v>5.1542100693687232</v>
      </c>
      <c r="FR59" s="32">
        <v>593.70441580487807</v>
      </c>
      <c r="FS59" s="32">
        <v>8.7309472912482065</v>
      </c>
      <c r="FT59" s="32">
        <v>0.20399999999999999</v>
      </c>
      <c r="FU59" s="32">
        <v>5.1999999999999998E-2</v>
      </c>
      <c r="FV59" s="32">
        <v>33.873663571999849</v>
      </c>
      <c r="FW59" s="32">
        <v>66.126336428000144</v>
      </c>
      <c r="FX59" s="32">
        <v>99.315095027573946</v>
      </c>
      <c r="FY59" s="32">
        <v>98.172488078444417</v>
      </c>
      <c r="FZ59" s="32">
        <v>0.26485585289463337</v>
      </c>
      <c r="GA59" s="32">
        <v>5.0425861969956944</v>
      </c>
      <c r="GB59" s="69"/>
      <c r="GC59" s="32">
        <v>-60.19826284643861</v>
      </c>
      <c r="GD59" s="32">
        <v>-17.745336545084061</v>
      </c>
      <c r="GE59" s="32">
        <v>112.25806451612905</v>
      </c>
      <c r="GF59" s="32">
        <v>75.98784194528875</v>
      </c>
      <c r="GG59" s="32">
        <v>18.755771213550805</v>
      </c>
      <c r="GH59" s="69"/>
      <c r="GI59" s="32">
        <v>1168.8368510000005</v>
      </c>
      <c r="GJ59" s="32">
        <v>17.188777220588243</v>
      </c>
      <c r="GK59" s="32">
        <v>1.9E-2</v>
      </c>
      <c r="GL59" s="32">
        <v>1873.3417459999998</v>
      </c>
      <c r="GM59" s="32">
        <v>27.54914332352941</v>
      </c>
      <c r="GN59" s="32">
        <v>6.7000000000000004E-2</v>
      </c>
      <c r="GO59" s="32">
        <v>1183.4578572671235</v>
      </c>
      <c r="GP59" s="32">
        <v>17.403792018634167</v>
      </c>
      <c r="GQ59" s="32">
        <v>149.27464689726028</v>
      </c>
      <c r="GR59" s="32">
        <v>2.1952153955479452</v>
      </c>
      <c r="GS59" s="32">
        <v>666.36625208219186</v>
      </c>
      <c r="GT59" s="32">
        <v>9.7995037070910573</v>
      </c>
      <c r="GU59" s="32">
        <v>266.78853226000001</v>
      </c>
      <c r="GV59" s="32">
        <v>3.9233607685294118</v>
      </c>
      <c r="GW59" s="32">
        <v>1148.7137497399997</v>
      </c>
      <c r="GX59" s="32">
        <v>16.892849260882347</v>
      </c>
      <c r="GY59" s="32">
        <v>9.0999999999999998E-2</v>
      </c>
      <c r="GZ59" s="32">
        <v>-106.19032128260869</v>
      </c>
      <c r="HA59" s="8">
        <v>-1.5616223718030691</v>
      </c>
      <c r="HB59" s="32">
        <v>1258.9885258043478</v>
      </c>
      <c r="HC59" s="32">
        <v>1.0716739443734014</v>
      </c>
      <c r="HD59" s="32">
        <v>5.3999999999999999E-2</v>
      </c>
      <c r="HE59" s="32">
        <v>57011.912972999999</v>
      </c>
      <c r="HF59" s="32">
        <v>114290.83379949999</v>
      </c>
      <c r="HG59" s="32">
        <v>0.14499999999999999</v>
      </c>
      <c r="HH59" s="32">
        <v>1.6E-2</v>
      </c>
      <c r="HI59" s="32">
        <v>62.758620689655174</v>
      </c>
      <c r="HJ59" s="32">
        <v>7.3411829587789343</v>
      </c>
      <c r="HK59" s="32">
        <v>10.319702217149075</v>
      </c>
      <c r="HL59" s="32">
        <v>18.443709398075963</v>
      </c>
      <c r="HM59" s="32">
        <v>81.815183806448374</v>
      </c>
      <c r="HN59" s="32">
        <v>7.3411829587789343</v>
      </c>
      <c r="HO59" s="32">
        <v>35.101179542252972</v>
      </c>
      <c r="HP59" s="32">
        <v>18.443709398075963</v>
      </c>
      <c r="HQ59" s="32">
        <v>24.231326388028982</v>
      </c>
      <c r="HR59" s="32">
        <v>62.758620689655174</v>
      </c>
      <c r="HS59" s="32" t="s">
        <v>34</v>
      </c>
      <c r="HT59" s="32" t="s">
        <v>34</v>
      </c>
      <c r="HU59" s="32" t="s">
        <v>34</v>
      </c>
      <c r="HV59" s="32" t="s">
        <v>34</v>
      </c>
      <c r="HW59" s="17" t="s">
        <v>34</v>
      </c>
      <c r="HX59" s="69"/>
      <c r="HY59" s="32">
        <v>2031.3711350000001</v>
      </c>
      <c r="HZ59" s="32">
        <v>29.873104926470589</v>
      </c>
      <c r="IA59" s="32">
        <v>3.6999999999999998E-2</v>
      </c>
      <c r="IB59" s="32">
        <v>2031.3711350000001</v>
      </c>
      <c r="IC59" s="32">
        <v>29.873104926470589</v>
      </c>
      <c r="ID59" s="32">
        <v>3.6999999999999998E-2</v>
      </c>
      <c r="IE59" s="32">
        <v>1277.7520294074072</v>
      </c>
      <c r="IF59" s="32">
        <v>18.790471020697165</v>
      </c>
      <c r="IG59" s="32">
        <v>137.31160154814819</v>
      </c>
      <c r="IH59" s="32">
        <v>2.0192882580610028</v>
      </c>
      <c r="II59" s="32">
        <v>707.53181547777774</v>
      </c>
      <c r="IJ59" s="32">
        <v>10.404879639379084</v>
      </c>
      <c r="IK59" s="32">
        <v>264.39141126666669</v>
      </c>
      <c r="IL59" s="32">
        <v>3.8881089892156866</v>
      </c>
      <c r="IM59" s="32">
        <v>1180.5950185666666</v>
      </c>
      <c r="IN59" s="32">
        <v>17.361691449509802</v>
      </c>
      <c r="IO59" s="32">
        <v>7.9000000000000001E-2</v>
      </c>
      <c r="IP59" s="32">
        <v>-116.84801788888888</v>
      </c>
      <c r="IQ59" s="8">
        <v>-1.7183532042483658</v>
      </c>
      <c r="IR59" s="32">
        <v>1472.0660510888888</v>
      </c>
      <c r="IS59" s="32">
        <v>-1.2103565741830065</v>
      </c>
      <c r="IT59" s="32">
        <v>5.3999999999999999E-2</v>
      </c>
      <c r="IU59" s="32">
        <v>65244.635175000003</v>
      </c>
      <c r="IV59" s="32">
        <v>106259.4667275</v>
      </c>
      <c r="IW59" s="32">
        <v>0.13400000000000001</v>
      </c>
      <c r="IX59" s="32">
        <v>1.6E-2</v>
      </c>
      <c r="IY59" s="32">
        <v>58.955223880597011</v>
      </c>
      <c r="IZ59" s="32">
        <v>9.1972584083322371</v>
      </c>
      <c r="JA59" s="32">
        <v>7.8265885978229077</v>
      </c>
      <c r="JB59" s="32">
        <v>17.709181911409807</v>
      </c>
      <c r="JC59" s="32">
        <v>85.585015859785827</v>
      </c>
      <c r="JD59" s="32">
        <v>9.1972584083322371</v>
      </c>
      <c r="JE59" s="32">
        <v>7.8265885978229077</v>
      </c>
      <c r="JF59" s="32">
        <v>17.709181911409807</v>
      </c>
      <c r="JG59" s="32">
        <v>0.19582455936809198</v>
      </c>
      <c r="JH59" s="32">
        <v>10.373423750090641</v>
      </c>
      <c r="JI59" s="69"/>
      <c r="JJ59" s="32">
        <v>-7.6624242939060778</v>
      </c>
      <c r="JK59" s="32">
        <v>-9.5568292391966896</v>
      </c>
      <c r="JL59" s="32">
        <v>0.9025645725318977</v>
      </c>
      <c r="JM59" s="32">
        <v>-8.0942898397963035</v>
      </c>
      <c r="JN59" s="32">
        <v>57.692307692307701</v>
      </c>
      <c r="JO59" s="32">
        <v>-53.90488916803794</v>
      </c>
      <c r="JP59" s="32">
        <v>7.8853046594981953</v>
      </c>
      <c r="JQ59" s="32">
        <v>-138.39804075890342</v>
      </c>
      <c r="JR59" s="32">
        <v>11.502239824692554</v>
      </c>
      <c r="JS59" s="32">
        <v>-6.4004872071362167</v>
      </c>
      <c r="JT59" s="32">
        <v>4.0634508613889553</v>
      </c>
      <c r="JU59" s="69"/>
      <c r="JV59" s="32">
        <v>1072.6991369999998</v>
      </c>
      <c r="JW59" s="32">
        <v>15.774987308823526</v>
      </c>
      <c r="JX59" s="32">
        <v>0.34399999999999997</v>
      </c>
      <c r="JY59" s="32">
        <v>495.46510593821512</v>
      </c>
      <c r="JZ59" s="32">
        <v>7.2862515579149285</v>
      </c>
      <c r="KA59" s="32">
        <v>292.57588817848972</v>
      </c>
      <c r="KB59" s="32">
        <v>4.3025865908601428</v>
      </c>
      <c r="KC59" s="32">
        <v>394.02049705835242</v>
      </c>
      <c r="KD59" s="32">
        <v>5.7944190743875357</v>
      </c>
      <c r="KE59" s="32">
        <v>0.436</v>
      </c>
      <c r="KF59" s="32">
        <v>0.06</v>
      </c>
      <c r="KG59" s="32">
        <v>38.281322218789143</v>
      </c>
      <c r="KH59" s="32">
        <v>61.718677781210872</v>
      </c>
      <c r="KI59" s="32">
        <v>69.629636019126323</v>
      </c>
      <c r="KJ59" s="32">
        <v>73.305958940460243</v>
      </c>
      <c r="KK59" s="32">
        <v>0.54716737928337822</v>
      </c>
      <c r="KL59" s="32">
        <v>1.9604588606961684</v>
      </c>
      <c r="KM59" s="69"/>
      <c r="KN59" s="32">
        <v>1353.7184239999999</v>
      </c>
      <c r="KO59" s="32">
        <v>19.90762388235294</v>
      </c>
      <c r="KP59" s="32">
        <v>0.10199999999999999</v>
      </c>
      <c r="KQ59" s="32">
        <v>1353.7184239999999</v>
      </c>
      <c r="KR59" s="32">
        <v>19.90762388235294</v>
      </c>
      <c r="KS59" s="32">
        <v>0.10199999999999999</v>
      </c>
      <c r="KT59" s="32">
        <v>837.40593863902461</v>
      </c>
      <c r="KU59" s="32">
        <v>12.314793215279774</v>
      </c>
      <c r="KV59" s="32">
        <v>348.36860071707321</v>
      </c>
      <c r="KW59" s="32">
        <v>5.1230676576040182</v>
      </c>
      <c r="KX59" s="32">
        <v>592.88726967804894</v>
      </c>
      <c r="KY59" s="32">
        <v>8.7189304364418962</v>
      </c>
      <c r="KZ59" s="32">
        <v>0.20399999999999999</v>
      </c>
      <c r="LA59" s="32">
        <v>0.06</v>
      </c>
      <c r="LB59" s="32">
        <v>31.684839638178495</v>
      </c>
      <c r="LC59" s="32">
        <v>68.315160361821498</v>
      </c>
      <c r="LD59" s="32">
        <v>73.919737939361681</v>
      </c>
      <c r="LE59" s="32">
        <v>99.69577114077272</v>
      </c>
      <c r="LF59" s="32">
        <v>0.26755020362110227</v>
      </c>
      <c r="LG59" s="32">
        <v>5.0596800364132823</v>
      </c>
      <c r="LH59" s="69"/>
      <c r="LI59" s="32">
        <v>-51.308914555836324</v>
      </c>
      <c r="LJ59" s="32">
        <v>-23.163308040367429</v>
      </c>
      <c r="LK59" s="32">
        <v>108.5201793721973</v>
      </c>
      <c r="LL59" s="32">
        <v>72.5</v>
      </c>
      <c r="LM59" s="32">
        <v>18.856208217040368</v>
      </c>
      <c r="LN59" s="69"/>
      <c r="LO59" s="32">
        <v>1040.472888</v>
      </c>
      <c r="LP59" s="32">
        <v>15.301071882352941</v>
      </c>
      <c r="LQ59" s="32">
        <v>1.9E-2</v>
      </c>
      <c r="LR59" s="32">
        <v>1915.0897779999998</v>
      </c>
      <c r="LS59" s="32">
        <v>28.163084970588233</v>
      </c>
      <c r="LT59" s="32">
        <v>6.9000000000000006E-2</v>
      </c>
      <c r="LU59" s="32">
        <v>1174.807528366013</v>
      </c>
      <c r="LV59" s="32">
        <v>17.27658129950019</v>
      </c>
      <c r="LW59" s="32">
        <v>121.58963351633986</v>
      </c>
      <c r="LX59" s="32">
        <v>1.7880828458285274</v>
      </c>
      <c r="LY59" s="32">
        <v>648.19858094117649</v>
      </c>
      <c r="LZ59" s="32">
        <v>9.5323320726643601</v>
      </c>
      <c r="MA59" s="32">
        <v>259.88997878787876</v>
      </c>
      <c r="MB59" s="32">
        <v>3.8219114527629228</v>
      </c>
      <c r="MC59" s="32">
        <v>1099.2023107272726</v>
      </c>
      <c r="MD59" s="32">
        <v>16.16473986363636</v>
      </c>
      <c r="ME59" s="32">
        <v>8.7999999999999995E-2</v>
      </c>
      <c r="MF59" s="32">
        <v>-131.96099948148148</v>
      </c>
      <c r="MG59" s="8">
        <v>-1.9406029335511983</v>
      </c>
      <c r="MH59" s="32">
        <v>1313.417094037037</v>
      </c>
      <c r="MI59" s="32">
        <v>1.4370292954793029</v>
      </c>
      <c r="MJ59" s="32">
        <v>6.4000000000000001E-2</v>
      </c>
      <c r="MK59" s="32">
        <v>69959.611426000003</v>
      </c>
      <c r="ML59" s="32">
        <v>108308.03286199999</v>
      </c>
      <c r="MM59" s="32">
        <v>0.152</v>
      </c>
      <c r="MN59" s="32">
        <v>0.02</v>
      </c>
      <c r="MO59" s="32">
        <v>57.894736842105267</v>
      </c>
      <c r="MP59" s="32">
        <v>9.1636391358262923</v>
      </c>
      <c r="MQ59" s="32">
        <v>8.4434304724818929</v>
      </c>
      <c r="MR59" s="32">
        <v>18.047286622468174</v>
      </c>
      <c r="MS59" s="32">
        <v>81.581014741472259</v>
      </c>
      <c r="MT59" s="32">
        <v>9.1636391358262923</v>
      </c>
      <c r="MU59" s="32">
        <v>33.716852685537582</v>
      </c>
      <c r="MV59" s="32">
        <v>18.047286622468174</v>
      </c>
      <c r="MW59" s="32">
        <v>23.832082943565709</v>
      </c>
      <c r="MX59" s="32" t="s">
        <v>34</v>
      </c>
      <c r="MY59" s="32" t="s">
        <v>34</v>
      </c>
      <c r="MZ59" s="32" t="s">
        <v>34</v>
      </c>
      <c r="NA59" s="32" t="s">
        <v>34</v>
      </c>
      <c r="NB59" s="17" t="s">
        <v>34</v>
      </c>
      <c r="NC59" s="69"/>
      <c r="ND59" s="32">
        <v>2013.463694</v>
      </c>
      <c r="NE59" s="32">
        <v>29.609760205882353</v>
      </c>
      <c r="NF59" s="32">
        <v>6.2E-2</v>
      </c>
      <c r="NG59" s="32">
        <v>2013.463694</v>
      </c>
      <c r="NH59" s="32">
        <v>29.609760205882353</v>
      </c>
      <c r="NI59" s="32">
        <v>6.2E-2</v>
      </c>
      <c r="NJ59" s="32">
        <v>1232.2514360349653</v>
      </c>
      <c r="NK59" s="32">
        <v>18.121344647573018</v>
      </c>
      <c r="NL59" s="32">
        <v>125.7176546083916</v>
      </c>
      <c r="NM59" s="32">
        <v>1.8487890383587</v>
      </c>
      <c r="NN59" s="32">
        <v>678.98454532167841</v>
      </c>
      <c r="NO59" s="32">
        <v>9.9850668429658587</v>
      </c>
      <c r="NP59" s="32">
        <v>256.59910316304348</v>
      </c>
      <c r="NQ59" s="32">
        <v>3.7735162229859336</v>
      </c>
      <c r="NR59" s="32">
        <v>1131.4956969021739</v>
      </c>
      <c r="NS59" s="32">
        <v>16.639642601502558</v>
      </c>
      <c r="NT59" s="32">
        <v>8.3000000000000004E-2</v>
      </c>
      <c r="NU59" s="32">
        <v>-110.38221337254903</v>
      </c>
      <c r="NV59" s="8">
        <v>-1.6232678437139563</v>
      </c>
      <c r="NW59" s="32">
        <v>1414.0068870196076</v>
      </c>
      <c r="NX59" s="32">
        <v>-0.39168717070357562</v>
      </c>
      <c r="NY59" s="32">
        <v>5.8000000000000003E-2</v>
      </c>
      <c r="NZ59" s="32">
        <v>71100.811723499995</v>
      </c>
      <c r="OA59" s="32">
        <v>104103.0322605</v>
      </c>
      <c r="OB59" s="32">
        <v>0.14199999999999999</v>
      </c>
      <c r="OC59" s="32">
        <v>0.02</v>
      </c>
      <c r="OD59" s="32">
        <v>58.450704225352126</v>
      </c>
      <c r="OE59" s="32">
        <v>8.7504259499071697</v>
      </c>
      <c r="OF59" s="32">
        <v>7.6830210308335687</v>
      </c>
      <c r="OG59" s="32">
        <v>17.860271558796057</v>
      </c>
      <c r="OH59" s="32">
        <v>85.769377230896836</v>
      </c>
      <c r="OI59" s="32">
        <v>8.7504259499071697</v>
      </c>
      <c r="OJ59" s="32">
        <v>7.6830210308335687</v>
      </c>
      <c r="OK59" s="32">
        <v>17.860271558796057</v>
      </c>
      <c r="OL59" s="32">
        <v>0.20937549454942145</v>
      </c>
      <c r="OM59" s="32">
        <v>9.6165203016379639</v>
      </c>
      <c r="ON59" s="69"/>
      <c r="OO59" s="32">
        <v>-4.7729539258086113</v>
      </c>
      <c r="OP59" s="32">
        <v>17.80845096077017</v>
      </c>
      <c r="OQ59" s="32">
        <v>1.2743253400070849</v>
      </c>
      <c r="OR59" s="32">
        <v>-5.008149523795014</v>
      </c>
      <c r="OS59" s="32">
        <v>10.687022900763369</v>
      </c>
      <c r="OT59" s="32">
        <v>-63.720432947746133</v>
      </c>
      <c r="OU59" s="32">
        <v>6.8027210884353799</v>
      </c>
      <c r="OV59" s="32">
        <v>-134.55086220780484</v>
      </c>
      <c r="OW59" s="32">
        <v>-3.5709903570617376</v>
      </c>
      <c r="OX59" s="32">
        <v>17.577586184387094</v>
      </c>
      <c r="OY59" s="32">
        <v>1.0416473474918568</v>
      </c>
    </row>
    <row r="60" spans="1:415" ht="15.75" x14ac:dyDescent="0.25">
      <c r="A60" s="10">
        <v>59</v>
      </c>
      <c r="B60" s="3" t="s">
        <v>370</v>
      </c>
      <c r="C60" s="3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9"/>
      <c r="K60" s="32">
        <v>1553.8385299999998</v>
      </c>
      <c r="L60" s="32">
        <v>18.280453294117645</v>
      </c>
      <c r="M60" s="32">
        <v>0.14599999999999999</v>
      </c>
      <c r="N60" s="32">
        <v>859.09049932931737</v>
      </c>
      <c r="O60" s="32">
        <v>10.106947050933146</v>
      </c>
      <c r="P60" s="32">
        <v>482.17373140562245</v>
      </c>
      <c r="Q60" s="32">
        <v>5.6726321341837931</v>
      </c>
      <c r="R60" s="32">
        <v>670.63211536746985</v>
      </c>
      <c r="S60" s="32">
        <v>7.8897895925584685</v>
      </c>
      <c r="T60" s="32">
        <v>0.248</v>
      </c>
      <c r="U60" s="32">
        <v>0.03</v>
      </c>
      <c r="V60" s="32">
        <v>28.640023144069126</v>
      </c>
      <c r="W60" s="32">
        <v>66.685945664173559</v>
      </c>
      <c r="X60" s="32">
        <v>45.323767985392678</v>
      </c>
      <c r="Y60" s="32">
        <v>99.394466980268135</v>
      </c>
      <c r="Z60" s="32">
        <v>0.31494865047458442</v>
      </c>
      <c r="AA60" s="32">
        <v>4.9336249819092037</v>
      </c>
      <c r="AB60" s="69"/>
      <c r="AC60" s="32">
        <v>410.12261600000005</v>
      </c>
      <c r="AD60" s="32">
        <v>4.8249719529411772</v>
      </c>
      <c r="AE60" s="32">
        <v>1.6E-2</v>
      </c>
      <c r="AF60" s="32">
        <v>1704.383898</v>
      </c>
      <c r="AG60" s="32">
        <v>20.051575270588234</v>
      </c>
      <c r="AH60" s="32">
        <v>0.121</v>
      </c>
      <c r="AI60" s="32">
        <v>1014.6398515272724</v>
      </c>
      <c r="AJ60" s="32">
        <v>11.936939429732616</v>
      </c>
      <c r="AK60" s="32">
        <v>436.55323344545451</v>
      </c>
      <c r="AL60" s="32">
        <v>5.135920393475935</v>
      </c>
      <c r="AM60" s="32">
        <v>725.59654248636343</v>
      </c>
      <c r="AN60" s="32">
        <v>8.5364299116042766</v>
      </c>
      <c r="AO60" s="32">
        <v>0.219</v>
      </c>
      <c r="AP60" s="32">
        <v>0.03</v>
      </c>
      <c r="AQ60" s="32">
        <v>34.088319626799638</v>
      </c>
      <c r="AR60" s="32">
        <v>65.911680373200355</v>
      </c>
      <c r="AS60" s="32">
        <v>55.429856674922952</v>
      </c>
      <c r="AT60" s="32">
        <v>96.210330460644457</v>
      </c>
      <c r="AU60" s="32">
        <v>0.28885634883192624</v>
      </c>
      <c r="AV60" s="32">
        <v>5.9004550354948631</v>
      </c>
      <c r="AW60" s="69"/>
      <c r="AX60" s="32">
        <v>-16.603173677241713</v>
      </c>
      <c r="AY60" s="32">
        <v>-9.2409509373127605</v>
      </c>
      <c r="AZ60" s="32">
        <v>18.72659176029962</v>
      </c>
      <c r="BA60" s="32">
        <v>12.419700214132762</v>
      </c>
      <c r="BB60" s="32">
        <v>-17.371083762349031</v>
      </c>
      <c r="BC60" s="69"/>
      <c r="BD60" s="32">
        <v>1551.4761149999999</v>
      </c>
      <c r="BE60" s="32">
        <v>18.252660176470588</v>
      </c>
      <c r="BF60" s="32">
        <v>7.0999999999999994E-2</v>
      </c>
      <c r="BG60" s="32">
        <v>1551.4761149999999</v>
      </c>
      <c r="BH60" s="32">
        <v>18.252660176470588</v>
      </c>
      <c r="BI60" s="32">
        <v>7.0999999999999994E-2</v>
      </c>
      <c r="BJ60" s="32">
        <v>791.24902012499979</v>
      </c>
      <c r="BK60" s="32">
        <v>9.3088120014705851</v>
      </c>
      <c r="BL60" s="32">
        <v>-25.808093772058829</v>
      </c>
      <c r="BM60" s="32">
        <v>-0.30362463261245681</v>
      </c>
      <c r="BN60" s="32">
        <v>382.7204631764705</v>
      </c>
      <c r="BO60" s="32">
        <v>4.5025936844290646</v>
      </c>
      <c r="BP60" s="32">
        <v>70.615421881355914</v>
      </c>
      <c r="BQ60" s="32">
        <v>0.83076966919242257</v>
      </c>
      <c r="BR60" s="32">
        <v>620.27065545762719</v>
      </c>
      <c r="BS60" s="32">
        <v>7.2973018289132607</v>
      </c>
      <c r="BT60" s="32">
        <v>5.8999999999999997E-2</v>
      </c>
      <c r="BU60" s="32">
        <v>-99.691047324675338</v>
      </c>
      <c r="BV60" s="8">
        <v>-1.1728358508785335</v>
      </c>
      <c r="BW60" s="32">
        <v>922.25841642857142</v>
      </c>
      <c r="BX60" s="32" t="s">
        <v>34</v>
      </c>
      <c r="BY60" s="32">
        <v>7.5999999999999998E-2</v>
      </c>
      <c r="BZ60" s="32">
        <v>70252.992750999998</v>
      </c>
      <c r="CA60" s="32">
        <v>35855.414414500003</v>
      </c>
      <c r="CB60" s="32">
        <v>0.13500000000000001</v>
      </c>
      <c r="CC60" s="32">
        <v>8.1000000000000003E-2</v>
      </c>
      <c r="CD60" s="32">
        <v>43.703703703703702</v>
      </c>
      <c r="CE60" s="32">
        <v>10.569091426054751</v>
      </c>
      <c r="CF60" s="32">
        <v>12.7361343864783</v>
      </c>
      <c r="CG60" s="32">
        <v>7.4865383600874758</v>
      </c>
      <c r="CH60" s="32">
        <v>83.887003486294219</v>
      </c>
      <c r="CI60" s="32">
        <v>10.569091426054751</v>
      </c>
      <c r="CJ60" s="32">
        <v>16.624023892906376</v>
      </c>
      <c r="CK60" s="32">
        <v>7.4865383600874758</v>
      </c>
      <c r="CL60" s="32">
        <v>26.38</v>
      </c>
      <c r="CM60" s="32" t="s">
        <v>34</v>
      </c>
      <c r="CN60" s="32" t="s">
        <v>34</v>
      </c>
      <c r="CO60" s="32" t="s">
        <v>34</v>
      </c>
      <c r="CP60" s="32" t="s">
        <v>34</v>
      </c>
      <c r="CQ60" s="15" t="s">
        <v>34</v>
      </c>
      <c r="CR60" s="69"/>
      <c r="CS60" s="32">
        <v>2324.5993100000001</v>
      </c>
      <c r="CT60" s="32">
        <v>27.348227176470591</v>
      </c>
      <c r="CU60" s="32">
        <v>5.6000000000000001E-2</v>
      </c>
      <c r="CV60" s="32">
        <v>2324.5993100000001</v>
      </c>
      <c r="CW60" s="32">
        <v>27.348227176470591</v>
      </c>
      <c r="CX60" s="32">
        <v>5.6000000000000001E-2</v>
      </c>
      <c r="CY60" s="32">
        <v>1348.9463584179102</v>
      </c>
      <c r="CZ60" s="32">
        <v>15.869957157857767</v>
      </c>
      <c r="DA60" s="32">
        <v>287.75394255223887</v>
      </c>
      <c r="DB60" s="32">
        <v>3.3853405006145749</v>
      </c>
      <c r="DC60" s="32">
        <v>818.35015048507455</v>
      </c>
      <c r="DD60" s="32">
        <v>9.6276488292361719</v>
      </c>
      <c r="DE60" s="32">
        <v>400.27938662037042</v>
      </c>
      <c r="DF60" s="32">
        <v>4.7091692543572989</v>
      </c>
      <c r="DG60" s="32">
        <v>1500.9857053148144</v>
      </c>
      <c r="DH60" s="32">
        <v>17.658655356644875</v>
      </c>
      <c r="DI60" s="32">
        <v>0.107</v>
      </c>
      <c r="DJ60" s="32">
        <v>-179.65944050000004</v>
      </c>
      <c r="DK60" s="8">
        <v>-2.1136404764705889</v>
      </c>
      <c r="DL60" s="32">
        <v>717.39830207692307</v>
      </c>
      <c r="DM60" s="32">
        <v>-3.0331393719457016</v>
      </c>
      <c r="DN60" s="32">
        <v>2.5000000000000001E-2</v>
      </c>
      <c r="DO60" s="32">
        <v>17990.049830000004</v>
      </c>
      <c r="DP60" s="32">
        <v>162110.91049949999</v>
      </c>
      <c r="DQ60" s="32">
        <v>0.13300000000000001</v>
      </c>
      <c r="DR60" s="32">
        <v>8.1000000000000003E-2</v>
      </c>
      <c r="DS60" s="32">
        <v>80.451127819548859</v>
      </c>
      <c r="DT60" s="32">
        <v>16.863030775663841</v>
      </c>
      <c r="DU60" s="32">
        <v>10.528448880383467</v>
      </c>
      <c r="DV60" s="32">
        <v>23.4572758780456</v>
      </c>
      <c r="DW60" s="32">
        <v>79.051302494635124</v>
      </c>
      <c r="DX60" s="32">
        <v>16.863030775663841</v>
      </c>
      <c r="DY60" s="32">
        <v>10.528448880383467</v>
      </c>
      <c r="DZ60" s="32">
        <v>23.4572758780456</v>
      </c>
      <c r="EA60" s="32">
        <v>0.15241390000906832</v>
      </c>
      <c r="EB60" s="32">
        <v>15.251885227408335</v>
      </c>
      <c r="EC60" s="69"/>
      <c r="ED60" s="32">
        <v>-52.116488418230531</v>
      </c>
      <c r="EE60" s="32">
        <v>-57.25309005045596</v>
      </c>
      <c r="EF60" s="32">
        <v>-140.01596908147093</v>
      </c>
      <c r="EG60" s="32">
        <v>-39.892061439955086</v>
      </c>
      <c r="EH60" s="32">
        <v>23.622047244094478</v>
      </c>
      <c r="EI60" s="32">
        <v>-39.892061439955086</v>
      </c>
      <c r="EJ60" s="32">
        <v>1.492537313432837</v>
      </c>
      <c r="EK60" s="32">
        <v>-162.68953819823554</v>
      </c>
      <c r="EL60" s="32">
        <v>-277.47305030347428</v>
      </c>
      <c r="EM60" s="32">
        <v>0.38528231330248075</v>
      </c>
      <c r="EN60" s="32">
        <v>-103.22410414600319</v>
      </c>
      <c r="EO60" s="69"/>
      <c r="EP60" s="32">
        <v>1463.7060219999998</v>
      </c>
      <c r="EQ60" s="32">
        <v>17.220070847058821</v>
      </c>
      <c r="ER60" s="32">
        <v>0.14099999999999999</v>
      </c>
      <c r="ES60" s="32">
        <v>829.81800693388436</v>
      </c>
      <c r="ET60" s="32">
        <v>9.7625647874574639</v>
      </c>
      <c r="EU60" s="32">
        <v>436.63582223966944</v>
      </c>
      <c r="EV60" s="32">
        <v>5.1368920263490523</v>
      </c>
      <c r="EW60" s="32">
        <v>633.22691458677696</v>
      </c>
      <c r="EX60" s="32">
        <v>7.4497284069032581</v>
      </c>
      <c r="EY60" s="32">
        <v>0.24099999999999999</v>
      </c>
      <c r="EZ60" s="32">
        <v>4.1000000000000002E-2</v>
      </c>
      <c r="FA60" s="32">
        <v>30.184666032896214</v>
      </c>
      <c r="FB60" s="32">
        <v>67.217456373093782</v>
      </c>
      <c r="FC60" s="32">
        <v>95.145603888297586</v>
      </c>
      <c r="FD60" s="32">
        <v>99.118141947547784</v>
      </c>
      <c r="FE60" s="32">
        <v>0.28779348532732368</v>
      </c>
      <c r="FF60" s="32">
        <v>5.0859595391300978</v>
      </c>
      <c r="FG60" s="69"/>
      <c r="FH60" s="32">
        <v>277.06991700000009</v>
      </c>
      <c r="FI60" s="32">
        <v>3.2596460823529423</v>
      </c>
      <c r="FJ60" s="32">
        <v>1.6E-2</v>
      </c>
      <c r="FK60" s="32">
        <v>1735.8887910000001</v>
      </c>
      <c r="FL60" s="32">
        <v>20.422221070588236</v>
      </c>
      <c r="FM60" s="32">
        <v>0.11600000000000001</v>
      </c>
      <c r="FN60" s="32">
        <v>995.80104809767442</v>
      </c>
      <c r="FO60" s="32">
        <v>11.715306448207935</v>
      </c>
      <c r="FP60" s="32">
        <v>451.59738089302323</v>
      </c>
      <c r="FQ60" s="32">
        <v>5.3129103634473323</v>
      </c>
      <c r="FR60" s="32">
        <v>723.69921449534877</v>
      </c>
      <c r="FS60" s="32">
        <v>8.5141084058276331</v>
      </c>
      <c r="FT60" s="32">
        <v>0.214</v>
      </c>
      <c r="FU60" s="32">
        <v>4.1000000000000002E-2</v>
      </c>
      <c r="FV60" s="32">
        <v>34.280680727326406</v>
      </c>
      <c r="FW60" s="32">
        <v>65.719319272673616</v>
      </c>
      <c r="FX60" s="32">
        <v>91.666589650933943</v>
      </c>
      <c r="FY60" s="32">
        <v>99.262848438155032</v>
      </c>
      <c r="FZ60" s="32">
        <v>0.27058556057684641</v>
      </c>
      <c r="GA60" s="32">
        <v>6.4153045982917742</v>
      </c>
      <c r="GB60" s="69"/>
      <c r="GC60" s="32">
        <v>-18.183754240111259</v>
      </c>
      <c r="GD60" s="32">
        <v>-17.013577337612734</v>
      </c>
      <c r="GE60" s="32">
        <v>19.455252918287922</v>
      </c>
      <c r="GF60" s="32">
        <v>11.868131868131867</v>
      </c>
      <c r="GG60" s="32">
        <v>-12.707648062966992</v>
      </c>
      <c r="GH60" s="69"/>
      <c r="GI60" s="32">
        <v>1707.4315779999999</v>
      </c>
      <c r="GJ60" s="32">
        <v>20.087430329411763</v>
      </c>
      <c r="GK60" s="32">
        <v>7.1999999999999995E-2</v>
      </c>
      <c r="GL60" s="32">
        <v>1707.4315779999999</v>
      </c>
      <c r="GM60" s="32">
        <v>20.087430329411763</v>
      </c>
      <c r="GN60" s="32">
        <v>7.1999999999999995E-2</v>
      </c>
      <c r="GO60" s="32">
        <v>890.03968182142853</v>
      </c>
      <c r="GP60" s="32">
        <v>10.4710550802521</v>
      </c>
      <c r="GQ60" s="32">
        <v>-28.282138442857143</v>
      </c>
      <c r="GR60" s="32">
        <v>-0.33273104050420166</v>
      </c>
      <c r="GS60" s="32">
        <v>430.87877168928571</v>
      </c>
      <c r="GT60" s="32">
        <v>5.06916201987395</v>
      </c>
      <c r="GU60" s="32">
        <v>99.457088754098336</v>
      </c>
      <c r="GV60" s="32">
        <v>1.1700833971070392</v>
      </c>
      <c r="GW60" s="32">
        <v>703.97540511475415</v>
      </c>
      <c r="GX60" s="32">
        <v>8.2820635895853432</v>
      </c>
      <c r="GY60" s="32">
        <v>6.0999999999999999E-2</v>
      </c>
      <c r="GZ60" s="32">
        <v>-126.91622526582277</v>
      </c>
      <c r="HA60" s="8">
        <v>-1.4931320619508561</v>
      </c>
      <c r="HB60" s="32">
        <v>1033.7095663670887</v>
      </c>
      <c r="HC60" s="32">
        <v>1.1342410848845867</v>
      </c>
      <c r="HD60" s="32">
        <v>7.8E-2</v>
      </c>
      <c r="HE60" s="32">
        <v>80822.00865199999</v>
      </c>
      <c r="HF60" s="32">
        <v>42114.328652999997</v>
      </c>
      <c r="HG60" s="32">
        <v>0.13900000000000001</v>
      </c>
      <c r="HH60" s="32">
        <v>0.1</v>
      </c>
      <c r="HI60" s="32">
        <v>43.884892086330929</v>
      </c>
      <c r="HJ60" s="32">
        <v>11.823037920232133</v>
      </c>
      <c r="HK60" s="32">
        <v>12.634657582785801</v>
      </c>
      <c r="HL60" s="32">
        <v>9.265048100136422</v>
      </c>
      <c r="HM60" s="32">
        <v>82.912747260218254</v>
      </c>
      <c r="HN60" s="32">
        <v>11.823037920232133</v>
      </c>
      <c r="HO60" s="32">
        <v>18.427399320264303</v>
      </c>
      <c r="HP60" s="32">
        <v>9.265048100136422</v>
      </c>
      <c r="HQ60" s="32">
        <v>26.347894429221643</v>
      </c>
      <c r="HR60" s="32">
        <v>43.884892086330929</v>
      </c>
      <c r="HS60" s="32" t="s">
        <v>34</v>
      </c>
      <c r="HT60" s="32" t="s">
        <v>34</v>
      </c>
      <c r="HU60" s="32" t="s">
        <v>34</v>
      </c>
      <c r="HV60" s="32" t="s">
        <v>34</v>
      </c>
      <c r="HW60" s="15" t="s">
        <v>34</v>
      </c>
      <c r="HX60" s="69"/>
      <c r="HY60" s="32">
        <v>2407.3739299999997</v>
      </c>
      <c r="HZ60" s="32">
        <v>28.322046235294113</v>
      </c>
      <c r="IA60" s="32">
        <v>6.9000000000000006E-2</v>
      </c>
      <c r="IB60" s="32">
        <v>2407.3739299999997</v>
      </c>
      <c r="IC60" s="32">
        <v>28.322046235294113</v>
      </c>
      <c r="ID60" s="32">
        <v>6.9000000000000006E-2</v>
      </c>
      <c r="IE60" s="32">
        <v>1418.1933490000001</v>
      </c>
      <c r="IF60" s="32">
        <v>16.68462763529412</v>
      </c>
      <c r="IG60" s="32">
        <v>248.00504952592601</v>
      </c>
      <c r="IH60" s="32">
        <v>2.9177064650108941</v>
      </c>
      <c r="II60" s="32">
        <v>833.09919926296311</v>
      </c>
      <c r="IJ60" s="32">
        <v>9.8011670501525074</v>
      </c>
      <c r="IK60" s="32">
        <v>333.1734263660714</v>
      </c>
      <c r="IL60" s="32">
        <v>3.9196873690126046</v>
      </c>
      <c r="IM60" s="32">
        <v>1559.6123484107145</v>
      </c>
      <c r="IN60" s="32">
        <v>18.348380569537817</v>
      </c>
      <c r="IO60" s="32">
        <v>0.111</v>
      </c>
      <c r="IP60" s="32">
        <v>-166.72791595652177</v>
      </c>
      <c r="IQ60" s="8">
        <v>-1.9615048936061386</v>
      </c>
      <c r="IR60" s="32">
        <v>729.5443083913043</v>
      </c>
      <c r="IS60" s="32">
        <v>-2.251363318670077</v>
      </c>
      <c r="IT60" s="32">
        <v>2.1999999999999999E-2</v>
      </c>
      <c r="IU60" s="32">
        <v>16077.448743000003</v>
      </c>
      <c r="IV60" s="32">
        <v>174683.62518450001</v>
      </c>
      <c r="IW60" s="32">
        <v>0.13400000000000001</v>
      </c>
      <c r="IX60" s="32">
        <v>0.1</v>
      </c>
      <c r="IY60" s="32">
        <v>82.835820895522389</v>
      </c>
      <c r="IZ60" s="32">
        <v>14.393714315280587</v>
      </c>
      <c r="JA60" s="32">
        <v>9.676552938126413</v>
      </c>
      <c r="JB60" s="32">
        <v>19.33671562624809</v>
      </c>
      <c r="JC60" s="32">
        <v>82.309089868765241</v>
      </c>
      <c r="JD60" s="32">
        <v>14.393714315280587</v>
      </c>
      <c r="JE60" s="32">
        <v>9.676552938126413</v>
      </c>
      <c r="JF60" s="32">
        <v>19.33671562624809</v>
      </c>
      <c r="JG60" s="32">
        <v>0.16554346448719875</v>
      </c>
      <c r="JH60" s="32">
        <v>14.542246880342164</v>
      </c>
      <c r="JI60" s="69"/>
      <c r="JJ60" s="32">
        <v>-45.762595034923152</v>
      </c>
      <c r="JK60" s="32">
        <v>-27.115603618022782</v>
      </c>
      <c r="JL60" s="32">
        <v>-108.04431469521043</v>
      </c>
      <c r="JM60" s="32">
        <v>-34.020677314598359</v>
      </c>
      <c r="JN60" s="32">
        <v>4.2553191489361541</v>
      </c>
      <c r="JO60" s="32">
        <v>-34.020677314598359</v>
      </c>
      <c r="JP60" s="32">
        <v>3.663003663003666</v>
      </c>
      <c r="JQ60" s="32">
        <v>-158.51345060340341</v>
      </c>
      <c r="JR60" s="32">
        <v>-289.62139201200625</v>
      </c>
      <c r="JS60" s="32">
        <v>19.967682140994945</v>
      </c>
      <c r="JT60" s="32">
        <v>-70.42689830222443</v>
      </c>
      <c r="JU60" s="69"/>
      <c r="JV60" s="32">
        <v>1429.0812950000004</v>
      </c>
      <c r="JW60" s="32">
        <v>16.812721117647065</v>
      </c>
      <c r="JX60" s="32">
        <v>0.26</v>
      </c>
      <c r="JY60" s="32">
        <v>685.15704665526312</v>
      </c>
      <c r="JZ60" s="32">
        <v>8.0606711371207425</v>
      </c>
      <c r="KA60" s="32">
        <v>331.24065848684211</v>
      </c>
      <c r="KB60" s="32">
        <v>3.8969489233746128</v>
      </c>
      <c r="KC60" s="32">
        <v>508.19885257105261</v>
      </c>
      <c r="KD60" s="32">
        <v>5.9788100302476774</v>
      </c>
      <c r="KE60" s="32">
        <v>0.379</v>
      </c>
      <c r="KF60" s="32">
        <v>4.2000000000000003E-2</v>
      </c>
      <c r="KG60" s="32">
        <v>32.559516713476476</v>
      </c>
      <c r="KH60" s="32">
        <v>65.900273055886373</v>
      </c>
      <c r="KI60" s="32">
        <v>64.835195637959885</v>
      </c>
      <c r="KJ60" s="32">
        <v>96.767068517478421</v>
      </c>
      <c r="KK60" s="32">
        <v>0.4853938172273215</v>
      </c>
      <c r="KL60" s="32">
        <v>2.944168722962385</v>
      </c>
      <c r="KM60" s="69"/>
      <c r="KN60" s="32">
        <v>310.73884700000002</v>
      </c>
      <c r="KO60" s="32">
        <v>3.6557511411764709</v>
      </c>
      <c r="KP60" s="32">
        <v>1.9E-2</v>
      </c>
      <c r="KQ60" s="32">
        <v>1821.6390530000001</v>
      </c>
      <c r="KR60" s="32">
        <v>21.431047682352943</v>
      </c>
      <c r="KS60" s="32">
        <v>0.114</v>
      </c>
      <c r="KT60" s="32">
        <v>1008.210268159292</v>
      </c>
      <c r="KU60" s="32">
        <v>11.861297272462259</v>
      </c>
      <c r="KV60" s="32">
        <v>365.73607415044245</v>
      </c>
      <c r="KW60" s="32">
        <v>4.3027773429463814</v>
      </c>
      <c r="KX60" s="32">
        <v>686.97317115486726</v>
      </c>
      <c r="KY60" s="32">
        <v>8.0820373077043204</v>
      </c>
      <c r="KZ60" s="32">
        <v>0.22500000000000001</v>
      </c>
      <c r="LA60" s="32">
        <v>4.2000000000000003E-2</v>
      </c>
      <c r="LB60" s="32">
        <v>30.563534401909166</v>
      </c>
      <c r="LC60" s="32">
        <v>69.436465598090834</v>
      </c>
      <c r="LD60" s="32">
        <v>56.72956006427934</v>
      </c>
      <c r="LE60" s="32">
        <v>96.49975058517731</v>
      </c>
      <c r="LF60" s="32">
        <v>0.31105577360914477</v>
      </c>
      <c r="LG60" s="32">
        <v>5.8563100496857174</v>
      </c>
      <c r="LH60" s="69"/>
      <c r="LI60" s="32">
        <v>-38.155126614027893</v>
      </c>
      <c r="LJ60" s="32">
        <v>-24.152047298779181</v>
      </c>
      <c r="LK60" s="32">
        <v>78.074866310160445</v>
      </c>
      <c r="LL60" s="32">
        <v>50.993377483443716</v>
      </c>
      <c r="LM60" s="32">
        <v>6.3240996000613432</v>
      </c>
      <c r="LN60" s="69"/>
      <c r="LO60" s="32">
        <v>2320.3612669999998</v>
      </c>
      <c r="LP60" s="32">
        <v>27.29836784705882</v>
      </c>
      <c r="LQ60" s="32">
        <v>7.9000000000000001E-2</v>
      </c>
      <c r="LR60" s="32">
        <v>2320.3612669999998</v>
      </c>
      <c r="LS60" s="32">
        <v>27.29836784705882</v>
      </c>
      <c r="LT60" s="32">
        <v>7.9000000000000001E-2</v>
      </c>
      <c r="LU60" s="32">
        <v>1298.6654076049385</v>
      </c>
      <c r="LV60" s="32">
        <v>15.278416560058101</v>
      </c>
      <c r="LW60" s="32">
        <v>193.16829978395063</v>
      </c>
      <c r="LX60" s="32">
        <v>2.2725682327523602</v>
      </c>
      <c r="LY60" s="32">
        <v>745.91685369444463</v>
      </c>
      <c r="LZ60" s="32">
        <v>8.7754923964052303</v>
      </c>
      <c r="MA60" s="32">
        <v>315.02512270796461</v>
      </c>
      <c r="MB60" s="32">
        <v>3.7061779142113482</v>
      </c>
      <c r="MC60" s="32">
        <v>1413.6733297610617</v>
      </c>
      <c r="MD60" s="32">
        <v>16.631450938365433</v>
      </c>
      <c r="ME60" s="32">
        <v>0.109</v>
      </c>
      <c r="MF60" s="32">
        <v>-87.848455122448996</v>
      </c>
      <c r="MG60" s="8">
        <v>-1.0335112367346941</v>
      </c>
      <c r="MH60" s="32">
        <v>1033.4430565102039</v>
      </c>
      <c r="MI60" s="32">
        <v>1.5339650679471792</v>
      </c>
      <c r="MJ60" s="32">
        <v>5.1999999999999998E-2</v>
      </c>
      <c r="MK60" s="32">
        <v>49590.734871499997</v>
      </c>
      <c r="ML60" s="32">
        <v>159029.80626100002</v>
      </c>
      <c r="MM60" s="32">
        <v>0.161</v>
      </c>
      <c r="MN60" s="32">
        <v>9.7000000000000003E-2</v>
      </c>
      <c r="MO60" s="32">
        <v>67.701863354037258</v>
      </c>
      <c r="MP60" s="32">
        <v>5.6019354741900313</v>
      </c>
      <c r="MQ60" s="32">
        <v>12.317989537099566</v>
      </c>
      <c r="MR60" s="32">
        <v>20.088576488897711</v>
      </c>
      <c r="MS60" s="32">
        <v>82.813520235787053</v>
      </c>
      <c r="MT60" s="32">
        <v>5.6019354741900313</v>
      </c>
      <c r="MU60" s="32">
        <v>37.775585084896626</v>
      </c>
      <c r="MV60" s="32">
        <v>20.088576488897711</v>
      </c>
      <c r="MW60" s="32">
        <v>24.32788097501507</v>
      </c>
      <c r="MX60" s="32" t="s">
        <v>34</v>
      </c>
      <c r="MY60" s="32" t="s">
        <v>34</v>
      </c>
      <c r="MZ60" s="32" t="s">
        <v>34</v>
      </c>
      <c r="NA60" s="32" t="s">
        <v>34</v>
      </c>
      <c r="NB60" s="15" t="s">
        <v>34</v>
      </c>
      <c r="NC60" s="69"/>
      <c r="ND60" s="32">
        <v>1534.6686069999998</v>
      </c>
      <c r="NE60" s="32">
        <v>18.054924788235294</v>
      </c>
      <c r="NF60" s="32">
        <v>0.02</v>
      </c>
      <c r="NG60" s="32">
        <v>2374.4263890000002</v>
      </c>
      <c r="NH60" s="32">
        <v>27.934428105882354</v>
      </c>
      <c r="NI60" s="32">
        <v>7.0000000000000007E-2</v>
      </c>
      <c r="NJ60" s="32">
        <v>1399.3524336666667</v>
      </c>
      <c r="NK60" s="32">
        <v>16.462969807843137</v>
      </c>
      <c r="NL60" s="32">
        <v>158.83549107189543</v>
      </c>
      <c r="NM60" s="32">
        <v>1.8686528361399464</v>
      </c>
      <c r="NN60" s="32">
        <v>779.09396236928103</v>
      </c>
      <c r="NO60" s="32">
        <v>9.1658113219915407</v>
      </c>
      <c r="NP60" s="32">
        <v>267.9646128695652</v>
      </c>
      <c r="NQ60" s="32">
        <v>3.1525248572890026</v>
      </c>
      <c r="NR60" s="32">
        <v>1424.9476602695654</v>
      </c>
      <c r="NS60" s="32">
        <v>16.764090120818416</v>
      </c>
      <c r="NT60" s="32">
        <v>0.1</v>
      </c>
      <c r="NU60" s="32">
        <v>-171.42369331578951</v>
      </c>
      <c r="NV60" s="8">
        <v>-2.0167493331269353</v>
      </c>
      <c r="NW60" s="32">
        <v>1321.8931952631581</v>
      </c>
      <c r="NX60" s="32">
        <v>-0.91411921826625375</v>
      </c>
      <c r="NY60" s="32">
        <v>0.151</v>
      </c>
      <c r="NZ60" s="32">
        <v>50228.812570499998</v>
      </c>
      <c r="OA60" s="32">
        <v>163867.90792550004</v>
      </c>
      <c r="OB60" s="32">
        <v>0.152</v>
      </c>
      <c r="OC60" s="32">
        <v>9.7000000000000003E-2</v>
      </c>
      <c r="OD60" s="32">
        <v>65.789473684210535</v>
      </c>
      <c r="OE60" s="32">
        <v>9.6654090623807267</v>
      </c>
      <c r="OF60" s="32">
        <v>10.431422522131623</v>
      </c>
      <c r="OG60" s="32">
        <v>16.30610123813263</v>
      </c>
      <c r="OH60" s="32">
        <v>85.152969292638844</v>
      </c>
      <c r="OI60" s="32">
        <v>9.6654090623807267</v>
      </c>
      <c r="OJ60" s="32">
        <v>10.431422522131623</v>
      </c>
      <c r="OK60" s="32">
        <v>16.30610123813263</v>
      </c>
      <c r="OL60" s="32">
        <v>0.22225000487702076</v>
      </c>
      <c r="OM60" s="32">
        <v>10.683583068148227</v>
      </c>
      <c r="ON60" s="69"/>
      <c r="OO60" s="32">
        <v>-7.4637776312311752</v>
      </c>
      <c r="OP60" s="32">
        <v>-64.469121497829576</v>
      </c>
      <c r="OQ60" s="32">
        <v>16.14454147868646</v>
      </c>
      <c r="OR60" s="32">
        <v>-2.3031977572363469</v>
      </c>
      <c r="OS60" s="32">
        <v>12.080536912751668</v>
      </c>
      <c r="OT60" s="32">
        <v>40.761949228930931</v>
      </c>
      <c r="OU60" s="32">
        <v>5.7507987220447339</v>
      </c>
      <c r="OV60" s="32">
        <v>-134.55737977773123</v>
      </c>
      <c r="OW60" s="32">
        <v>24.132578615770068</v>
      </c>
      <c r="OX60" s="32">
        <v>-60.242989011404404</v>
      </c>
      <c r="OY60" s="32">
        <v>20.785870281004499</v>
      </c>
    </row>
    <row r="61" spans="1:415" ht="15.75" customHeight="1" x14ac:dyDescent="0.25">
      <c r="A61" s="10">
        <v>60</v>
      </c>
      <c r="B61" s="3" t="s">
        <v>372</v>
      </c>
      <c r="C61" s="3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9"/>
      <c r="K61" s="32">
        <v>989.689976</v>
      </c>
      <c r="L61" s="32">
        <v>16.277795657894739</v>
      </c>
      <c r="M61" s="32">
        <v>0.20200000000000001</v>
      </c>
      <c r="N61" s="32">
        <v>625.08142031740613</v>
      </c>
      <c r="O61" s="32">
        <v>10.280944413115233</v>
      </c>
      <c r="P61" s="32">
        <v>304.6737345904437</v>
      </c>
      <c r="Q61" s="32">
        <v>5.0110811610270352</v>
      </c>
      <c r="R61" s="32">
        <v>464.87757745392491</v>
      </c>
      <c r="S61" s="32">
        <v>7.6460127870711334</v>
      </c>
      <c r="T61" s="32">
        <v>0.29199999999999998</v>
      </c>
      <c r="U61" s="32">
        <v>0.05</v>
      </c>
      <c r="V61" s="32">
        <v>32.212647466593268</v>
      </c>
      <c r="W61" s="32">
        <v>67.663072040211219</v>
      </c>
      <c r="X61" s="32">
        <v>77.094998719034166</v>
      </c>
      <c r="Y61" s="32">
        <v>98.220314907746257</v>
      </c>
      <c r="Z61" s="32">
        <v>0.4344431990782211</v>
      </c>
      <c r="AA61" s="32">
        <v>2.2780652985243468</v>
      </c>
      <c r="AB61" s="69"/>
      <c r="AC61" s="32">
        <v>451.81654200000003</v>
      </c>
      <c r="AD61" s="32">
        <v>7.431193125000001</v>
      </c>
      <c r="AE61" s="32">
        <v>1.7000000000000001E-2</v>
      </c>
      <c r="AF61" s="32">
        <v>1149.2342270000001</v>
      </c>
      <c r="AG61" s="32">
        <v>18.901878733552635</v>
      </c>
      <c r="AH61" s="32">
        <v>0.11</v>
      </c>
      <c r="AI61" s="32">
        <v>742.41510441489356</v>
      </c>
      <c r="AJ61" s="32">
        <v>12.210774743666013</v>
      </c>
      <c r="AK61" s="32">
        <v>297.85433616489365</v>
      </c>
      <c r="AL61" s="32">
        <v>4.8989200027120665</v>
      </c>
      <c r="AM61" s="32">
        <v>520.13472028989361</v>
      </c>
      <c r="AN61" s="32">
        <v>8.5548473731890393</v>
      </c>
      <c r="AO61" s="32">
        <v>0.187</v>
      </c>
      <c r="AP61" s="32">
        <v>0.05</v>
      </c>
      <c r="AQ61" s="32">
        <v>32.530645009738727</v>
      </c>
      <c r="AR61" s="32">
        <v>67.469354990261266</v>
      </c>
      <c r="AS61" s="32">
        <v>90.592319785117908</v>
      </c>
      <c r="AT61" s="32">
        <v>97.285752592307148</v>
      </c>
      <c r="AU61" s="32">
        <v>0.21894732718145371</v>
      </c>
      <c r="AV61" s="32">
        <v>5.2489073138927456</v>
      </c>
      <c r="AW61" s="69"/>
      <c r="AX61" s="32">
        <v>17.160363039380535</v>
      </c>
      <c r="AY61" s="32">
        <v>14.918177163662694</v>
      </c>
      <c r="AZ61" s="32">
        <v>-58.974358974358985</v>
      </c>
      <c r="BA61" s="32">
        <v>-43.84133611691022</v>
      </c>
      <c r="BB61" s="32">
        <v>0.98233355451210258</v>
      </c>
      <c r="BC61" s="69"/>
      <c r="BD61" s="32">
        <v>1386.4134970000002</v>
      </c>
      <c r="BE61" s="32">
        <v>22.802853569078952</v>
      </c>
      <c r="BF61" s="32">
        <v>1.7000000000000001E-2</v>
      </c>
      <c r="BG61" s="32">
        <v>1516.6168939999995</v>
      </c>
      <c r="BH61" s="32">
        <v>24.944356809210522</v>
      </c>
      <c r="BI61" s="32">
        <v>6.9000000000000006E-2</v>
      </c>
      <c r="BJ61" s="32">
        <v>1015.2272366312059</v>
      </c>
      <c r="BK61" s="32">
        <v>16.697816391960625</v>
      </c>
      <c r="BL61" s="32">
        <v>105.87974519858156</v>
      </c>
      <c r="BM61" s="32">
        <v>1.7414431776082495</v>
      </c>
      <c r="BN61" s="32">
        <v>560.5534909148937</v>
      </c>
      <c r="BO61" s="32">
        <v>9.219629784784436</v>
      </c>
      <c r="BP61" s="32">
        <v>214.65106736842105</v>
      </c>
      <c r="BQ61" s="32">
        <v>3.5304451869806095</v>
      </c>
      <c r="BR61" s="32">
        <v>965.65198543157896</v>
      </c>
      <c r="BS61" s="32">
        <v>15.882433970914128</v>
      </c>
      <c r="BT61" s="32">
        <v>8.2000000000000003E-2</v>
      </c>
      <c r="BU61" s="32">
        <v>-118.75668102173914</v>
      </c>
      <c r="BV61" s="8">
        <v>-1.9532348852259729</v>
      </c>
      <c r="BW61" s="32">
        <v>1117.6109075869565</v>
      </c>
      <c r="BX61" s="32" t="s">
        <v>34</v>
      </c>
      <c r="BY61" s="32">
        <v>5.8000000000000003E-2</v>
      </c>
      <c r="BZ61" s="32">
        <v>50675.065801999997</v>
      </c>
      <c r="CA61" s="32">
        <v>91069.339697499992</v>
      </c>
      <c r="CB61" s="32">
        <v>0.14000000000000001</v>
      </c>
      <c r="CC61" s="32">
        <v>0.1</v>
      </c>
      <c r="CD61" s="32">
        <v>58.571428571428562</v>
      </c>
      <c r="CE61" s="32">
        <v>10.011330657787179</v>
      </c>
      <c r="CF61" s="32">
        <v>8.9257895221172046</v>
      </c>
      <c r="CG61" s="32">
        <v>18.095342451334066</v>
      </c>
      <c r="CH61" s="32">
        <v>85.584873804666245</v>
      </c>
      <c r="CI61" s="32">
        <v>10.011330657787179</v>
      </c>
      <c r="CJ61" s="32">
        <v>34.471971880397525</v>
      </c>
      <c r="CK61" s="32">
        <v>18.095342451334066</v>
      </c>
      <c r="CL61" s="32">
        <v>25.323421798643285</v>
      </c>
      <c r="CM61" s="32" t="s">
        <v>34</v>
      </c>
      <c r="CN61" s="32" t="s">
        <v>34</v>
      </c>
      <c r="CO61" s="32" t="s">
        <v>34</v>
      </c>
      <c r="CP61" s="32" t="s">
        <v>34</v>
      </c>
      <c r="CQ61" s="17" t="s">
        <v>34</v>
      </c>
      <c r="CR61" s="69"/>
      <c r="CS61" s="32">
        <v>1265.659805</v>
      </c>
      <c r="CT61" s="32">
        <v>20.816773108552631</v>
      </c>
      <c r="CU61" s="32">
        <v>0.02</v>
      </c>
      <c r="CV61" s="32">
        <v>1602.2410089999998</v>
      </c>
      <c r="CW61" s="32">
        <v>26.352648174342104</v>
      </c>
      <c r="CX61" s="32">
        <v>5.7000000000000002E-2</v>
      </c>
      <c r="CY61" s="32">
        <v>1031.0793383253967</v>
      </c>
      <c r="CZ61" s="32">
        <v>16.958541748772973</v>
      </c>
      <c r="DA61" s="32">
        <v>129.6410443015873</v>
      </c>
      <c r="DB61" s="32">
        <v>2.1322540181182124</v>
      </c>
      <c r="DC61" s="32">
        <v>580.36019131349201</v>
      </c>
      <c r="DD61" s="32">
        <v>9.5453978834455935</v>
      </c>
      <c r="DE61" s="32">
        <v>221.82506498947367</v>
      </c>
      <c r="DF61" s="32">
        <v>3.6484385689058172</v>
      </c>
      <c r="DG61" s="32">
        <v>1018.4489933578947</v>
      </c>
      <c r="DH61" s="32">
        <v>16.750805811807478</v>
      </c>
      <c r="DI61" s="32">
        <v>8.2000000000000003E-2</v>
      </c>
      <c r="DJ61" s="32">
        <v>-152.85837393548388</v>
      </c>
      <c r="DK61" s="8">
        <v>-2.5141179923599326</v>
      </c>
      <c r="DL61" s="32">
        <v>1069.7852341935484</v>
      </c>
      <c r="DM61" s="32">
        <v>-1.7835939669991516</v>
      </c>
      <c r="DN61" s="32">
        <v>4.2000000000000003E-2</v>
      </c>
      <c r="DO61" s="32">
        <v>32373.375639000005</v>
      </c>
      <c r="DP61" s="32">
        <v>96755.287290499997</v>
      </c>
      <c r="DQ61" s="32">
        <v>0.125</v>
      </c>
      <c r="DR61" s="32">
        <v>0.1</v>
      </c>
      <c r="DS61" s="32">
        <v>65.600000000000009</v>
      </c>
      <c r="DT61" s="32">
        <v>10.489297303102799</v>
      </c>
      <c r="DU61" s="32">
        <v>12.367818680542046</v>
      </c>
      <c r="DV61" s="32">
        <v>17.947935150397427</v>
      </c>
      <c r="DW61" s="32">
        <v>83.424950647741611</v>
      </c>
      <c r="DX61" s="32">
        <v>10.489297303102799</v>
      </c>
      <c r="DY61" s="32">
        <v>12.367818680542046</v>
      </c>
      <c r="DZ61" s="32">
        <v>17.947935150397427</v>
      </c>
      <c r="EA61" s="32">
        <v>0.15359073659149403</v>
      </c>
      <c r="EB61" s="32">
        <v>10.431885701944951</v>
      </c>
      <c r="EC61" s="69"/>
      <c r="ED61" s="32">
        <v>1.5493379035374564</v>
      </c>
      <c r="EE61" s="32">
        <v>25.110311296342136</v>
      </c>
      <c r="EF61" s="32">
        <v>3.2872347829412134</v>
      </c>
      <c r="EG61" s="32">
        <v>5.4907352411047192</v>
      </c>
      <c r="EH61" s="32">
        <v>-19.047619047619051</v>
      </c>
      <c r="EI61" s="32">
        <v>-9.1063615706953946</v>
      </c>
      <c r="EJ61" s="32">
        <v>-11.320754716981142</v>
      </c>
      <c r="EK61" s="32">
        <v>149.03693485172261</v>
      </c>
      <c r="EL61" s="32">
        <v>-16.106111654928199</v>
      </c>
      <c r="EM61" s="32">
        <v>21.059674674218844</v>
      </c>
      <c r="EN61" s="32">
        <v>-0.81794615109896252</v>
      </c>
      <c r="EO61" s="69"/>
      <c r="EP61" s="32">
        <v>958.88839199999995</v>
      </c>
      <c r="EQ61" s="32">
        <v>15.771190657894737</v>
      </c>
      <c r="ER61" s="32">
        <v>0.184</v>
      </c>
      <c r="ES61" s="32">
        <v>588.09780695759707</v>
      </c>
      <c r="ET61" s="32">
        <v>9.6726612986446892</v>
      </c>
      <c r="EU61" s="32">
        <v>316.52677453710254</v>
      </c>
      <c r="EV61" s="32">
        <v>5.2060324759391872</v>
      </c>
      <c r="EW61" s="32">
        <v>452.31229074734983</v>
      </c>
      <c r="EX61" s="32">
        <v>7.4393468872919382</v>
      </c>
      <c r="EY61" s="32">
        <v>0.28199999999999997</v>
      </c>
      <c r="EZ61" s="32">
        <v>3.1E-2</v>
      </c>
      <c r="FA61" s="32">
        <v>36.542223114361349</v>
      </c>
      <c r="FB61" s="32">
        <v>63.457776885638644</v>
      </c>
      <c r="FC61" s="32">
        <v>56.522931292893134</v>
      </c>
      <c r="FD61" s="32">
        <v>75.046047638735089</v>
      </c>
      <c r="FE61" s="32">
        <v>0.3740280411010069</v>
      </c>
      <c r="FF61" s="32">
        <v>2.5636804908460071</v>
      </c>
      <c r="FG61" s="69"/>
      <c r="FH61" s="32">
        <v>898.98038600000007</v>
      </c>
      <c r="FI61" s="32">
        <v>14.785861611842106</v>
      </c>
      <c r="FJ61" s="32">
        <v>1.2999999999999999E-2</v>
      </c>
      <c r="FK61" s="32">
        <v>1042.384497</v>
      </c>
      <c r="FL61" s="32">
        <v>17.144481858552634</v>
      </c>
      <c r="FM61" s="32">
        <v>0.13500000000000001</v>
      </c>
      <c r="FN61" s="32">
        <v>731.24042276991156</v>
      </c>
      <c r="FO61" s="32">
        <v>12.026980637663019</v>
      </c>
      <c r="FP61" s="32">
        <v>226.61669960619469</v>
      </c>
      <c r="FQ61" s="32">
        <v>3.7272483487860968</v>
      </c>
      <c r="FR61" s="32">
        <v>478.9285611880531</v>
      </c>
      <c r="FS61" s="32">
        <v>7.8771144932245578</v>
      </c>
      <c r="FT61" s="32">
        <v>0.22500000000000001</v>
      </c>
      <c r="FU61" s="32">
        <v>3.1E-2</v>
      </c>
      <c r="FV61" s="32">
        <v>27.206555989203917</v>
      </c>
      <c r="FW61" s="32">
        <v>72.79344401079608</v>
      </c>
      <c r="FX61" s="32">
        <v>77.215080587309586</v>
      </c>
      <c r="FY61" s="32">
        <v>98.166510464308487</v>
      </c>
      <c r="FZ61" s="32">
        <v>0.33235026382411836</v>
      </c>
      <c r="GA61" s="32">
        <v>3.1364033986494313</v>
      </c>
      <c r="GB61" s="69"/>
      <c r="GC61" s="32">
        <v>21.699153801050493</v>
      </c>
      <c r="GD61" s="32">
        <v>8.344299816275587</v>
      </c>
      <c r="GE61" s="32">
        <v>-30.721003134796231</v>
      </c>
      <c r="GF61" s="32">
        <v>-22.485207100591705</v>
      </c>
      <c r="GG61" s="32">
        <v>-29.288928373015121</v>
      </c>
      <c r="GH61" s="69"/>
      <c r="GI61" s="32">
        <v>1627.2177049999998</v>
      </c>
      <c r="GJ61" s="32">
        <v>26.763449095394733</v>
      </c>
      <c r="GK61" s="32">
        <v>0.04</v>
      </c>
      <c r="GL61" s="32">
        <v>1640.1658599999998</v>
      </c>
      <c r="GM61" s="32">
        <v>26.97641217105263</v>
      </c>
      <c r="GN61" s="32">
        <v>6.2E-2</v>
      </c>
      <c r="GO61" s="32">
        <v>1083.0489319568346</v>
      </c>
      <c r="GP61" s="32">
        <v>17.813304801921621</v>
      </c>
      <c r="GQ61" s="32">
        <v>86.415458913669056</v>
      </c>
      <c r="GR61" s="32">
        <v>1.4213068900274517</v>
      </c>
      <c r="GS61" s="32">
        <v>584.73219543525181</v>
      </c>
      <c r="GT61" s="32">
        <v>9.6173058459745366</v>
      </c>
      <c r="GU61" s="32">
        <v>196.31597186516854</v>
      </c>
      <c r="GV61" s="32">
        <v>3.2288811162034299</v>
      </c>
      <c r="GW61" s="32">
        <v>974.2358943932586</v>
      </c>
      <c r="GX61" s="32">
        <v>16.02361668409965</v>
      </c>
      <c r="GY61" s="32">
        <v>7.9000000000000001E-2</v>
      </c>
      <c r="GZ61" s="32">
        <v>-109.20745414000001</v>
      </c>
      <c r="HA61" s="8">
        <v>-1.7961752325657898</v>
      </c>
      <c r="HB61" s="32">
        <v>1276.73613882</v>
      </c>
      <c r="HC61" s="32">
        <v>-0.82109734802631573</v>
      </c>
      <c r="HD61" s="32">
        <v>5.8999999999999997E-2</v>
      </c>
      <c r="HE61" s="32">
        <v>63017.391271500004</v>
      </c>
      <c r="HF61" s="32">
        <v>85965.971418000001</v>
      </c>
      <c r="HG61" s="32">
        <v>0.13800000000000001</v>
      </c>
      <c r="HH61" s="32">
        <v>0.112</v>
      </c>
      <c r="HI61" s="32">
        <v>57.246376811594203</v>
      </c>
      <c r="HJ61" s="32">
        <v>9.2227166478477756</v>
      </c>
      <c r="HK61" s="32">
        <v>7.2979019411330182</v>
      </c>
      <c r="HL61" s="32">
        <v>16.579148339436834</v>
      </c>
      <c r="HM61" s="32">
        <v>91.464941599929233</v>
      </c>
      <c r="HN61" s="32">
        <v>9.2227166478477756</v>
      </c>
      <c r="HO61" s="32">
        <v>30.843210042572029</v>
      </c>
      <c r="HP61" s="32">
        <v>16.579148339436834</v>
      </c>
      <c r="HQ61" s="32">
        <v>22.731733276139387</v>
      </c>
      <c r="HR61" s="32">
        <v>57.246376811594203</v>
      </c>
      <c r="HS61" s="32" t="s">
        <v>34</v>
      </c>
      <c r="HT61" s="32" t="s">
        <v>34</v>
      </c>
      <c r="HU61" s="32" t="s">
        <v>34</v>
      </c>
      <c r="HV61" s="32" t="s">
        <v>34</v>
      </c>
      <c r="HW61" s="17" t="s">
        <v>34</v>
      </c>
      <c r="HX61" s="69"/>
      <c r="HY61" s="32">
        <v>1572.864059</v>
      </c>
      <c r="HZ61" s="32">
        <v>25.869474654605263</v>
      </c>
      <c r="IA61" s="32">
        <v>1.7999999999999999E-2</v>
      </c>
      <c r="IB61" s="32">
        <v>1834.947942</v>
      </c>
      <c r="IC61" s="32">
        <v>30.180064835526316</v>
      </c>
      <c r="ID61" s="32">
        <v>3.9E-2</v>
      </c>
      <c r="IE61" s="32">
        <v>1161.6035048992248</v>
      </c>
      <c r="IF61" s="32">
        <v>19.105320804263567</v>
      </c>
      <c r="IG61" s="32">
        <v>73.56788886821704</v>
      </c>
      <c r="IH61" s="32">
        <v>1.2099981721746225</v>
      </c>
      <c r="II61" s="32">
        <v>617.58569688372097</v>
      </c>
      <c r="IJ61" s="32">
        <v>10.157659488219096</v>
      </c>
      <c r="IK61" s="32">
        <v>208.89727548192772</v>
      </c>
      <c r="IL61" s="32">
        <v>3.4358104520053905</v>
      </c>
      <c r="IM61" s="32">
        <v>1024.0044256144579</v>
      </c>
      <c r="IN61" s="32">
        <v>16.842178052869375</v>
      </c>
      <c r="IO61" s="32">
        <v>7.3999999999999996E-2</v>
      </c>
      <c r="IP61" s="32">
        <v>-170.61339567391306</v>
      </c>
      <c r="IQ61" s="8">
        <v>-2.8061413762156753</v>
      </c>
      <c r="IR61" s="32">
        <v>1409.880104478261</v>
      </c>
      <c r="IS61" s="32">
        <v>-0.34759123355263155</v>
      </c>
      <c r="IT61" s="32">
        <v>5.3999999999999999E-2</v>
      </c>
      <c r="IU61" s="32">
        <v>63953.060827499998</v>
      </c>
      <c r="IV61" s="32">
        <v>84206.016453999997</v>
      </c>
      <c r="IW61" s="32">
        <v>0.128</v>
      </c>
      <c r="IX61" s="32">
        <v>0.112</v>
      </c>
      <c r="IY61" s="32">
        <v>57.8125</v>
      </c>
      <c r="IZ61" s="32">
        <v>5.421965152978796</v>
      </c>
      <c r="JA61" s="32">
        <v>12.574234495601877</v>
      </c>
      <c r="JB61" s="32">
        <v>15.395762548577723</v>
      </c>
      <c r="JC61" s="32">
        <v>85.610363733878785</v>
      </c>
      <c r="JD61" s="32">
        <v>5.421965152978796</v>
      </c>
      <c r="JE61" s="32">
        <v>12.574234495601877</v>
      </c>
      <c r="JF61" s="32">
        <v>15.395762548577723</v>
      </c>
      <c r="JG61" s="32">
        <v>0.18684615782603206</v>
      </c>
      <c r="JH61" s="32">
        <v>9.8206351329336705</v>
      </c>
      <c r="JI61" s="69"/>
      <c r="JJ61" s="32">
        <v>6.9992638194282382</v>
      </c>
      <c r="JK61" s="32">
        <v>43.889468261388906</v>
      </c>
      <c r="JL61" s="32">
        <v>6.2097197952574987</v>
      </c>
      <c r="JM61" s="32">
        <v>11.210112422096742</v>
      </c>
      <c r="JN61" s="32">
        <v>-45.544554455445542</v>
      </c>
      <c r="JO61" s="32">
        <v>-3.3970160769929509</v>
      </c>
      <c r="JP61" s="32">
        <v>-7.5187969924812093</v>
      </c>
      <c r="JQ61" s="32">
        <v>136.16379159998669</v>
      </c>
      <c r="JR61" s="32">
        <v>29.496169641939368</v>
      </c>
      <c r="JS61" s="32">
        <v>30.75217103251881</v>
      </c>
      <c r="JT61" s="32">
        <v>-7.4019645903231597</v>
      </c>
      <c r="JU61" s="69"/>
      <c r="JV61" s="32">
        <v>964.00997300000006</v>
      </c>
      <c r="JW61" s="32">
        <v>15.855427187500002</v>
      </c>
      <c r="JX61" s="32">
        <v>0.17299999999999999</v>
      </c>
      <c r="JY61" s="32">
        <v>625.87073007380059</v>
      </c>
      <c r="JZ61" s="32">
        <v>10.293926481476984</v>
      </c>
      <c r="KA61" s="32">
        <v>319.35842638376386</v>
      </c>
      <c r="KB61" s="32">
        <v>5.2526056971013793</v>
      </c>
      <c r="KC61" s="32">
        <v>472.61457822878219</v>
      </c>
      <c r="KD61" s="32">
        <v>7.7732660892891809</v>
      </c>
      <c r="KE61" s="32">
        <v>0.27</v>
      </c>
      <c r="KF61" s="32">
        <v>5.5E-2</v>
      </c>
      <c r="KG61" s="32">
        <v>34.738597880512202</v>
      </c>
      <c r="KH61" s="32">
        <v>65.261402119487812</v>
      </c>
      <c r="KI61" s="32">
        <v>50.924404374825492</v>
      </c>
      <c r="KJ61" s="32">
        <v>84.444476391941024</v>
      </c>
      <c r="KK61" s="32">
        <v>0.38147401696434363</v>
      </c>
      <c r="KL61" s="32">
        <v>2.5270658816327876</v>
      </c>
      <c r="KM61" s="69"/>
      <c r="KN61" s="32">
        <v>740.24768999999992</v>
      </c>
      <c r="KO61" s="32">
        <v>12.175126480263158</v>
      </c>
      <c r="KP61" s="32">
        <v>1.4E-2</v>
      </c>
      <c r="KQ61" s="32">
        <v>1153.2917799999998</v>
      </c>
      <c r="KR61" s="32">
        <v>18.968614802631578</v>
      </c>
      <c r="KS61" s="32">
        <v>0.12</v>
      </c>
      <c r="KT61" s="32">
        <v>767.74083160909095</v>
      </c>
      <c r="KU61" s="32">
        <v>12.627316309360049</v>
      </c>
      <c r="KV61" s="32">
        <v>223.12149496818182</v>
      </c>
      <c r="KW61" s="32">
        <v>3.6697614303977275</v>
      </c>
      <c r="KX61" s="32">
        <v>495.43116328863641</v>
      </c>
      <c r="KY61" s="32">
        <v>8.1485388698788892</v>
      </c>
      <c r="KZ61" s="32">
        <v>0.219</v>
      </c>
      <c r="LA61" s="32">
        <v>5.5E-2</v>
      </c>
      <c r="LB61" s="32">
        <v>27.19574327693045</v>
      </c>
      <c r="LC61" s="32">
        <v>72.804256723069543</v>
      </c>
      <c r="LD61" s="32">
        <v>55.263196296213422</v>
      </c>
      <c r="LE61" s="32">
        <v>98.250066413248888</v>
      </c>
      <c r="LF61" s="32">
        <v>0.3352445433767528</v>
      </c>
      <c r="LG61" s="32">
        <v>3.4401507877904915</v>
      </c>
      <c r="LH61" s="69"/>
      <c r="LI61" s="32">
        <v>20.360063799122255</v>
      </c>
      <c r="LJ61" s="32">
        <v>17.879530561178331</v>
      </c>
      <c r="LK61" s="32">
        <v>-36.177474402730368</v>
      </c>
      <c r="LL61" s="32">
        <v>-20.85889570552148</v>
      </c>
      <c r="LM61" s="32">
        <v>-24.357584056338432</v>
      </c>
      <c r="LN61" s="69"/>
      <c r="LO61" s="32">
        <v>1547.4185199999999</v>
      </c>
      <c r="LP61" s="32">
        <v>25.450962499999999</v>
      </c>
      <c r="LQ61" s="32">
        <v>3.7999999999999999E-2</v>
      </c>
      <c r="LR61" s="32">
        <v>1582.9268640000003</v>
      </c>
      <c r="LS61" s="32">
        <v>26.03498131578948</v>
      </c>
      <c r="LT61" s="32">
        <v>6.6000000000000003E-2</v>
      </c>
      <c r="LU61" s="32">
        <v>1046.633458510345</v>
      </c>
      <c r="LV61" s="32">
        <v>17.214366093920148</v>
      </c>
      <c r="LW61" s="32">
        <v>74.546752262068964</v>
      </c>
      <c r="LX61" s="32">
        <v>1.2260978990471869</v>
      </c>
      <c r="LY61" s="32">
        <v>560.59010538620703</v>
      </c>
      <c r="LZ61" s="32">
        <v>9.220231996483669</v>
      </c>
      <c r="MA61" s="32">
        <v>193.21897211111113</v>
      </c>
      <c r="MB61" s="32">
        <v>3.1779436202485383</v>
      </c>
      <c r="MC61" s="32">
        <v>903.9482971777777</v>
      </c>
      <c r="MD61" s="32">
        <v>14.867570677266082</v>
      </c>
      <c r="ME61" s="32">
        <v>8.2000000000000003E-2</v>
      </c>
      <c r="MF61" s="32">
        <v>-119.64415294545454</v>
      </c>
      <c r="MG61" s="8">
        <v>-1.9678314629186602</v>
      </c>
      <c r="MH61" s="32">
        <v>1280.1182679636365</v>
      </c>
      <c r="MI61" s="32">
        <v>-0.49717275179425841</v>
      </c>
      <c r="MJ61" s="32">
        <v>6.2E-2</v>
      </c>
      <c r="MK61" s="32">
        <v>69604.527661999993</v>
      </c>
      <c r="ML61" s="32">
        <v>80619.968134999988</v>
      </c>
      <c r="MM61" s="32">
        <v>0.14399999999999999</v>
      </c>
      <c r="MN61" s="32">
        <v>0.111</v>
      </c>
      <c r="MO61" s="32">
        <v>56.94444444444445</v>
      </c>
      <c r="MP61" s="32">
        <v>10.359020799480525</v>
      </c>
      <c r="MQ61" s="32">
        <v>6.4544011404264152</v>
      </c>
      <c r="MR61" s="32">
        <v>16.729270103702881</v>
      </c>
      <c r="MS61" s="32">
        <v>90.619537179420576</v>
      </c>
      <c r="MT61" s="32">
        <v>10.359020799480525</v>
      </c>
      <c r="MU61" s="32">
        <v>30.429993279277085</v>
      </c>
      <c r="MV61" s="32">
        <v>16.729270103702881</v>
      </c>
      <c r="MW61" s="32">
        <v>21.726736590736195</v>
      </c>
      <c r="MX61" s="32" t="s">
        <v>34</v>
      </c>
      <c r="MY61" s="32" t="s">
        <v>34</v>
      </c>
      <c r="MZ61" s="32" t="s">
        <v>34</v>
      </c>
      <c r="NA61" s="32" t="s">
        <v>34</v>
      </c>
      <c r="NB61" s="17" t="s">
        <v>34</v>
      </c>
      <c r="NC61" s="69"/>
      <c r="ND61" s="32">
        <v>1529.1143089999998</v>
      </c>
      <c r="NE61" s="32">
        <v>25.149906398026314</v>
      </c>
      <c r="NF61" s="32">
        <v>2.1000000000000001E-2</v>
      </c>
      <c r="NG61" s="32">
        <v>1748.4582929999999</v>
      </c>
      <c r="NH61" s="32">
        <v>28.75753771381579</v>
      </c>
      <c r="NI61" s="32">
        <v>6.4000000000000001E-2</v>
      </c>
      <c r="NJ61" s="32">
        <v>1078.528142228188</v>
      </c>
      <c r="NK61" s="32">
        <v>17.73894970770046</v>
      </c>
      <c r="NL61" s="32">
        <v>57.098960134228172</v>
      </c>
      <c r="NM61" s="32">
        <v>0.93912763378664765</v>
      </c>
      <c r="NN61" s="32">
        <v>567.81355118120814</v>
      </c>
      <c r="NO61" s="32">
        <v>9.3390386707435553</v>
      </c>
      <c r="NP61" s="32">
        <v>209.04966068965516</v>
      </c>
      <c r="NQ61" s="32">
        <v>3.4383167876588021</v>
      </c>
      <c r="NR61" s="32">
        <v>924.49521366666647</v>
      </c>
      <c r="NS61" s="32">
        <v>15.205513382675436</v>
      </c>
      <c r="NT61" s="32">
        <v>8.4000000000000005E-2</v>
      </c>
      <c r="NU61" s="32">
        <v>-156.12218419354841</v>
      </c>
      <c r="NV61" s="8">
        <v>-2.5677990821307306</v>
      </c>
      <c r="NW61" s="32">
        <v>1294.6711226290324</v>
      </c>
      <c r="NX61" s="32">
        <v>0.23619969280560271</v>
      </c>
      <c r="NY61" s="32">
        <v>0.14699999999999999</v>
      </c>
      <c r="NZ61" s="32">
        <v>80267.743114500001</v>
      </c>
      <c r="OA61" s="32">
        <v>80430.506511</v>
      </c>
      <c r="OB61" s="32">
        <v>0.14799999999999999</v>
      </c>
      <c r="OC61" s="32">
        <v>0.111</v>
      </c>
      <c r="OD61" s="32">
        <v>56.756756756756765</v>
      </c>
      <c r="OE61" s="32">
        <v>4.5117748500508021</v>
      </c>
      <c r="OF61" s="32">
        <v>12.33626921617444</v>
      </c>
      <c r="OG61" s="32">
        <v>16.518426943222813</v>
      </c>
      <c r="OH61" s="32">
        <v>85.221799761991917</v>
      </c>
      <c r="OI61" s="32">
        <v>4.5117748500508021</v>
      </c>
      <c r="OJ61" s="32">
        <v>12.33626921617444</v>
      </c>
      <c r="OK61" s="32">
        <v>16.518426943222813</v>
      </c>
      <c r="OL61" s="32">
        <v>0.2312132999528006</v>
      </c>
      <c r="OM61" s="32">
        <v>7.5621008538735719</v>
      </c>
      <c r="ON61" s="69"/>
      <c r="OO61" s="32">
        <v>3.0016243194643666</v>
      </c>
      <c r="OP61" s="32">
        <v>26.455753538697319</v>
      </c>
      <c r="OQ61" s="32">
        <v>7.8707049407874541</v>
      </c>
      <c r="OR61" s="32">
        <v>9.9376938539922577</v>
      </c>
      <c r="OS61" s="32">
        <v>-3.0769230769230793</v>
      </c>
      <c r="OT61" s="32">
        <v>-1.1899246338255227</v>
      </c>
      <c r="OU61" s="32">
        <v>2.7397260273972628</v>
      </c>
      <c r="OV61" s="32">
        <v>122.77460240715374</v>
      </c>
      <c r="OW61" s="32">
        <v>35.429420284017802</v>
      </c>
      <c r="OX61" s="32">
        <v>17.424306235611265</v>
      </c>
      <c r="OY61" s="32">
        <v>-1.2683173825993648</v>
      </c>
    </row>
    <row r="62" spans="1:415" ht="15.75" x14ac:dyDescent="0.25">
      <c r="A62" s="10">
        <v>61</v>
      </c>
      <c r="B62" s="3" t="s">
        <v>374</v>
      </c>
      <c r="C62" s="3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9"/>
      <c r="K62" s="32">
        <v>1344.9360129999998</v>
      </c>
      <c r="L62" s="32">
        <v>15.916402520710056</v>
      </c>
      <c r="M62" s="32">
        <v>0.25</v>
      </c>
      <c r="N62" s="32">
        <v>796.00608054210534</v>
      </c>
      <c r="O62" s="32">
        <v>9.4201903022734363</v>
      </c>
      <c r="P62" s="32">
        <v>318.30408156315787</v>
      </c>
      <c r="Q62" s="32">
        <v>3.7669122078480219</v>
      </c>
      <c r="R62" s="32">
        <v>557.15508105263166</v>
      </c>
      <c r="S62" s="32">
        <v>6.5935512550607296</v>
      </c>
      <c r="T62" s="32">
        <v>0.379</v>
      </c>
      <c r="U62" s="32">
        <v>3.4000000000000002E-2</v>
      </c>
      <c r="V62" s="32">
        <v>30.386994926135117</v>
      </c>
      <c r="W62" s="32">
        <v>69.613005073864898</v>
      </c>
      <c r="X62" s="32">
        <v>64.99998613707109</v>
      </c>
      <c r="Y62" s="32">
        <v>78.223017870043194</v>
      </c>
      <c r="Z62" s="32">
        <v>0.65379861810048479</v>
      </c>
      <c r="AA62" s="32">
        <v>2.0571105165494421</v>
      </c>
      <c r="AB62" s="69"/>
      <c r="AC62" s="32">
        <v>711.80854499999975</v>
      </c>
      <c r="AD62" s="32">
        <v>8.4237697633136062</v>
      </c>
      <c r="AE62" s="32">
        <v>1.9E-2</v>
      </c>
      <c r="AF62" s="32">
        <v>1563.9554360000002</v>
      </c>
      <c r="AG62" s="32">
        <v>18.50834835502959</v>
      </c>
      <c r="AH62" s="32">
        <v>0.15</v>
      </c>
      <c r="AI62" s="32">
        <v>1039.0723225261195</v>
      </c>
      <c r="AJ62" s="32">
        <v>12.29671387604875</v>
      </c>
      <c r="AK62" s="32">
        <v>248.29107180970149</v>
      </c>
      <c r="AL62" s="32">
        <v>2.9383558794047513</v>
      </c>
      <c r="AM62" s="32">
        <v>643.68169716791044</v>
      </c>
      <c r="AN62" s="32">
        <v>7.6175348777267509</v>
      </c>
      <c r="AO62" s="32">
        <v>0.26700000000000002</v>
      </c>
      <c r="AP62" s="32">
        <v>3.4000000000000002E-2</v>
      </c>
      <c r="AQ62" s="32">
        <v>22.962357467661931</v>
      </c>
      <c r="AR62" s="32">
        <v>77.037642532338069</v>
      </c>
      <c r="AS62" s="32">
        <v>65.891531182377861</v>
      </c>
      <c r="AT62" s="32">
        <v>99.170874704701987</v>
      </c>
      <c r="AU62" s="32">
        <v>0.47665594843512127</v>
      </c>
      <c r="AV62" s="32">
        <v>3.2810991683509303</v>
      </c>
      <c r="AW62" s="69"/>
      <c r="AX62" s="32">
        <v>26.491101587551885</v>
      </c>
      <c r="AY62" s="32">
        <v>15.058617816439559</v>
      </c>
      <c r="AZ62" s="32">
        <v>-50</v>
      </c>
      <c r="BA62" s="32">
        <v>-34.67492260061919</v>
      </c>
      <c r="BB62" s="32">
        <v>-27.834030312752027</v>
      </c>
      <c r="BC62" s="69"/>
      <c r="BD62" s="32">
        <v>1963.7447119999999</v>
      </c>
      <c r="BE62" s="32">
        <v>23.239582390532544</v>
      </c>
      <c r="BF62" s="32">
        <v>2.7E-2</v>
      </c>
      <c r="BG62" s="32">
        <v>2224.1515079999995</v>
      </c>
      <c r="BH62" s="32">
        <v>26.321319621301768</v>
      </c>
      <c r="BI62" s="32">
        <v>8.4000000000000005E-2</v>
      </c>
      <c r="BJ62" s="32">
        <v>1424.8482899371729</v>
      </c>
      <c r="BK62" s="32">
        <v>16.862109940084888</v>
      </c>
      <c r="BL62" s="32">
        <v>95.149061230366499</v>
      </c>
      <c r="BM62" s="32">
        <v>1.1260243932587752</v>
      </c>
      <c r="BN62" s="32">
        <v>759.99867558376968</v>
      </c>
      <c r="BO62" s="32">
        <v>8.9940671666718313</v>
      </c>
      <c r="BP62" s="32">
        <v>288.6766839423077</v>
      </c>
      <c r="BQ62" s="32">
        <v>3.4162921176604462</v>
      </c>
      <c r="BR62" s="32">
        <v>1285.0779699807692</v>
      </c>
      <c r="BS62" s="32">
        <v>15.208023313381885</v>
      </c>
      <c r="BT62" s="32">
        <v>0.104</v>
      </c>
      <c r="BU62" s="32">
        <v>-136.19430385057473</v>
      </c>
      <c r="BV62" s="8">
        <v>-1.611766909474257</v>
      </c>
      <c r="BW62" s="32">
        <v>1591.9300517241381</v>
      </c>
      <c r="BX62" s="32" t="s">
        <v>34</v>
      </c>
      <c r="BY62" s="32">
        <v>8.5999999999999993E-2</v>
      </c>
      <c r="BZ62" s="32">
        <v>137366.00166450001</v>
      </c>
      <c r="CA62" s="32">
        <v>132548.02554099998</v>
      </c>
      <c r="CB62" s="32">
        <v>0.19</v>
      </c>
      <c r="CC62" s="32" t="s">
        <v>34</v>
      </c>
      <c r="CD62" s="32">
        <v>54.73684210526315</v>
      </c>
      <c r="CE62" s="32">
        <v>8.3933013489180848</v>
      </c>
      <c r="CF62" s="32">
        <v>5.8637896108292669</v>
      </c>
      <c r="CG62" s="32">
        <v>17.790394548310225</v>
      </c>
      <c r="CH62" s="32">
        <v>87.809700815786584</v>
      </c>
      <c r="CI62" s="32">
        <v>8.3933013489180848</v>
      </c>
      <c r="CJ62" s="32">
        <v>30.029236042264724</v>
      </c>
      <c r="CK62" s="32">
        <v>17.790394548310225</v>
      </c>
      <c r="CL62" s="32">
        <v>20.803371365544699</v>
      </c>
      <c r="CM62" s="32" t="s">
        <v>34</v>
      </c>
      <c r="CN62" s="32" t="s">
        <v>34</v>
      </c>
      <c r="CO62" s="32" t="s">
        <v>34</v>
      </c>
      <c r="CP62" s="32" t="s">
        <v>34</v>
      </c>
      <c r="CQ62" s="17" t="s">
        <v>34</v>
      </c>
      <c r="CR62" s="69"/>
      <c r="CS62" s="32" t="s">
        <v>34</v>
      </c>
      <c r="CT62" s="32" t="s">
        <v>34</v>
      </c>
      <c r="CU62" s="32" t="s">
        <v>34</v>
      </c>
      <c r="CV62" s="32" t="s">
        <v>34</v>
      </c>
      <c r="CW62" s="32" t="s">
        <v>34</v>
      </c>
      <c r="CX62" s="32" t="s">
        <v>34</v>
      </c>
      <c r="CY62" s="32" t="s">
        <v>34</v>
      </c>
      <c r="CZ62" s="32" t="s">
        <v>34</v>
      </c>
      <c r="DA62" s="32" t="s">
        <v>34</v>
      </c>
      <c r="DB62" s="32" t="s">
        <v>34</v>
      </c>
      <c r="DC62" s="32" t="s">
        <v>34</v>
      </c>
      <c r="DD62" s="32" t="s">
        <v>34</v>
      </c>
      <c r="DE62" s="32" t="s">
        <v>34</v>
      </c>
      <c r="DF62" s="32" t="s">
        <v>34</v>
      </c>
      <c r="DG62" s="32" t="s">
        <v>34</v>
      </c>
      <c r="DH62" s="32" t="s">
        <v>34</v>
      </c>
      <c r="DI62" s="32" t="s">
        <v>34</v>
      </c>
      <c r="DJ62" s="32" t="s">
        <v>34</v>
      </c>
      <c r="DK62" s="8" t="s">
        <v>34</v>
      </c>
      <c r="DL62" s="32" t="s">
        <v>34</v>
      </c>
      <c r="DM62" s="32" t="s">
        <v>34</v>
      </c>
      <c r="DN62" s="32" t="s">
        <v>34</v>
      </c>
      <c r="DO62" s="32" t="s">
        <v>34</v>
      </c>
      <c r="DP62" s="32" t="s">
        <v>34</v>
      </c>
      <c r="DQ62" s="32" t="s">
        <v>34</v>
      </c>
      <c r="DR62" s="32" t="s">
        <v>34</v>
      </c>
      <c r="DS62" s="32" t="s">
        <v>34</v>
      </c>
      <c r="DT62" s="32" t="s">
        <v>34</v>
      </c>
      <c r="DU62" s="32" t="s">
        <v>34</v>
      </c>
      <c r="DV62" s="32" t="s">
        <v>34</v>
      </c>
      <c r="DW62" s="32" t="s">
        <v>34</v>
      </c>
      <c r="DX62" s="32" t="s">
        <v>34</v>
      </c>
      <c r="DY62" s="32" t="s">
        <v>34</v>
      </c>
      <c r="DZ62" s="32" t="s">
        <v>34</v>
      </c>
      <c r="EA62" s="32" t="s">
        <v>34</v>
      </c>
      <c r="EB62" s="32" t="s">
        <v>34</v>
      </c>
      <c r="EC62" s="69"/>
      <c r="ED62" s="32" t="s">
        <v>34</v>
      </c>
      <c r="EE62" s="32" t="s">
        <v>34</v>
      </c>
      <c r="EF62" s="32" t="s">
        <v>34</v>
      </c>
      <c r="EG62" s="32" t="s">
        <v>34</v>
      </c>
      <c r="EH62" s="32" t="s">
        <v>34</v>
      </c>
      <c r="EI62" s="32" t="s">
        <v>34</v>
      </c>
      <c r="EJ62" s="32" t="s">
        <v>34</v>
      </c>
      <c r="EK62" s="32" t="s">
        <v>34</v>
      </c>
      <c r="EL62" s="32" t="s">
        <v>34</v>
      </c>
      <c r="EM62" s="32" t="s">
        <v>34</v>
      </c>
      <c r="EN62" s="32" t="s">
        <v>34</v>
      </c>
      <c r="EO62" s="69"/>
      <c r="EP62" s="32">
        <v>1315.7213790000001</v>
      </c>
      <c r="EQ62" s="32">
        <v>15.570667207100593</v>
      </c>
      <c r="ER62" s="32">
        <v>0.27700000000000002</v>
      </c>
      <c r="ES62" s="32">
        <v>728.30173684337342</v>
      </c>
      <c r="ET62" s="32">
        <v>8.6189554656020526</v>
      </c>
      <c r="EU62" s="32">
        <v>246.24582529879513</v>
      </c>
      <c r="EV62" s="32">
        <v>2.9141517786839661</v>
      </c>
      <c r="EW62" s="32">
        <v>487.27378107108427</v>
      </c>
      <c r="EX62" s="32">
        <v>5.7665536221430092</v>
      </c>
      <c r="EY62" s="32">
        <v>0.41399999999999998</v>
      </c>
      <c r="EZ62" s="32">
        <v>5.8999999999999997E-2</v>
      </c>
      <c r="FA62" s="32">
        <v>27.294457795332036</v>
      </c>
      <c r="FB62" s="32">
        <v>72.705542204667964</v>
      </c>
      <c r="FC62" s="32">
        <v>78.021995432242903</v>
      </c>
      <c r="FD62" s="32">
        <v>84.345517273138526</v>
      </c>
      <c r="FE62" s="32">
        <v>0.68270499486555136</v>
      </c>
      <c r="FF62" s="32">
        <v>1.9272180354548483</v>
      </c>
      <c r="FG62" s="69"/>
      <c r="FH62" s="32">
        <v>1736.2855910000001</v>
      </c>
      <c r="FI62" s="32">
        <v>20.547758473372781</v>
      </c>
      <c r="FJ62" s="32">
        <v>0.128</v>
      </c>
      <c r="FK62" s="32">
        <v>1736.2855910000001</v>
      </c>
      <c r="FL62" s="32">
        <v>20.547758473372781</v>
      </c>
      <c r="FM62" s="32">
        <v>0.128</v>
      </c>
      <c r="FN62" s="32">
        <v>1110.9659015230768</v>
      </c>
      <c r="FO62" s="32">
        <v>13.14752546181156</v>
      </c>
      <c r="FP62" s="32">
        <v>271.64516286923077</v>
      </c>
      <c r="FQ62" s="32">
        <v>3.2147356552571691</v>
      </c>
      <c r="FR62" s="32">
        <v>691.30553219615376</v>
      </c>
      <c r="FS62" s="32">
        <v>8.1811305585343632</v>
      </c>
      <c r="FT62" s="32">
        <v>0.25900000000000001</v>
      </c>
      <c r="FU62" s="32">
        <v>5.8999999999999997E-2</v>
      </c>
      <c r="FV62" s="32">
        <v>24.610845163668433</v>
      </c>
      <c r="FW62" s="32">
        <v>75.389154836331571</v>
      </c>
      <c r="FX62" s="32">
        <v>81.366480805971136</v>
      </c>
      <c r="FY62" s="32">
        <v>99.613077462445929</v>
      </c>
      <c r="FZ62" s="32">
        <v>0.47711975287731834</v>
      </c>
      <c r="GA62" s="32">
        <v>3.6390981101267683</v>
      </c>
      <c r="GB62" s="69"/>
      <c r="GC62" s="32">
        <v>41.610492861122424</v>
      </c>
      <c r="GD62" s="32">
        <v>27.559846103496938</v>
      </c>
      <c r="GE62" s="32">
        <v>-73.580246913580254</v>
      </c>
      <c r="GF62" s="32">
        <v>-46.062407132243671</v>
      </c>
      <c r="GG62" s="32">
        <v>-10.340417948367877</v>
      </c>
      <c r="GH62" s="69"/>
      <c r="GI62" s="32">
        <v>73.595568999999998</v>
      </c>
      <c r="GJ62" s="32">
        <v>0.87095347928994082</v>
      </c>
      <c r="GK62" s="32">
        <v>2E-3</v>
      </c>
      <c r="GL62" s="32">
        <v>2217.6954519999999</v>
      </c>
      <c r="GM62" s="32">
        <v>26.244916591715974</v>
      </c>
      <c r="GN62" s="32">
        <v>9.2999999999999999E-2</v>
      </c>
      <c r="GO62" s="32">
        <v>1385.075372606796</v>
      </c>
      <c r="GP62" s="32">
        <v>16.391424527891076</v>
      </c>
      <c r="GQ62" s="32">
        <v>65.369482490291276</v>
      </c>
      <c r="GR62" s="32">
        <v>0.77360334308037015</v>
      </c>
      <c r="GS62" s="32">
        <v>725.22242754854369</v>
      </c>
      <c r="GT62" s="32">
        <v>8.5825139354857249</v>
      </c>
      <c r="GU62" s="32">
        <v>248.84568044545455</v>
      </c>
      <c r="GV62" s="32">
        <v>2.9449192952124799</v>
      </c>
      <c r="GW62" s="32">
        <v>1195.7992033636367</v>
      </c>
      <c r="GX62" s="32">
        <v>14.151469862291558</v>
      </c>
      <c r="GY62" s="32">
        <v>0.11</v>
      </c>
      <c r="GZ62" s="32">
        <v>-144.86366099999998</v>
      </c>
      <c r="HA62" s="8">
        <v>-1.7143628520710057</v>
      </c>
      <c r="HB62" s="32">
        <v>1601.95431653125</v>
      </c>
      <c r="HC62" s="32">
        <v>-0.17572639065581858</v>
      </c>
      <c r="HD62" s="32">
        <v>9.5000000000000001E-2</v>
      </c>
      <c r="HE62" s="32">
        <v>152662.13959499999</v>
      </c>
      <c r="HF62" s="32">
        <v>130433.72635800001</v>
      </c>
      <c r="HG62" s="32">
        <v>0.20499999999999999</v>
      </c>
      <c r="HH62" s="32" t="s">
        <v>34</v>
      </c>
      <c r="HI62" s="32">
        <v>53.658536585365859</v>
      </c>
      <c r="HJ62" s="32">
        <v>9.2739828082865099</v>
      </c>
      <c r="HK62" s="32">
        <v>4.1848690873658603</v>
      </c>
      <c r="HL62" s="32">
        <v>15.930776196298838</v>
      </c>
      <c r="HM62" s="32">
        <v>88.670720490326843</v>
      </c>
      <c r="HN62" s="32">
        <v>9.2739828082865099</v>
      </c>
      <c r="HO62" s="32">
        <v>27.603965338015069</v>
      </c>
      <c r="HP62" s="32">
        <v>15.930776196298838</v>
      </c>
      <c r="HQ62" s="32">
        <v>19.48535319692596</v>
      </c>
      <c r="HR62" s="32">
        <v>53.658536585365859</v>
      </c>
      <c r="HS62" s="32" t="s">
        <v>34</v>
      </c>
      <c r="HT62" s="32" t="s">
        <v>34</v>
      </c>
      <c r="HU62" s="32" t="s">
        <v>34</v>
      </c>
      <c r="HV62" s="32" t="s">
        <v>34</v>
      </c>
      <c r="HW62" s="17" t="s">
        <v>34</v>
      </c>
      <c r="HX62" s="69"/>
      <c r="HY62" s="32" t="s">
        <v>34</v>
      </c>
      <c r="HZ62" s="32" t="s">
        <v>34</v>
      </c>
      <c r="IA62" s="32" t="s">
        <v>34</v>
      </c>
      <c r="IB62" s="32" t="s">
        <v>34</v>
      </c>
      <c r="IC62" s="32" t="s">
        <v>34</v>
      </c>
      <c r="ID62" s="32" t="s">
        <v>34</v>
      </c>
      <c r="IE62" s="32" t="s">
        <v>34</v>
      </c>
      <c r="IF62" s="32" t="s">
        <v>34</v>
      </c>
      <c r="IG62" s="32" t="s">
        <v>34</v>
      </c>
      <c r="IH62" s="32" t="s">
        <v>34</v>
      </c>
      <c r="II62" s="32" t="s">
        <v>34</v>
      </c>
      <c r="IJ62" s="32" t="s">
        <v>34</v>
      </c>
      <c r="IK62" s="32" t="s">
        <v>34</v>
      </c>
      <c r="IL62" s="32" t="s">
        <v>34</v>
      </c>
      <c r="IM62" s="32" t="s">
        <v>34</v>
      </c>
      <c r="IN62" s="32" t="s">
        <v>34</v>
      </c>
      <c r="IO62" s="32" t="s">
        <v>34</v>
      </c>
      <c r="IP62" s="32" t="s">
        <v>34</v>
      </c>
      <c r="IQ62" s="8" t="s">
        <v>34</v>
      </c>
      <c r="IR62" s="32" t="s">
        <v>34</v>
      </c>
      <c r="IS62" s="32" t="s">
        <v>34</v>
      </c>
      <c r="IT62" s="32" t="s">
        <v>34</v>
      </c>
      <c r="IU62" s="32" t="s">
        <v>34</v>
      </c>
      <c r="IV62" s="32" t="s">
        <v>34</v>
      </c>
      <c r="IW62" s="32" t="s">
        <v>34</v>
      </c>
      <c r="IX62" s="32" t="s">
        <v>34</v>
      </c>
      <c r="IY62" s="32" t="s">
        <v>34</v>
      </c>
      <c r="IZ62" s="32" t="s">
        <v>34</v>
      </c>
      <c r="JA62" s="32" t="s">
        <v>34</v>
      </c>
      <c r="JB62" s="32" t="s">
        <v>34</v>
      </c>
      <c r="JC62" s="32" t="s">
        <v>34</v>
      </c>
      <c r="JD62" s="32" t="s">
        <v>34</v>
      </c>
      <c r="JE62" s="32" t="s">
        <v>34</v>
      </c>
      <c r="JF62" s="32" t="s">
        <v>34</v>
      </c>
      <c r="JG62" s="32" t="s">
        <v>34</v>
      </c>
      <c r="JH62" s="32" t="s">
        <v>34</v>
      </c>
      <c r="JI62" s="69"/>
      <c r="JJ62" s="32" t="s">
        <v>34</v>
      </c>
      <c r="JK62" s="32" t="s">
        <v>34</v>
      </c>
      <c r="JL62" s="32" t="s">
        <v>34</v>
      </c>
      <c r="JM62" s="32" t="s">
        <v>34</v>
      </c>
      <c r="JN62" s="32" t="s">
        <v>34</v>
      </c>
      <c r="JO62" s="32" t="s">
        <v>34</v>
      </c>
      <c r="JP62" s="32" t="s">
        <v>34</v>
      </c>
      <c r="JQ62" s="32" t="s">
        <v>34</v>
      </c>
      <c r="JR62" s="32" t="s">
        <v>34</v>
      </c>
      <c r="JS62" s="32" t="s">
        <v>34</v>
      </c>
      <c r="JT62" s="32" t="s">
        <v>34</v>
      </c>
      <c r="JU62" s="69"/>
      <c r="JV62" s="32">
        <v>1326.3973369999999</v>
      </c>
      <c r="JW62" s="32">
        <v>15.697009905325443</v>
      </c>
      <c r="JX62" s="32">
        <v>0.29399999999999998</v>
      </c>
      <c r="JY62" s="32">
        <v>693.54047801805871</v>
      </c>
      <c r="JZ62" s="32">
        <v>8.207579621515487</v>
      </c>
      <c r="KA62" s="32">
        <v>238.73830548081267</v>
      </c>
      <c r="KB62" s="32">
        <v>2.8253053903054752</v>
      </c>
      <c r="KC62" s="32">
        <v>466.13939174943567</v>
      </c>
      <c r="KD62" s="32">
        <v>5.5164425059104811</v>
      </c>
      <c r="KE62" s="32">
        <v>0.442</v>
      </c>
      <c r="KF62" s="32">
        <v>0.05</v>
      </c>
      <c r="KG62" s="32">
        <v>28.530346907497393</v>
      </c>
      <c r="KH62" s="32">
        <v>71.469653092502625</v>
      </c>
      <c r="KI62" s="32">
        <v>92.857128711302622</v>
      </c>
      <c r="KJ62" s="32">
        <v>82.413552297672595</v>
      </c>
      <c r="KK62" s="32">
        <v>0.72024957819818192</v>
      </c>
      <c r="KL62" s="32">
        <v>1.8415801649175447</v>
      </c>
      <c r="KM62" s="69"/>
      <c r="KN62" s="32">
        <v>1697.4769869999998</v>
      </c>
      <c r="KO62" s="32">
        <v>20.088485053254434</v>
      </c>
      <c r="KP62" s="32">
        <v>0.13300000000000001</v>
      </c>
      <c r="KQ62" s="32">
        <v>1697.4769869999998</v>
      </c>
      <c r="KR62" s="32">
        <v>20.088485053254434</v>
      </c>
      <c r="KS62" s="32">
        <v>0.13300000000000001</v>
      </c>
      <c r="KT62" s="32">
        <v>1059.9369092436366</v>
      </c>
      <c r="KU62" s="32">
        <v>12.54363206205487</v>
      </c>
      <c r="KV62" s="32">
        <v>247.97557059999994</v>
      </c>
      <c r="KW62" s="32">
        <v>2.9346221372781058</v>
      </c>
      <c r="KX62" s="32">
        <v>653.95623992181822</v>
      </c>
      <c r="KY62" s="32">
        <v>7.7391270996664883</v>
      </c>
      <c r="KZ62" s="32">
        <v>0.27400000000000002</v>
      </c>
      <c r="LA62" s="32">
        <v>0.05</v>
      </c>
      <c r="LB62" s="32">
        <v>23.454220133198259</v>
      </c>
      <c r="LC62" s="32">
        <v>76.545779866801723</v>
      </c>
      <c r="LD62" s="32">
        <v>82.653049676852049</v>
      </c>
      <c r="LE62" s="32">
        <v>99.942236453926142</v>
      </c>
      <c r="LF62" s="32">
        <v>0.51311843046328087</v>
      </c>
      <c r="LG62" s="32">
        <v>3.3081582851494797</v>
      </c>
      <c r="LH62" s="69"/>
      <c r="LI62" s="32">
        <v>41.790836184977344</v>
      </c>
      <c r="LJ62" s="32">
        <v>24.543324903075568</v>
      </c>
      <c r="LK62" s="32">
        <v>-75.409836065573771</v>
      </c>
      <c r="LL62" s="32">
        <v>-46.927374301675975</v>
      </c>
      <c r="LM62" s="32">
        <v>-19.52936059013566</v>
      </c>
      <c r="LN62" s="69"/>
      <c r="LO62" s="32">
        <v>2039.6485859999998</v>
      </c>
      <c r="LP62" s="32">
        <v>24.137853088757392</v>
      </c>
      <c r="LQ62" s="32">
        <v>3.2000000000000001E-2</v>
      </c>
      <c r="LR62" s="32">
        <v>2156.4890329999998</v>
      </c>
      <c r="LS62" s="32">
        <v>25.520580272189346</v>
      </c>
      <c r="LT62" s="32">
        <v>9.7000000000000003E-2</v>
      </c>
      <c r="LU62" s="32">
        <v>1318.6898015625004</v>
      </c>
      <c r="LV62" s="32">
        <v>15.605796468195271</v>
      </c>
      <c r="LW62" s="32">
        <v>32.457376214285723</v>
      </c>
      <c r="LX62" s="32">
        <v>0.38411096111580739</v>
      </c>
      <c r="LY62" s="32">
        <v>675.57358888839303</v>
      </c>
      <c r="LZ62" s="32">
        <v>7.9949537146555389</v>
      </c>
      <c r="MA62" s="32">
        <v>209.76564156410257</v>
      </c>
      <c r="MB62" s="32">
        <v>2.482433627977545</v>
      </c>
      <c r="MC62" s="32">
        <v>1082.1381652564103</v>
      </c>
      <c r="MD62" s="32">
        <v>12.806368819602488</v>
      </c>
      <c r="ME62" s="32">
        <v>0.11700000000000001</v>
      </c>
      <c r="MF62" s="32">
        <v>-161.42175505607474</v>
      </c>
      <c r="MG62" s="8">
        <v>-1.9103166278825414</v>
      </c>
      <c r="MH62" s="32">
        <v>1577.3490674299069</v>
      </c>
      <c r="MI62" s="32">
        <v>0.41260624664049106</v>
      </c>
      <c r="MJ62" s="32">
        <v>0.223</v>
      </c>
      <c r="MK62" s="32">
        <v>168767.53173200003</v>
      </c>
      <c r="ML62" s="32">
        <v>125559.41320149999</v>
      </c>
      <c r="MM62" s="32">
        <v>0.223</v>
      </c>
      <c r="MN62" s="32">
        <v>0.112</v>
      </c>
      <c r="MO62" s="32">
        <v>52.466367713004495</v>
      </c>
      <c r="MP62" s="32">
        <v>10.634862493956982</v>
      </c>
      <c r="MQ62" s="32">
        <v>2.1383718249975043</v>
      </c>
      <c r="MR62" s="32">
        <v>13.819876714981524</v>
      </c>
      <c r="MS62" s="32">
        <v>86.878529519945545</v>
      </c>
      <c r="MT62" s="32">
        <v>10.634862493956982</v>
      </c>
      <c r="MU62" s="32">
        <v>24.434571360860694</v>
      </c>
      <c r="MV62" s="32">
        <v>13.819876714981524</v>
      </c>
      <c r="MW62" s="32">
        <v>17.163294945028028</v>
      </c>
      <c r="MX62" s="32" t="s">
        <v>34</v>
      </c>
      <c r="MY62" s="32" t="s">
        <v>34</v>
      </c>
      <c r="MZ62" s="32" t="s">
        <v>34</v>
      </c>
      <c r="NA62" s="32" t="s">
        <v>34</v>
      </c>
      <c r="NB62" s="17" t="s">
        <v>34</v>
      </c>
      <c r="NC62" s="69"/>
      <c r="ND62" s="32">
        <v>71.251184999999992</v>
      </c>
      <c r="NE62" s="32">
        <v>0.84320928994082833</v>
      </c>
      <c r="NF62" s="32">
        <v>6.0000000000000001E-3</v>
      </c>
      <c r="NG62" s="32">
        <v>2211.7803739999999</v>
      </c>
      <c r="NH62" s="32">
        <v>26.174915668639052</v>
      </c>
      <c r="NI62" s="32">
        <v>9.1999999999999998E-2</v>
      </c>
      <c r="NJ62" s="32">
        <v>1284.9339323960396</v>
      </c>
      <c r="NK62" s="32">
        <v>15.206318726580351</v>
      </c>
      <c r="NL62" s="32">
        <v>18.808802420792077</v>
      </c>
      <c r="NM62" s="32">
        <v>0.22258937776085297</v>
      </c>
      <c r="NN62" s="32">
        <v>651.87136740841584</v>
      </c>
      <c r="NO62" s="32">
        <v>7.714454052170602</v>
      </c>
      <c r="NP62" s="32">
        <v>181.847071</v>
      </c>
      <c r="NQ62" s="32">
        <v>2.1520363431952663</v>
      </c>
      <c r="NR62" s="32">
        <v>1016.466559951923</v>
      </c>
      <c r="NS62" s="32">
        <v>12.029190058602639</v>
      </c>
      <c r="NT62" s="32">
        <v>0.10299999999999999</v>
      </c>
      <c r="NU62" s="32">
        <v>-154.21140096938777</v>
      </c>
      <c r="NV62" s="8">
        <v>-1.8249869937205654</v>
      </c>
      <c r="NW62" s="32">
        <v>1569.838082744898</v>
      </c>
      <c r="NX62" s="32">
        <v>-6.9441000603791839E-2</v>
      </c>
      <c r="NY62" s="32">
        <v>0.2</v>
      </c>
      <c r="NZ62" s="32">
        <v>153843.65421549999</v>
      </c>
      <c r="OA62" s="32">
        <v>105714.884651</v>
      </c>
      <c r="OB62" s="32">
        <v>0.20100000000000001</v>
      </c>
      <c r="OC62" s="32">
        <v>0.112</v>
      </c>
      <c r="OD62" s="32">
        <v>51.24378109452735</v>
      </c>
      <c r="OE62" s="32">
        <v>1.2941477973820279</v>
      </c>
      <c r="OF62" s="32">
        <v>10.610582238617909</v>
      </c>
      <c r="OG62" s="32">
        <v>12.512066485151196</v>
      </c>
      <c r="OH62" s="32">
        <v>88.410435773067917</v>
      </c>
      <c r="OI62" s="32">
        <v>1.2941477973820279</v>
      </c>
      <c r="OJ62" s="32">
        <v>10.610582238617909</v>
      </c>
      <c r="OK62" s="32">
        <v>12.512066485151196</v>
      </c>
      <c r="OL62" s="32">
        <v>0.35076764588704545</v>
      </c>
      <c r="OM62" s="32">
        <v>6.305542714484675</v>
      </c>
      <c r="ON62" s="69"/>
      <c r="OO62" s="32">
        <v>-2.5929913547944579</v>
      </c>
      <c r="OP62" s="32">
        <v>-4.568819180774093</v>
      </c>
      <c r="OQ62" s="32">
        <v>-14.258255500085488</v>
      </c>
      <c r="OR62" s="32">
        <v>2.5314986713684666</v>
      </c>
      <c r="OS62" s="32">
        <v>-5.2910052910052956</v>
      </c>
      <c r="OT62" s="32">
        <v>-186.49842385150365</v>
      </c>
      <c r="OU62" s="32">
        <v>-10.377358490566033</v>
      </c>
      <c r="OV62" s="32">
        <v>101.7823520922702</v>
      </c>
      <c r="OW62" s="32">
        <v>49.189756825351132</v>
      </c>
      <c r="OX62" s="32">
        <v>-0.22856904757418858</v>
      </c>
      <c r="OY62" s="32">
        <v>-9.9332602982656848</v>
      </c>
    </row>
    <row r="63" spans="1:415" ht="15.75" x14ac:dyDescent="0.25">
      <c r="A63" s="10">
        <v>62</v>
      </c>
      <c r="B63" s="3" t="s">
        <v>376</v>
      </c>
      <c r="C63" s="3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9"/>
      <c r="K63" s="32">
        <v>917.30265299999974</v>
      </c>
      <c r="L63" s="32">
        <v>14.332853953124996</v>
      </c>
      <c r="M63" s="32">
        <v>0.22600000000000001</v>
      </c>
      <c r="N63" s="32">
        <v>597.45224143999985</v>
      </c>
      <c r="O63" s="32">
        <v>9.3351912724999977</v>
      </c>
      <c r="P63" s="32">
        <v>301.87991068923083</v>
      </c>
      <c r="Q63" s="32">
        <v>4.7168736045192317</v>
      </c>
      <c r="R63" s="32">
        <v>449.66607606461537</v>
      </c>
      <c r="S63" s="32">
        <v>7.0260324385096151</v>
      </c>
      <c r="T63" s="32">
        <v>0.32400000000000001</v>
      </c>
      <c r="U63" s="32">
        <v>5.7000000000000002E-2</v>
      </c>
      <c r="V63" s="32">
        <v>32.979915717901761</v>
      </c>
      <c r="W63" s="32">
        <v>66.850103818087604</v>
      </c>
      <c r="X63" s="32">
        <v>93.16240308690584</v>
      </c>
      <c r="Y63" s="32">
        <v>99.729435878502656</v>
      </c>
      <c r="Z63" s="32">
        <v>0.48105741857769102</v>
      </c>
      <c r="AA63" s="32">
        <v>1.9068464960214617</v>
      </c>
      <c r="AB63" s="69"/>
      <c r="AC63" s="32">
        <v>518.00026400000002</v>
      </c>
      <c r="AD63" s="32">
        <v>8.0937541250000002</v>
      </c>
      <c r="AE63" s="32">
        <v>1.9E-2</v>
      </c>
      <c r="AF63" s="32">
        <v>1225.895491</v>
      </c>
      <c r="AG63" s="32">
        <v>19.154617046875</v>
      </c>
      <c r="AH63" s="32">
        <v>0.106</v>
      </c>
      <c r="AI63" s="32">
        <v>817.28462107407404</v>
      </c>
      <c r="AJ63" s="32">
        <v>12.770072204282407</v>
      </c>
      <c r="AK63" s="32">
        <v>289.72882283333337</v>
      </c>
      <c r="AL63" s="32">
        <v>4.5270128567708339</v>
      </c>
      <c r="AM63" s="32">
        <v>553.50672195370373</v>
      </c>
      <c r="AN63" s="32">
        <v>8.6485425305266208</v>
      </c>
      <c r="AO63" s="32">
        <v>0.215</v>
      </c>
      <c r="AP63" s="32">
        <v>5.7000000000000002E-2</v>
      </c>
      <c r="AQ63" s="32">
        <v>31.296369701007666</v>
      </c>
      <c r="AR63" s="32">
        <v>68.703630298992323</v>
      </c>
      <c r="AS63" s="32">
        <v>93.723821414045602</v>
      </c>
      <c r="AT63" s="32">
        <v>94.9358476221865</v>
      </c>
      <c r="AU63" s="32">
        <v>0.32559715203048217</v>
      </c>
      <c r="AV63" s="32">
        <v>3.7650682242000464</v>
      </c>
      <c r="AW63" s="69"/>
      <c r="AX63" s="32">
        <v>31.077493696378085</v>
      </c>
      <c r="AY63" s="32">
        <v>28.797415569243817</v>
      </c>
      <c r="AZ63" s="32">
        <v>-72.289156626506028</v>
      </c>
      <c r="BA63" s="32">
        <v>-40.445269016697587</v>
      </c>
      <c r="BB63" s="32">
        <v>-5.2384670517964089</v>
      </c>
      <c r="BC63" s="69"/>
      <c r="BD63" s="32">
        <v>1680.3810029999997</v>
      </c>
      <c r="BE63" s="32">
        <v>26.255953171874996</v>
      </c>
      <c r="BF63" s="32">
        <v>3.4000000000000002E-2</v>
      </c>
      <c r="BG63" s="32">
        <v>1709.5054690000002</v>
      </c>
      <c r="BH63" s="32">
        <v>26.711022953125003</v>
      </c>
      <c r="BI63" s="32">
        <v>6.2E-2</v>
      </c>
      <c r="BJ63" s="32">
        <v>1113.3456759599999</v>
      </c>
      <c r="BK63" s="32">
        <v>17.396026186874998</v>
      </c>
      <c r="BL63" s="32">
        <v>123.31269932666667</v>
      </c>
      <c r="BM63" s="32">
        <v>1.9267609269791668</v>
      </c>
      <c r="BN63" s="32">
        <v>618.32918764333328</v>
      </c>
      <c r="BO63" s="32">
        <v>9.6613935569270826</v>
      </c>
      <c r="BP63" s="32">
        <v>225.68293518018021</v>
      </c>
      <c r="BQ63" s="32">
        <v>3.5262958621903158</v>
      </c>
      <c r="BR63" s="32">
        <v>1064.5319810180181</v>
      </c>
      <c r="BS63" s="32">
        <v>16.633312203406533</v>
      </c>
      <c r="BT63" s="32">
        <v>0.1</v>
      </c>
      <c r="BU63" s="32">
        <v>-168.04874117948719</v>
      </c>
      <c r="BV63" s="8">
        <v>-2.6257615809294874</v>
      </c>
      <c r="BW63" s="32">
        <v>1252.2769615641025</v>
      </c>
      <c r="BX63" s="32" t="s">
        <v>34</v>
      </c>
      <c r="BY63" s="32">
        <v>4.9000000000000002E-2</v>
      </c>
      <c r="BZ63" s="32">
        <v>47989.413786999998</v>
      </c>
      <c r="CA63" s="32">
        <v>117581.99475750001</v>
      </c>
      <c r="CB63" s="32">
        <v>0.14899999999999999</v>
      </c>
      <c r="CC63" s="32">
        <v>9.5000000000000001E-2</v>
      </c>
      <c r="CD63" s="32">
        <v>67.114093959731548</v>
      </c>
      <c r="CE63" s="32">
        <v>12.140856610159675</v>
      </c>
      <c r="CF63" s="32">
        <v>8.9088545991413799</v>
      </c>
      <c r="CG63" s="32">
        <v>16.304699078084994</v>
      </c>
      <c r="CH63" s="32">
        <v>80.434819770144173</v>
      </c>
      <c r="CI63" s="32">
        <v>12.140856610159675</v>
      </c>
      <c r="CJ63" s="32">
        <v>30.596462692178996</v>
      </c>
      <c r="CK63" s="32">
        <v>16.304699078084994</v>
      </c>
      <c r="CL63" s="32">
        <v>23.261796875568098</v>
      </c>
      <c r="CM63" s="32" t="s">
        <v>34</v>
      </c>
      <c r="CN63" s="32" t="s">
        <v>34</v>
      </c>
      <c r="CO63" s="32" t="s">
        <v>34</v>
      </c>
      <c r="CP63" s="32" t="s">
        <v>34</v>
      </c>
      <c r="CQ63" s="17" t="s">
        <v>34</v>
      </c>
      <c r="CR63" s="69"/>
      <c r="CS63" s="32">
        <v>1631.2391990000001</v>
      </c>
      <c r="CT63" s="32">
        <v>25.488112484375002</v>
      </c>
      <c r="CU63" s="32">
        <v>2.9000000000000001E-2</v>
      </c>
      <c r="CV63" s="32">
        <v>1631.2391990000001</v>
      </c>
      <c r="CW63" s="32">
        <v>25.488112484375002</v>
      </c>
      <c r="CX63" s="32">
        <v>2.9000000000000001E-2</v>
      </c>
      <c r="CY63" s="32">
        <v>983.97782497278899</v>
      </c>
      <c r="CZ63" s="32">
        <v>15.374653515199828</v>
      </c>
      <c r="DA63" s="32">
        <v>106.25743702721088</v>
      </c>
      <c r="DB63" s="32">
        <v>1.6602724535501701</v>
      </c>
      <c r="DC63" s="32">
        <v>545.11763099999996</v>
      </c>
      <c r="DD63" s="32">
        <v>8.5174629843749994</v>
      </c>
      <c r="DE63" s="32">
        <v>194.81108360747663</v>
      </c>
      <c r="DF63" s="32">
        <v>3.0439231813668224</v>
      </c>
      <c r="DG63" s="32">
        <v>899.52428951401862</v>
      </c>
      <c r="DH63" s="32">
        <v>14.055067023656541</v>
      </c>
      <c r="DI63" s="32">
        <v>9.5000000000000001E-2</v>
      </c>
      <c r="DJ63" s="32">
        <v>-130.62356757500007</v>
      </c>
      <c r="DK63" s="8">
        <v>-2.040993243359376</v>
      </c>
      <c r="DL63" s="32">
        <v>1209.8910323249997</v>
      </c>
      <c r="DM63" s="32">
        <v>-1.7482976691406251</v>
      </c>
      <c r="DN63" s="32">
        <v>0.05</v>
      </c>
      <c r="DO63" s="32">
        <v>47655.519827500015</v>
      </c>
      <c r="DP63" s="32">
        <v>96254.076282000009</v>
      </c>
      <c r="DQ63" s="32">
        <v>0.14599999999999999</v>
      </c>
      <c r="DR63" s="32">
        <v>9.5000000000000001E-2</v>
      </c>
      <c r="DS63" s="32">
        <v>65.06849315068493</v>
      </c>
      <c r="DT63" s="32">
        <v>9.1496891516089089</v>
      </c>
      <c r="DU63" s="32">
        <v>11.247824835821779</v>
      </c>
      <c r="DV63" s="32">
        <v>16.77492802541477</v>
      </c>
      <c r="DW63" s="32">
        <v>84.729045631617367</v>
      </c>
      <c r="DX63" s="32">
        <v>9.1496891516089089</v>
      </c>
      <c r="DY63" s="32">
        <v>11.247824835821779</v>
      </c>
      <c r="DZ63" s="32">
        <v>16.77492802541477</v>
      </c>
      <c r="EA63" s="32">
        <v>0.19843857228129114</v>
      </c>
      <c r="EB63" s="32">
        <v>8.2203735909149849</v>
      </c>
      <c r="EC63" s="69"/>
      <c r="ED63" s="32">
        <v>-12.336470833390676</v>
      </c>
      <c r="EE63" s="32">
        <v>-25.061026755748646</v>
      </c>
      <c r="EF63" s="32">
        <v>-14.683610321835944</v>
      </c>
      <c r="EG63" s="32">
        <v>-4.6855583277398836</v>
      </c>
      <c r="EH63" s="32">
        <v>-72.52747252747254</v>
      </c>
      <c r="EI63" s="32">
        <v>-2.9678405736455664</v>
      </c>
      <c r="EJ63" s="32">
        <v>-2.0338983050847479</v>
      </c>
      <c r="EK63" s="32">
        <v>129.73138448299375</v>
      </c>
      <c r="EL63" s="32">
        <v>-2.6672643795823565</v>
      </c>
      <c r="EM63" s="32">
        <v>-7.636443947474711</v>
      </c>
      <c r="EN63" s="32">
        <v>2.8430123825671947</v>
      </c>
      <c r="EO63" s="69"/>
      <c r="EP63" s="32">
        <v>886.21255500000007</v>
      </c>
      <c r="EQ63" s="32">
        <v>13.847071171875001</v>
      </c>
      <c r="ER63" s="32">
        <v>0.248</v>
      </c>
      <c r="ES63" s="32">
        <v>598.71213520749291</v>
      </c>
      <c r="ET63" s="32">
        <v>9.3548771126170767</v>
      </c>
      <c r="EU63" s="32">
        <v>253.32034762536023</v>
      </c>
      <c r="EV63" s="32">
        <v>3.9581304316462536</v>
      </c>
      <c r="EW63" s="32">
        <v>426.01624141642657</v>
      </c>
      <c r="EX63" s="32">
        <v>6.6565037721316651</v>
      </c>
      <c r="EY63" s="32">
        <v>0.34599999999999997</v>
      </c>
      <c r="EZ63" s="32">
        <v>5.8999999999999997E-2</v>
      </c>
      <c r="FA63" s="32">
        <v>30.339227825562439</v>
      </c>
      <c r="FB63" s="32">
        <v>69.660772174437568</v>
      </c>
      <c r="FC63" s="32">
        <v>81.599964156004773</v>
      </c>
      <c r="FD63" s="32">
        <v>90.784671081026573</v>
      </c>
      <c r="FE63" s="32">
        <v>0.55605870603731633</v>
      </c>
      <c r="FF63" s="32">
        <v>1.5937391958404614</v>
      </c>
      <c r="FG63" s="69"/>
      <c r="FH63" s="32">
        <v>499.46161999999998</v>
      </c>
      <c r="FI63" s="32">
        <v>7.8040878124999997</v>
      </c>
      <c r="FJ63" s="32">
        <v>0.02</v>
      </c>
      <c r="FK63" s="32">
        <v>1254.587098</v>
      </c>
      <c r="FL63" s="32">
        <v>19.60292340625</v>
      </c>
      <c r="FM63" s="32">
        <v>0.114</v>
      </c>
      <c r="FN63" s="32">
        <v>811.51157632743343</v>
      </c>
      <c r="FO63" s="32">
        <v>12.679868380116147</v>
      </c>
      <c r="FP63" s="32">
        <v>267.39043664159288</v>
      </c>
      <c r="FQ63" s="32">
        <v>4.1779755725248888</v>
      </c>
      <c r="FR63" s="32">
        <v>539.45100648451319</v>
      </c>
      <c r="FS63" s="32">
        <v>8.4289219763205185</v>
      </c>
      <c r="FT63" s="32">
        <v>0.22500000000000001</v>
      </c>
      <c r="FU63" s="32">
        <v>5.8999999999999997E-2</v>
      </c>
      <c r="FV63" s="32">
        <v>28.678319938993319</v>
      </c>
      <c r="FW63" s="32">
        <v>71.321680061006688</v>
      </c>
      <c r="FX63" s="32">
        <v>68.181841095724678</v>
      </c>
      <c r="FY63" s="32">
        <v>98.624241002335296</v>
      </c>
      <c r="FZ63" s="32">
        <v>0.35103544852055579</v>
      </c>
      <c r="GA63" s="32">
        <v>3.5739612716820375</v>
      </c>
      <c r="GB63" s="69"/>
      <c r="GC63" s="32">
        <v>30.179529585178194</v>
      </c>
      <c r="GD63" s="32">
        <v>34.414667667175664</v>
      </c>
      <c r="GE63" s="32">
        <v>-74.033149171270736</v>
      </c>
      <c r="GF63" s="32">
        <v>-42.381786339754804</v>
      </c>
      <c r="GG63" s="32">
        <v>-5.6285221920610322</v>
      </c>
      <c r="GH63" s="69"/>
      <c r="GI63" s="32">
        <v>1234.2090500000004</v>
      </c>
      <c r="GJ63" s="32">
        <v>19.284516406250006</v>
      </c>
      <c r="GK63" s="32">
        <v>1.7000000000000001E-2</v>
      </c>
      <c r="GL63" s="32">
        <v>1837.166162</v>
      </c>
      <c r="GM63" s="32">
        <v>28.70572128125</v>
      </c>
      <c r="GN63" s="32">
        <v>6.2E-2</v>
      </c>
      <c r="GO63" s="32">
        <v>1124.7553534687499</v>
      </c>
      <c r="GP63" s="32">
        <v>17.574302397949218</v>
      </c>
      <c r="GQ63" s="32">
        <v>117.11350014375003</v>
      </c>
      <c r="GR63" s="32">
        <v>1.8298984397460942</v>
      </c>
      <c r="GS63" s="32">
        <v>620.93442680625003</v>
      </c>
      <c r="GT63" s="32">
        <v>9.7021004188476567</v>
      </c>
      <c r="GU63" s="32">
        <v>214.02914798290598</v>
      </c>
      <c r="GV63" s="32">
        <v>3.344205437232906</v>
      </c>
      <c r="GW63" s="32">
        <v>1080.4374452820514</v>
      </c>
      <c r="GX63" s="32">
        <v>16.881835082532053</v>
      </c>
      <c r="GY63" s="32">
        <v>0.107</v>
      </c>
      <c r="GZ63" s="32">
        <v>-146.58721606976744</v>
      </c>
      <c r="HA63" s="8">
        <v>-2.2904252510901162</v>
      </c>
      <c r="HB63" s="32">
        <v>1245.3412896976743</v>
      </c>
      <c r="HC63" s="32">
        <v>1.246953693313954</v>
      </c>
      <c r="HD63" s="32">
        <v>5.1999999999999998E-2</v>
      </c>
      <c r="HE63" s="32">
        <v>52645.086570500003</v>
      </c>
      <c r="HF63" s="32">
        <v>125809.17076699997</v>
      </c>
      <c r="HG63" s="32">
        <v>0.159</v>
      </c>
      <c r="HH63" s="32">
        <v>0.106</v>
      </c>
      <c r="HI63" s="32">
        <v>67.295597484276726</v>
      </c>
      <c r="HJ63" s="32">
        <v>10.616936363537405</v>
      </c>
      <c r="HK63" s="32">
        <v>8.4822306588150163</v>
      </c>
      <c r="HL63" s="32">
        <v>15.50158264138898</v>
      </c>
      <c r="HM63" s="32">
        <v>81.463147554710787</v>
      </c>
      <c r="HN63" s="32">
        <v>10.616936363537405</v>
      </c>
      <c r="HO63" s="32">
        <v>30.026745367133849</v>
      </c>
      <c r="HP63" s="32">
        <v>15.50158264138898</v>
      </c>
      <c r="HQ63" s="32">
        <v>21.496225212669607</v>
      </c>
      <c r="HR63" s="32">
        <v>67.295597484276726</v>
      </c>
      <c r="HS63" s="32" t="s">
        <v>34</v>
      </c>
      <c r="HT63" s="32" t="s">
        <v>34</v>
      </c>
      <c r="HU63" s="32" t="s">
        <v>34</v>
      </c>
      <c r="HV63" s="32" t="s">
        <v>34</v>
      </c>
      <c r="HW63" s="17" t="s">
        <v>34</v>
      </c>
      <c r="HX63" s="69"/>
      <c r="HY63" s="32">
        <v>1828.5821350000001</v>
      </c>
      <c r="HZ63" s="32">
        <v>28.571595859375002</v>
      </c>
      <c r="IA63" s="32">
        <v>2.7E-2</v>
      </c>
      <c r="IB63" s="32">
        <v>1828.5821350000001</v>
      </c>
      <c r="IC63" s="32">
        <v>28.571595859375002</v>
      </c>
      <c r="ID63" s="32">
        <v>2.7E-2</v>
      </c>
      <c r="IE63" s="32">
        <v>1062.9156732866245</v>
      </c>
      <c r="IF63" s="32">
        <v>16.608057395103508</v>
      </c>
      <c r="IG63" s="32">
        <v>49.385140904458595</v>
      </c>
      <c r="IH63" s="32">
        <v>0.77164282663216555</v>
      </c>
      <c r="II63" s="32">
        <v>556.1504070955416</v>
      </c>
      <c r="IJ63" s="32">
        <v>8.6898501108678374</v>
      </c>
      <c r="IK63" s="32">
        <v>175.57693076530612</v>
      </c>
      <c r="IL63" s="32">
        <v>2.7433895432079081</v>
      </c>
      <c r="IM63" s="32">
        <v>851.76117015306113</v>
      </c>
      <c r="IN63" s="32">
        <v>13.30876828364158</v>
      </c>
      <c r="IO63" s="32">
        <v>9.0999999999999998E-2</v>
      </c>
      <c r="IP63" s="32">
        <v>-160.22156089830506</v>
      </c>
      <c r="IQ63" s="8">
        <v>-2.5034618890360165</v>
      </c>
      <c r="IR63" s="32">
        <v>1413.646881881356</v>
      </c>
      <c r="IS63" s="32">
        <v>-0.25877608077330505</v>
      </c>
      <c r="IT63" s="32">
        <v>6.4000000000000001E-2</v>
      </c>
      <c r="IU63" s="32">
        <v>82648.81422249999</v>
      </c>
      <c r="IV63" s="32">
        <v>83473.045517999999</v>
      </c>
      <c r="IW63" s="32">
        <v>0.156</v>
      </c>
      <c r="IX63" s="32">
        <v>0.106</v>
      </c>
      <c r="IY63" s="32">
        <v>58.333333333333336</v>
      </c>
      <c r="IZ63" s="32">
        <v>4.0061860101309685</v>
      </c>
      <c r="JA63" s="32">
        <v>12.997378645409247</v>
      </c>
      <c r="JB63" s="32">
        <v>14.243025955813346</v>
      </c>
      <c r="JC63" s="32">
        <v>86.22508354300092</v>
      </c>
      <c r="JD63" s="32">
        <v>4.0061860101309685</v>
      </c>
      <c r="JE63" s="32">
        <v>12.997378645409247</v>
      </c>
      <c r="JF63" s="32">
        <v>14.243025955813346</v>
      </c>
      <c r="JG63" s="32">
        <v>0.25047306361391347</v>
      </c>
      <c r="JH63" s="32">
        <v>7.3005141096474562</v>
      </c>
      <c r="JI63" s="69"/>
      <c r="JJ63" s="32">
        <v>-5.6534716075517482</v>
      </c>
      <c r="JK63" s="32">
        <v>8.8878453630134935</v>
      </c>
      <c r="JL63" s="32">
        <v>-19.739023241703631</v>
      </c>
      <c r="JM63" s="32">
        <v>-0.46833695630575251</v>
      </c>
      <c r="JN63" s="32">
        <v>-78.651685393258447</v>
      </c>
      <c r="JO63" s="32">
        <v>38.812511144144466</v>
      </c>
      <c r="JP63" s="32">
        <v>-1.9047619047619064</v>
      </c>
      <c r="JQ63" s="32">
        <v>117.14999122241012</v>
      </c>
      <c r="JR63" s="32">
        <v>71.683140742962152</v>
      </c>
      <c r="JS63" s="32">
        <v>20.161010649430008</v>
      </c>
      <c r="JT63" s="32">
        <v>-8.462418871391769</v>
      </c>
      <c r="JU63" s="69"/>
      <c r="JV63" s="32">
        <v>923.54231799999991</v>
      </c>
      <c r="JW63" s="32">
        <v>14.430348718749999</v>
      </c>
      <c r="JX63" s="32">
        <v>0.18</v>
      </c>
      <c r="JY63" s="32">
        <v>641.21676684098941</v>
      </c>
      <c r="JZ63" s="32">
        <v>10.019011981890459</v>
      </c>
      <c r="KA63" s="32">
        <v>268.2138301978797</v>
      </c>
      <c r="KB63" s="32">
        <v>4.1908410968418703</v>
      </c>
      <c r="KC63" s="32">
        <v>454.71529851943455</v>
      </c>
      <c r="KD63" s="32">
        <v>7.1049265393661649</v>
      </c>
      <c r="KE63" s="32">
        <v>0.28199999999999997</v>
      </c>
      <c r="KF63" s="32">
        <v>5.8000000000000003E-2</v>
      </c>
      <c r="KG63" s="32">
        <v>31.222862017502539</v>
      </c>
      <c r="KH63" s="32">
        <v>68.77713798249745</v>
      </c>
      <c r="KI63" s="32">
        <v>63.636351250456421</v>
      </c>
      <c r="KJ63" s="32">
        <v>79.970450191468686</v>
      </c>
      <c r="KK63" s="32">
        <v>0.41680132927612901</v>
      </c>
      <c r="KL63" s="32">
        <v>2.2157854429205939</v>
      </c>
      <c r="KM63" s="69"/>
      <c r="KN63" s="32">
        <v>475.17021</v>
      </c>
      <c r="KO63" s="32">
        <v>7.42453453125</v>
      </c>
      <c r="KP63" s="32">
        <v>0.01</v>
      </c>
      <c r="KQ63" s="32">
        <v>1302.9174580000001</v>
      </c>
      <c r="KR63" s="32">
        <v>20.358085281250002</v>
      </c>
      <c r="KS63" s="32">
        <v>3.7999999999999999E-2</v>
      </c>
      <c r="KT63" s="32">
        <v>873.23615064628814</v>
      </c>
      <c r="KU63" s="32">
        <v>13.644314853848252</v>
      </c>
      <c r="KV63" s="32">
        <v>215.63126748908294</v>
      </c>
      <c r="KW63" s="32">
        <v>3.369238554516921</v>
      </c>
      <c r="KX63" s="32">
        <v>544.43370906768553</v>
      </c>
      <c r="KY63" s="32">
        <v>8.5067767041825864</v>
      </c>
      <c r="KZ63" s="32">
        <v>0.22800000000000001</v>
      </c>
      <c r="LA63" s="32">
        <v>5.8000000000000003E-2</v>
      </c>
      <c r="LB63" s="32">
        <v>26.102134204255364</v>
      </c>
      <c r="LC63" s="32">
        <v>73.897865795744636</v>
      </c>
      <c r="LD63" s="32">
        <v>74.999801958236972</v>
      </c>
      <c r="LE63" s="32">
        <v>97.87026085367242</v>
      </c>
      <c r="LF63" s="32">
        <v>0.40468962991341129</v>
      </c>
      <c r="LG63" s="32">
        <v>3.2195474301596918</v>
      </c>
      <c r="LH63" s="69"/>
      <c r="LI63" s="32">
        <v>30.640686300140175</v>
      </c>
      <c r="LJ63" s="32">
        <v>34.078777805865037</v>
      </c>
      <c r="LK63" s="32">
        <v>-130.27522935779817</v>
      </c>
      <c r="LL63" s="32">
        <v>-21.176470588235279</v>
      </c>
      <c r="LM63" s="32">
        <v>-17.865601921500293</v>
      </c>
      <c r="LN63" s="69"/>
      <c r="LO63" s="32">
        <v>1210.3143560000001</v>
      </c>
      <c r="LP63" s="32">
        <v>18.911161812500001</v>
      </c>
      <c r="LQ63" s="32">
        <v>1.7999999999999999E-2</v>
      </c>
      <c r="LR63" s="32">
        <v>1775.9416189999999</v>
      </c>
      <c r="LS63" s="32">
        <v>27.749087796874999</v>
      </c>
      <c r="LT63" s="32">
        <v>6.9000000000000006E-2</v>
      </c>
      <c r="LU63" s="32">
        <v>1069.4879887514451</v>
      </c>
      <c r="LV63" s="32">
        <v>16.710749824241329</v>
      </c>
      <c r="LW63" s="32">
        <v>92.149127618497118</v>
      </c>
      <c r="LX63" s="32">
        <v>1.4398301190390175</v>
      </c>
      <c r="LY63" s="32">
        <v>580.81855818497115</v>
      </c>
      <c r="LZ63" s="32">
        <v>9.0752899716401743</v>
      </c>
      <c r="MA63" s="32">
        <v>199.43708431355938</v>
      </c>
      <c r="MB63" s="32">
        <v>3.1162044423993653</v>
      </c>
      <c r="MC63" s="32">
        <v>1008.364640059322</v>
      </c>
      <c r="MD63" s="32">
        <v>15.755697500926907</v>
      </c>
      <c r="ME63" s="32">
        <v>0.109</v>
      </c>
      <c r="MF63" s="32">
        <v>-138.03230674545455</v>
      </c>
      <c r="MG63" s="8">
        <v>-2.1567547928977273</v>
      </c>
      <c r="MH63" s="32">
        <v>1200.6253550363635</v>
      </c>
      <c r="MI63" s="32">
        <v>0.18932321931818186</v>
      </c>
      <c r="MJ63" s="32">
        <v>6.3E-2</v>
      </c>
      <c r="MK63" s="32">
        <v>65150.71574</v>
      </c>
      <c r="ML63" s="32">
        <v>118421.409239</v>
      </c>
      <c r="MM63" s="32">
        <v>0.17199999999999999</v>
      </c>
      <c r="MN63" s="32">
        <v>0.108</v>
      </c>
      <c r="MO63" s="32">
        <v>63.372093023255815</v>
      </c>
      <c r="MP63" s="32">
        <v>11.065738615666108</v>
      </c>
      <c r="MQ63" s="32">
        <v>7.3873876625736159</v>
      </c>
      <c r="MR63" s="32">
        <v>15.988421097346372</v>
      </c>
      <c r="MS63" s="32">
        <v>85.738439175274209</v>
      </c>
      <c r="MT63" s="32">
        <v>11.065738615666108</v>
      </c>
      <c r="MU63" s="32">
        <v>30.504731082663099</v>
      </c>
      <c r="MV63" s="32">
        <v>15.988421097346372</v>
      </c>
      <c r="MW63" s="32">
        <v>20.067982315335723</v>
      </c>
      <c r="MX63" s="32" t="s">
        <v>34</v>
      </c>
      <c r="MY63" s="32" t="s">
        <v>34</v>
      </c>
      <c r="MZ63" s="32" t="s">
        <v>34</v>
      </c>
      <c r="NA63" s="32" t="s">
        <v>34</v>
      </c>
      <c r="NB63" s="17" t="s">
        <v>34</v>
      </c>
      <c r="NC63" s="69"/>
      <c r="ND63" s="32">
        <v>1795.6705180000001</v>
      </c>
      <c r="NE63" s="32">
        <v>28.057351843750002</v>
      </c>
      <c r="NF63" s="32">
        <v>1.7999999999999999E-2</v>
      </c>
      <c r="NG63" s="32">
        <v>1795.6705180000001</v>
      </c>
      <c r="NH63" s="32">
        <v>28.057351843750002</v>
      </c>
      <c r="NI63" s="32">
        <v>1.7999999999999999E-2</v>
      </c>
      <c r="NJ63" s="32">
        <v>1077.8125408411763</v>
      </c>
      <c r="NK63" s="32">
        <v>16.84082095064338</v>
      </c>
      <c r="NL63" s="32">
        <v>29.463474552941175</v>
      </c>
      <c r="NM63" s="32">
        <v>0.46036678988970586</v>
      </c>
      <c r="NN63" s="32">
        <v>553.6380076970587</v>
      </c>
      <c r="NO63" s="32">
        <v>8.6505938702665421</v>
      </c>
      <c r="NP63" s="32">
        <v>176.80891435643562</v>
      </c>
      <c r="NQ63" s="32">
        <v>2.7626392868193066</v>
      </c>
      <c r="NR63" s="32">
        <v>868.70038846534669</v>
      </c>
      <c r="NS63" s="32">
        <v>13.573443569771042</v>
      </c>
      <c r="NT63" s="32">
        <v>9.4E-2</v>
      </c>
      <c r="NU63" s="32">
        <v>-186.21608226086954</v>
      </c>
      <c r="NV63" s="8">
        <v>-2.9096262853260866</v>
      </c>
      <c r="NW63" s="32">
        <v>1383.9042421449276</v>
      </c>
      <c r="NX63" s="32">
        <v>-0.97614803509963743</v>
      </c>
      <c r="NY63" s="32">
        <v>7.3999999999999996E-2</v>
      </c>
      <c r="NZ63" s="32">
        <v>94719.389373499987</v>
      </c>
      <c r="OA63" s="32">
        <v>87742.33696049999</v>
      </c>
      <c r="OB63" s="32">
        <v>0.16900000000000001</v>
      </c>
      <c r="OC63" s="32">
        <v>0.108</v>
      </c>
      <c r="OD63" s="32">
        <v>55.621301775147927</v>
      </c>
      <c r="OE63" s="32">
        <v>2.3412703462281947</v>
      </c>
      <c r="OF63" s="32">
        <v>14.797378720719898</v>
      </c>
      <c r="OG63" s="32">
        <v>14.049852382064021</v>
      </c>
      <c r="OH63" s="32">
        <v>85.64673986871685</v>
      </c>
      <c r="OI63" s="32">
        <v>2.3412703462281947</v>
      </c>
      <c r="OJ63" s="32">
        <v>14.797378720719898</v>
      </c>
      <c r="OK63" s="32">
        <v>14.049852382064021</v>
      </c>
      <c r="OL63" s="32">
        <v>0.29230951878711298</v>
      </c>
      <c r="OM63" s="32">
        <v>6.1430449663453297</v>
      </c>
      <c r="ON63" s="69"/>
      <c r="OO63" s="32">
        <v>0.77535044349945248</v>
      </c>
      <c r="OP63" s="32">
        <v>29.720286761070213</v>
      </c>
      <c r="OQ63" s="32">
        <v>-12.028391019233618</v>
      </c>
      <c r="OR63" s="32">
        <v>1.1047615610675803</v>
      </c>
      <c r="OS63" s="32">
        <v>-117.24137931034481</v>
      </c>
      <c r="OT63" s="32">
        <v>38.946048402504367</v>
      </c>
      <c r="OU63" s="32">
        <v>-1.7595307917888419</v>
      </c>
      <c r="OV63" s="32">
        <v>108.02661380243339</v>
      </c>
      <c r="OW63" s="32">
        <v>103.73717139157419</v>
      </c>
      <c r="OX63" s="32">
        <v>28.85684704220758</v>
      </c>
      <c r="OY63" s="32">
        <v>-12.907324494606087</v>
      </c>
    </row>
    <row r="64" spans="1:415" ht="15.75" x14ac:dyDescent="0.25">
      <c r="A64" s="10">
        <v>63</v>
      </c>
      <c r="B64" s="3" t="s">
        <v>378</v>
      </c>
      <c r="C64" s="3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9"/>
      <c r="K64" s="32">
        <v>1180.9915890000002</v>
      </c>
      <c r="L64" s="32">
        <v>16.871308414285718</v>
      </c>
      <c r="M64" s="32">
        <v>0.311</v>
      </c>
      <c r="N64" s="32">
        <v>635.88596446559643</v>
      </c>
      <c r="O64" s="32">
        <v>9.0840852066513769</v>
      </c>
      <c r="P64" s="32">
        <v>266.82841777981656</v>
      </c>
      <c r="Q64" s="32">
        <v>3.8118345397116653</v>
      </c>
      <c r="R64" s="32">
        <v>451.35719112270647</v>
      </c>
      <c r="S64" s="32">
        <v>6.4479598731815209</v>
      </c>
      <c r="T64" s="32">
        <v>0.435</v>
      </c>
      <c r="U64" s="32">
        <v>0.06</v>
      </c>
      <c r="V64" s="32">
        <v>30.335379697156235</v>
      </c>
      <c r="W64" s="32">
        <v>39.371343456684102</v>
      </c>
      <c r="X64" s="32">
        <v>62.619049814273083</v>
      </c>
      <c r="Y64" s="32">
        <v>97.132668741277868</v>
      </c>
      <c r="Z64" s="32">
        <v>0.77283518812788188</v>
      </c>
      <c r="AA64" s="32">
        <v>1.5281286452042091</v>
      </c>
      <c r="AB64" s="69"/>
      <c r="AC64" s="32" t="s">
        <v>34</v>
      </c>
      <c r="AD64" s="32" t="s">
        <v>34</v>
      </c>
      <c r="AE64" s="32" t="s">
        <v>34</v>
      </c>
      <c r="AF64" s="32" t="s">
        <v>34</v>
      </c>
      <c r="AG64" s="32" t="s">
        <v>34</v>
      </c>
      <c r="AH64" s="32" t="s">
        <v>34</v>
      </c>
      <c r="AI64" s="32" t="s">
        <v>34</v>
      </c>
      <c r="AJ64" s="32" t="s">
        <v>34</v>
      </c>
      <c r="AK64" s="32" t="s">
        <v>34</v>
      </c>
      <c r="AL64" s="32" t="s">
        <v>34</v>
      </c>
      <c r="AM64" s="32" t="s">
        <v>34</v>
      </c>
      <c r="AN64" s="32" t="s">
        <v>34</v>
      </c>
      <c r="AO64" s="32" t="s">
        <v>34</v>
      </c>
      <c r="AP64" s="32" t="s">
        <v>34</v>
      </c>
      <c r="AQ64" s="32" t="s">
        <v>34</v>
      </c>
      <c r="AR64" s="32" t="s">
        <v>34</v>
      </c>
      <c r="AS64" s="32" t="s">
        <v>34</v>
      </c>
      <c r="AT64" s="32" t="s">
        <v>34</v>
      </c>
      <c r="AU64" s="32" t="s">
        <v>34</v>
      </c>
      <c r="AV64" s="32" t="s">
        <v>34</v>
      </c>
      <c r="AW64" s="69"/>
      <c r="AX64" s="32" t="s">
        <v>34</v>
      </c>
      <c r="AY64" s="32" t="s">
        <v>34</v>
      </c>
      <c r="AZ64" s="32" t="s">
        <v>34</v>
      </c>
      <c r="BA64" s="32" t="s">
        <v>34</v>
      </c>
      <c r="BB64" s="32" t="s">
        <v>34</v>
      </c>
      <c r="BC64" s="69"/>
      <c r="BD64" s="32">
        <v>1525.597706</v>
      </c>
      <c r="BE64" s="32">
        <v>21.794252942857142</v>
      </c>
      <c r="BF64" s="32">
        <v>0.03</v>
      </c>
      <c r="BG64" s="32">
        <v>1898.2282979999998</v>
      </c>
      <c r="BH64" s="32">
        <v>27.11754711428571</v>
      </c>
      <c r="BI64" s="32">
        <v>9.7000000000000003E-2</v>
      </c>
      <c r="BJ64" s="32">
        <v>1052.7334692976744</v>
      </c>
      <c r="BK64" s="32">
        <v>15.03904956139535</v>
      </c>
      <c r="BL64" s="32">
        <v>80.830441311627894</v>
      </c>
      <c r="BM64" s="32">
        <v>1.1547205901661128</v>
      </c>
      <c r="BN64" s="32">
        <v>566.78195530465121</v>
      </c>
      <c r="BO64" s="32">
        <v>8.0968850757807314</v>
      </c>
      <c r="BP64" s="32">
        <v>237.42745558870968</v>
      </c>
      <c r="BQ64" s="32">
        <v>3.3918207941244241</v>
      </c>
      <c r="BR64" s="32">
        <v>1000.4219169112903</v>
      </c>
      <c r="BS64" s="32">
        <v>14.29174167016129</v>
      </c>
      <c r="BT64" s="32">
        <v>0.124</v>
      </c>
      <c r="BU64" s="32">
        <v>-132.55450121978024</v>
      </c>
      <c r="BV64" s="8">
        <v>-1.8936357317111463</v>
      </c>
      <c r="BW64" s="32">
        <v>1124.0151450769231</v>
      </c>
      <c r="BX64" s="32" t="s">
        <v>34</v>
      </c>
      <c r="BY64" s="32">
        <v>0.214</v>
      </c>
      <c r="BZ64" s="32">
        <v>102276.88432499999</v>
      </c>
      <c r="CA64" s="32">
        <v>123107.65792250002</v>
      </c>
      <c r="CB64" s="32">
        <v>0.214</v>
      </c>
      <c r="CC64" s="32" t="s">
        <v>34</v>
      </c>
      <c r="CD64" s="32">
        <v>57.943925233644855</v>
      </c>
      <c r="CE64" s="32">
        <v>10.852755749129861</v>
      </c>
      <c r="CF64" s="32">
        <v>6.6179045492765942</v>
      </c>
      <c r="CG64" s="32">
        <v>19.439114929558752</v>
      </c>
      <c r="CH64" s="32">
        <v>86.191408862672958</v>
      </c>
      <c r="CI64" s="32">
        <v>10.852755749129861</v>
      </c>
      <c r="CJ64" s="32">
        <v>34.849601913339129</v>
      </c>
      <c r="CK64" s="32">
        <v>19.439114929558752</v>
      </c>
      <c r="CL64" s="32">
        <v>20.675782726405473</v>
      </c>
      <c r="CM64" s="32" t="s">
        <v>34</v>
      </c>
      <c r="CN64" s="32" t="s">
        <v>34</v>
      </c>
      <c r="CO64" s="32" t="s">
        <v>34</v>
      </c>
      <c r="CP64" s="32" t="s">
        <v>34</v>
      </c>
      <c r="CQ64" s="17" t="s">
        <v>34</v>
      </c>
      <c r="CR64" s="69"/>
      <c r="CS64" s="32" t="s">
        <v>34</v>
      </c>
      <c r="CT64" s="32" t="s">
        <v>34</v>
      </c>
      <c r="CU64" s="32" t="s">
        <v>34</v>
      </c>
      <c r="CV64" s="32" t="s">
        <v>34</v>
      </c>
      <c r="CW64" s="32" t="s">
        <v>34</v>
      </c>
      <c r="CX64" s="32" t="s">
        <v>34</v>
      </c>
      <c r="CY64" s="32" t="s">
        <v>34</v>
      </c>
      <c r="CZ64" s="32" t="s">
        <v>34</v>
      </c>
      <c r="DA64" s="32" t="s">
        <v>34</v>
      </c>
      <c r="DB64" s="32" t="s">
        <v>34</v>
      </c>
      <c r="DC64" s="32" t="s">
        <v>34</v>
      </c>
      <c r="DD64" s="32" t="s">
        <v>34</v>
      </c>
      <c r="DE64" s="32" t="s">
        <v>34</v>
      </c>
      <c r="DF64" s="32" t="s">
        <v>34</v>
      </c>
      <c r="DG64" s="32" t="s">
        <v>34</v>
      </c>
      <c r="DH64" s="32" t="s">
        <v>34</v>
      </c>
      <c r="DI64" s="32" t="s">
        <v>34</v>
      </c>
      <c r="DJ64" s="32" t="s">
        <v>34</v>
      </c>
      <c r="DK64" s="8" t="s">
        <v>34</v>
      </c>
      <c r="DL64" s="32" t="s">
        <v>34</v>
      </c>
      <c r="DM64" s="32" t="s">
        <v>34</v>
      </c>
      <c r="DN64" s="32" t="s">
        <v>34</v>
      </c>
      <c r="DO64" s="32" t="s">
        <v>34</v>
      </c>
      <c r="DP64" s="32" t="s">
        <v>34</v>
      </c>
      <c r="DQ64" s="32" t="s">
        <v>34</v>
      </c>
      <c r="DR64" s="32" t="s">
        <v>34</v>
      </c>
      <c r="DS64" s="32" t="s">
        <v>34</v>
      </c>
      <c r="DT64" s="32" t="s">
        <v>34</v>
      </c>
      <c r="DU64" s="32" t="s">
        <v>34</v>
      </c>
      <c r="DV64" s="32" t="s">
        <v>34</v>
      </c>
      <c r="DW64" s="32" t="s">
        <v>34</v>
      </c>
      <c r="DX64" s="32" t="s">
        <v>34</v>
      </c>
      <c r="DY64" s="32" t="s">
        <v>34</v>
      </c>
      <c r="DZ64" s="32" t="s">
        <v>34</v>
      </c>
      <c r="EA64" s="32" t="s">
        <v>34</v>
      </c>
      <c r="EB64" s="32" t="s">
        <v>34</v>
      </c>
      <c r="EC64" s="69"/>
      <c r="ED64" s="32" t="s">
        <v>34</v>
      </c>
      <c r="EE64" s="32" t="s">
        <v>34</v>
      </c>
      <c r="EF64" s="32" t="s">
        <v>34</v>
      </c>
      <c r="EG64" s="32" t="s">
        <v>34</v>
      </c>
      <c r="EH64" s="32" t="s">
        <v>34</v>
      </c>
      <c r="EI64" s="32" t="s">
        <v>34</v>
      </c>
      <c r="EJ64" s="32" t="s">
        <v>34</v>
      </c>
      <c r="EK64" s="32" t="s">
        <v>34</v>
      </c>
      <c r="EL64" s="32" t="s">
        <v>34</v>
      </c>
      <c r="EM64" s="32" t="s">
        <v>34</v>
      </c>
      <c r="EN64" s="32" t="s">
        <v>34</v>
      </c>
      <c r="EO64" s="69"/>
      <c r="EP64" s="32">
        <v>1192.2806650000002</v>
      </c>
      <c r="EQ64" s="32">
        <v>17.032580928571431</v>
      </c>
      <c r="ER64" s="32">
        <v>0.38200000000000001</v>
      </c>
      <c r="ES64" s="32">
        <v>591.48900761132813</v>
      </c>
      <c r="ET64" s="32">
        <v>8.4498429658761154</v>
      </c>
      <c r="EU64" s="32">
        <v>241.66466682617187</v>
      </c>
      <c r="EV64" s="32">
        <v>3.4523523832310268</v>
      </c>
      <c r="EW64" s="32">
        <v>416.57683721875003</v>
      </c>
      <c r="EX64" s="32">
        <v>5.951097674553572</v>
      </c>
      <c r="EY64" s="32">
        <v>0.51100000000000001</v>
      </c>
      <c r="EZ64" s="32">
        <v>0.05</v>
      </c>
      <c r="FA64" s="32">
        <v>32.945653191256767</v>
      </c>
      <c r="FB64" s="32">
        <v>67.054346808743219</v>
      </c>
      <c r="FC64" s="32">
        <v>82.394403597642594</v>
      </c>
      <c r="FD64" s="32">
        <v>78.697352157553297</v>
      </c>
      <c r="FE64" s="32">
        <v>0.89251850222430995</v>
      </c>
      <c r="FF64" s="32">
        <v>1.3358610068347394</v>
      </c>
      <c r="FG64" s="69"/>
      <c r="FH64" s="32" t="s">
        <v>34</v>
      </c>
      <c r="FI64" s="32" t="s">
        <v>34</v>
      </c>
      <c r="FJ64" s="32" t="s">
        <v>34</v>
      </c>
      <c r="FK64" s="32" t="s">
        <v>34</v>
      </c>
      <c r="FL64" s="32" t="s">
        <v>34</v>
      </c>
      <c r="FM64" s="32" t="s">
        <v>34</v>
      </c>
      <c r="FN64" s="32" t="s">
        <v>34</v>
      </c>
      <c r="FO64" s="32" t="s">
        <v>34</v>
      </c>
      <c r="FP64" s="32" t="s">
        <v>34</v>
      </c>
      <c r="FQ64" s="32" t="s">
        <v>34</v>
      </c>
      <c r="FR64" s="32" t="s">
        <v>34</v>
      </c>
      <c r="FS64" s="32" t="s">
        <v>34</v>
      </c>
      <c r="FT64" s="32" t="s">
        <v>34</v>
      </c>
      <c r="FU64" s="32" t="s">
        <v>34</v>
      </c>
      <c r="FV64" s="32" t="s">
        <v>34</v>
      </c>
      <c r="FW64" s="32" t="s">
        <v>34</v>
      </c>
      <c r="FX64" s="32" t="s">
        <v>34</v>
      </c>
      <c r="FY64" s="32" t="s">
        <v>34</v>
      </c>
      <c r="FZ64" s="32" t="s">
        <v>34</v>
      </c>
      <c r="GA64" s="32" t="s">
        <v>34</v>
      </c>
      <c r="GB64" s="69"/>
      <c r="GC64" s="32" t="s">
        <v>34</v>
      </c>
      <c r="GD64" s="32" t="s">
        <v>34</v>
      </c>
      <c r="GE64" s="32" t="s">
        <v>34</v>
      </c>
      <c r="GF64" s="32" t="s">
        <v>34</v>
      </c>
      <c r="GG64" s="32" t="s">
        <v>34</v>
      </c>
      <c r="GH64" s="69"/>
      <c r="GI64" s="32">
        <v>1477.0509870000001</v>
      </c>
      <c r="GJ64" s="32">
        <v>21.100728385714287</v>
      </c>
      <c r="GK64" s="32">
        <v>3.2000000000000001E-2</v>
      </c>
      <c r="GL64" s="32">
        <v>1937.9385149999998</v>
      </c>
      <c r="GM64" s="32">
        <v>27.684835928571427</v>
      </c>
      <c r="GN64" s="32">
        <v>9.8000000000000004E-2</v>
      </c>
      <c r="GO64" s="32">
        <v>1039.77298821659</v>
      </c>
      <c r="GP64" s="32">
        <v>14.85389983166557</v>
      </c>
      <c r="GQ64" s="32">
        <v>65.127952497695844</v>
      </c>
      <c r="GR64" s="32">
        <v>0.93039932139565495</v>
      </c>
      <c r="GS64" s="32">
        <v>552.45047035714288</v>
      </c>
      <c r="GT64" s="32">
        <v>7.8921495765306124</v>
      </c>
      <c r="GU64" s="32">
        <v>217.37598745528456</v>
      </c>
      <c r="GV64" s="32">
        <v>3.105371249361208</v>
      </c>
      <c r="GW64" s="32">
        <v>1000.8977007560976</v>
      </c>
      <c r="GX64" s="32">
        <v>14.298538582229966</v>
      </c>
      <c r="GY64" s="32">
        <v>0.123</v>
      </c>
      <c r="GZ64" s="32">
        <v>-134.09022090425532</v>
      </c>
      <c r="HA64" s="8">
        <v>-1.9155745843465046</v>
      </c>
      <c r="HB64" s="32">
        <v>1090.6417154255321</v>
      </c>
      <c r="HC64" s="32">
        <v>-0.83980353768996974</v>
      </c>
      <c r="HD64" s="32">
        <v>0.216</v>
      </c>
      <c r="HE64" s="32">
        <v>102515.677568</v>
      </c>
      <c r="HF64" s="32">
        <v>122144.87436049998</v>
      </c>
      <c r="HG64" s="32">
        <v>0.216</v>
      </c>
      <c r="HH64" s="32" t="s">
        <v>34</v>
      </c>
      <c r="HI64" s="32">
        <v>56.944444444444443</v>
      </c>
      <c r="HJ64" s="32">
        <v>11.612367899688016</v>
      </c>
      <c r="HK64" s="32">
        <v>5.6401558581715232</v>
      </c>
      <c r="HL64" s="32">
        <v>18.825011412958485</v>
      </c>
      <c r="HM64" s="32">
        <v>90.045540904510801</v>
      </c>
      <c r="HN64" s="32">
        <v>11.612367899688016</v>
      </c>
      <c r="HO64" s="32">
        <v>33.989709524687925</v>
      </c>
      <c r="HP64" s="32">
        <v>18.825011412958485</v>
      </c>
      <c r="HQ64" s="32">
        <v>18.477279990816644</v>
      </c>
      <c r="HR64" s="32">
        <v>56.944444444444443</v>
      </c>
      <c r="HS64" s="32" t="s">
        <v>34</v>
      </c>
      <c r="HT64" s="32" t="s">
        <v>34</v>
      </c>
      <c r="HU64" s="32" t="s">
        <v>34</v>
      </c>
      <c r="HV64" s="32" t="s">
        <v>34</v>
      </c>
      <c r="HW64" s="17" t="s">
        <v>34</v>
      </c>
      <c r="HX64" s="69"/>
      <c r="HY64" s="32" t="s">
        <v>34</v>
      </c>
      <c r="HZ64" s="32" t="s">
        <v>34</v>
      </c>
      <c r="IA64" s="32" t="s">
        <v>34</v>
      </c>
      <c r="IB64" s="32" t="s">
        <v>34</v>
      </c>
      <c r="IC64" s="32" t="s">
        <v>34</v>
      </c>
      <c r="ID64" s="32" t="s">
        <v>34</v>
      </c>
      <c r="IE64" s="32" t="s">
        <v>34</v>
      </c>
      <c r="IF64" s="32" t="s">
        <v>34</v>
      </c>
      <c r="IG64" s="32" t="s">
        <v>34</v>
      </c>
      <c r="IH64" s="32" t="s">
        <v>34</v>
      </c>
      <c r="II64" s="32" t="s">
        <v>34</v>
      </c>
      <c r="IJ64" s="32" t="s">
        <v>34</v>
      </c>
      <c r="IK64" s="32" t="s">
        <v>34</v>
      </c>
      <c r="IL64" s="32" t="s">
        <v>34</v>
      </c>
      <c r="IM64" s="32" t="s">
        <v>34</v>
      </c>
      <c r="IN64" s="32" t="s">
        <v>34</v>
      </c>
      <c r="IO64" s="32" t="s">
        <v>34</v>
      </c>
      <c r="IP64" s="32" t="s">
        <v>34</v>
      </c>
      <c r="IQ64" s="8" t="s">
        <v>34</v>
      </c>
      <c r="IR64" s="32" t="s">
        <v>34</v>
      </c>
      <c r="IS64" s="32" t="s">
        <v>34</v>
      </c>
      <c r="IT64" s="32" t="s">
        <v>34</v>
      </c>
      <c r="IU64" s="32" t="s">
        <v>34</v>
      </c>
      <c r="IV64" s="32" t="s">
        <v>34</v>
      </c>
      <c r="IW64" s="32" t="s">
        <v>34</v>
      </c>
      <c r="IX64" s="32" t="s">
        <v>34</v>
      </c>
      <c r="IY64" s="32" t="s">
        <v>34</v>
      </c>
      <c r="IZ64" s="32" t="s">
        <v>34</v>
      </c>
      <c r="JA64" s="32" t="s">
        <v>34</v>
      </c>
      <c r="JB64" s="32" t="s">
        <v>34</v>
      </c>
      <c r="JC64" s="32" t="s">
        <v>34</v>
      </c>
      <c r="JD64" s="32" t="s">
        <v>34</v>
      </c>
      <c r="JE64" s="32" t="s">
        <v>34</v>
      </c>
      <c r="JF64" s="32" t="s">
        <v>34</v>
      </c>
      <c r="JG64" s="32" t="s">
        <v>34</v>
      </c>
      <c r="JH64" s="32" t="s">
        <v>34</v>
      </c>
      <c r="JI64" s="69"/>
      <c r="JJ64" s="32" t="s">
        <v>34</v>
      </c>
      <c r="JK64" s="32" t="s">
        <v>34</v>
      </c>
      <c r="JL64" s="32" t="s">
        <v>34</v>
      </c>
      <c r="JM64" s="32" t="s">
        <v>34</v>
      </c>
      <c r="JN64" s="32" t="s">
        <v>34</v>
      </c>
      <c r="JO64" s="32" t="s">
        <v>34</v>
      </c>
      <c r="JP64" s="32" t="s">
        <v>34</v>
      </c>
      <c r="JQ64" s="32" t="s">
        <v>34</v>
      </c>
      <c r="JR64" s="32" t="s">
        <v>34</v>
      </c>
      <c r="JS64" s="32" t="s">
        <v>34</v>
      </c>
      <c r="JT64" s="32" t="s">
        <v>34</v>
      </c>
      <c r="JU64" s="69"/>
      <c r="JV64" s="32">
        <v>1205.0125010000002</v>
      </c>
      <c r="JW64" s="32">
        <v>17.214464300000003</v>
      </c>
      <c r="JX64" s="32">
        <v>0.34200000000000003</v>
      </c>
      <c r="JY64" s="32">
        <v>602.54489009012877</v>
      </c>
      <c r="JZ64" s="32">
        <v>8.6077841441446967</v>
      </c>
      <c r="KA64" s="32">
        <v>279.95932893776819</v>
      </c>
      <c r="KB64" s="32">
        <v>3.9994189848252599</v>
      </c>
      <c r="KC64" s="32">
        <v>441.25210951394848</v>
      </c>
      <c r="KD64" s="32">
        <v>6.3036015644849783</v>
      </c>
      <c r="KE64" s="32">
        <v>0.46500000000000002</v>
      </c>
      <c r="KF64" s="32">
        <v>5.8000000000000003E-2</v>
      </c>
      <c r="KG64" s="32">
        <v>33.441347530530848</v>
      </c>
      <c r="KH64" s="32">
        <v>66.525637710073951</v>
      </c>
      <c r="KI64" s="32">
        <v>71.782577151021215</v>
      </c>
      <c r="KJ64" s="32">
        <v>92.307561060920136</v>
      </c>
      <c r="KK64" s="32">
        <v>0.79954850207492933</v>
      </c>
      <c r="KL64" s="32">
        <v>1.5071162010470167</v>
      </c>
      <c r="KM64" s="69"/>
      <c r="KN64" s="32" t="s">
        <v>34</v>
      </c>
      <c r="KO64" s="32" t="s">
        <v>34</v>
      </c>
      <c r="KP64" s="32" t="s">
        <v>34</v>
      </c>
      <c r="KQ64" s="32" t="s">
        <v>34</v>
      </c>
      <c r="KR64" s="32" t="s">
        <v>34</v>
      </c>
      <c r="KS64" s="32" t="s">
        <v>34</v>
      </c>
      <c r="KT64" s="32" t="s">
        <v>34</v>
      </c>
      <c r="KU64" s="32" t="s">
        <v>34</v>
      </c>
      <c r="KV64" s="32" t="s">
        <v>34</v>
      </c>
      <c r="KW64" s="32" t="s">
        <v>34</v>
      </c>
      <c r="KX64" s="32" t="s">
        <v>34</v>
      </c>
      <c r="KY64" s="32" t="s">
        <v>34</v>
      </c>
      <c r="KZ64" s="32" t="s">
        <v>34</v>
      </c>
      <c r="LA64" s="32" t="s">
        <v>34</v>
      </c>
      <c r="LB64" s="32" t="s">
        <v>34</v>
      </c>
      <c r="LC64" s="32" t="s">
        <v>34</v>
      </c>
      <c r="LD64" s="32" t="s">
        <v>34</v>
      </c>
      <c r="LE64" s="32" t="s">
        <v>34</v>
      </c>
      <c r="LF64" s="32" t="s">
        <v>34</v>
      </c>
      <c r="LG64" s="32" t="s">
        <v>34</v>
      </c>
      <c r="LH64" s="69"/>
      <c r="LI64" s="32" t="s">
        <v>34</v>
      </c>
      <c r="LJ64" s="32" t="s">
        <v>34</v>
      </c>
      <c r="LK64" s="32" t="s">
        <v>34</v>
      </c>
      <c r="LL64" s="32" t="s">
        <v>34</v>
      </c>
      <c r="LM64" s="32" t="s">
        <v>34</v>
      </c>
      <c r="LN64" s="69"/>
      <c r="LO64" s="32">
        <v>1676.9185580000001</v>
      </c>
      <c r="LP64" s="32">
        <v>23.9559794</v>
      </c>
      <c r="LQ64" s="32">
        <v>0.03</v>
      </c>
      <c r="LR64" s="32">
        <v>1916.6586450000002</v>
      </c>
      <c r="LS64" s="32">
        <v>27.380837785714288</v>
      </c>
      <c r="LT64" s="32">
        <v>9.1999999999999998E-2</v>
      </c>
      <c r="LU64" s="32">
        <v>1042.0448751963472</v>
      </c>
      <c r="LV64" s="32">
        <v>14.886355359947817</v>
      </c>
      <c r="LW64" s="32">
        <v>65.777831808219176</v>
      </c>
      <c r="LX64" s="32">
        <v>0.93968331154598828</v>
      </c>
      <c r="LY64" s="32">
        <v>553.91135350228319</v>
      </c>
      <c r="LZ64" s="32">
        <v>7.9130193357469025</v>
      </c>
      <c r="MA64" s="32">
        <v>215.19935398437499</v>
      </c>
      <c r="MB64" s="32">
        <v>3.0742764854910711</v>
      </c>
      <c r="MC64" s="32">
        <v>940.84116110156253</v>
      </c>
      <c r="MD64" s="32">
        <v>13.440588015736608</v>
      </c>
      <c r="ME64" s="32">
        <v>0.128</v>
      </c>
      <c r="MF64" s="32">
        <v>-144.39749608791206</v>
      </c>
      <c r="MG64" s="8">
        <v>-2.062821372684458</v>
      </c>
      <c r="MH64" s="32">
        <v>1184.3973521648352</v>
      </c>
      <c r="MI64" s="32">
        <v>-0.39992087551020411</v>
      </c>
      <c r="MJ64" s="32">
        <v>0.218</v>
      </c>
      <c r="MK64" s="32">
        <v>107775.5153665</v>
      </c>
      <c r="ML64" s="32">
        <v>119468.90643949997</v>
      </c>
      <c r="MM64" s="32">
        <v>0.218</v>
      </c>
      <c r="MN64" s="32" t="s">
        <v>34</v>
      </c>
      <c r="MO64" s="32">
        <v>58.715596330275233</v>
      </c>
      <c r="MP64" s="32">
        <v>11.999322898401946</v>
      </c>
      <c r="MQ64" s="32">
        <v>5.4660881580873202</v>
      </c>
      <c r="MR64" s="32">
        <v>17.882903831060158</v>
      </c>
      <c r="MS64" s="32">
        <v>86.593142338793342</v>
      </c>
      <c r="MT64" s="32">
        <v>11.999322898401946</v>
      </c>
      <c r="MU64" s="32">
        <v>33.027374425471216</v>
      </c>
      <c r="MV64" s="32">
        <v>17.882903831060158</v>
      </c>
      <c r="MW64" s="32">
        <v>20.728490453093524</v>
      </c>
      <c r="MX64" s="32" t="s">
        <v>34</v>
      </c>
      <c r="MY64" s="32" t="s">
        <v>34</v>
      </c>
      <c r="MZ64" s="32" t="s">
        <v>34</v>
      </c>
      <c r="NA64" s="32" t="s">
        <v>34</v>
      </c>
      <c r="NB64" s="17" t="s">
        <v>34</v>
      </c>
      <c r="NC64" s="69"/>
      <c r="ND64" s="32" t="s">
        <v>34</v>
      </c>
      <c r="NE64" s="32" t="s">
        <v>34</v>
      </c>
      <c r="NF64" s="32" t="s">
        <v>34</v>
      </c>
      <c r="NG64" s="32" t="s">
        <v>34</v>
      </c>
      <c r="NH64" s="32" t="s">
        <v>34</v>
      </c>
      <c r="NI64" s="32" t="s">
        <v>34</v>
      </c>
      <c r="NJ64" s="32" t="s">
        <v>34</v>
      </c>
      <c r="NK64" s="32" t="s">
        <v>34</v>
      </c>
      <c r="NL64" s="32" t="s">
        <v>34</v>
      </c>
      <c r="NM64" s="32" t="s">
        <v>34</v>
      </c>
      <c r="NN64" s="32" t="s">
        <v>34</v>
      </c>
      <c r="NO64" s="32" t="s">
        <v>34</v>
      </c>
      <c r="NP64" s="32" t="s">
        <v>34</v>
      </c>
      <c r="NQ64" s="32" t="s">
        <v>34</v>
      </c>
      <c r="NR64" s="32" t="s">
        <v>34</v>
      </c>
      <c r="NS64" s="32" t="s">
        <v>34</v>
      </c>
      <c r="NT64" s="32" t="s">
        <v>34</v>
      </c>
      <c r="NU64" s="32" t="s">
        <v>34</v>
      </c>
      <c r="NV64" s="8" t="s">
        <v>34</v>
      </c>
      <c r="NW64" s="32" t="s">
        <v>34</v>
      </c>
      <c r="NX64" s="32" t="s">
        <v>34</v>
      </c>
      <c r="NY64" s="32" t="s">
        <v>34</v>
      </c>
      <c r="NZ64" s="32" t="s">
        <v>34</v>
      </c>
      <c r="OA64" s="32" t="s">
        <v>34</v>
      </c>
      <c r="OB64" s="32" t="s">
        <v>34</v>
      </c>
      <c r="OC64" s="32" t="s">
        <v>34</v>
      </c>
      <c r="OD64" s="32" t="s">
        <v>34</v>
      </c>
      <c r="OE64" s="32" t="s">
        <v>34</v>
      </c>
      <c r="OF64" s="32" t="s">
        <v>34</v>
      </c>
      <c r="OG64" s="32" t="s">
        <v>34</v>
      </c>
      <c r="OH64" s="32" t="s">
        <v>34</v>
      </c>
      <c r="OI64" s="32" t="s">
        <v>34</v>
      </c>
      <c r="OJ64" s="32" t="s">
        <v>34</v>
      </c>
      <c r="OK64" s="32" t="s">
        <v>34</v>
      </c>
      <c r="OL64" s="32" t="s">
        <v>34</v>
      </c>
      <c r="OM64" s="32" t="s">
        <v>34</v>
      </c>
      <c r="ON64" s="69"/>
      <c r="OO64" s="32" t="s">
        <v>34</v>
      </c>
      <c r="OP64" s="32" t="s">
        <v>34</v>
      </c>
      <c r="OQ64" s="32" t="s">
        <v>34</v>
      </c>
      <c r="OR64" s="32" t="s">
        <v>34</v>
      </c>
      <c r="OS64" s="32" t="s">
        <v>34</v>
      </c>
      <c r="OT64" s="32" t="s">
        <v>34</v>
      </c>
      <c r="OU64" s="32" t="s">
        <v>34</v>
      </c>
      <c r="OV64" s="32" t="s">
        <v>34</v>
      </c>
      <c r="OW64" s="32" t="s">
        <v>34</v>
      </c>
      <c r="OX64" s="32" t="s">
        <v>34</v>
      </c>
      <c r="OY64" s="32" t="s">
        <v>34</v>
      </c>
    </row>
    <row r="65" spans="1:415" ht="15.75" x14ac:dyDescent="0.25">
      <c r="A65" s="10">
        <v>64</v>
      </c>
      <c r="B65" s="3" t="s">
        <v>380</v>
      </c>
      <c r="C65" s="3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9"/>
      <c r="K65" s="32">
        <v>1289.428269</v>
      </c>
      <c r="L65" s="32">
        <v>17.908725958333335</v>
      </c>
      <c r="M65" s="32">
        <v>0.49399999999999999</v>
      </c>
      <c r="N65" s="32">
        <v>652.20566664179114</v>
      </c>
      <c r="O65" s="32">
        <v>9.0584120366915428</v>
      </c>
      <c r="P65" s="32">
        <v>306.20185780099507</v>
      </c>
      <c r="Q65" s="32">
        <v>4.2528035805693758</v>
      </c>
      <c r="R65" s="32">
        <v>479.20376222139311</v>
      </c>
      <c r="S65" s="32">
        <v>6.6556078086304602</v>
      </c>
      <c r="T65" s="32">
        <v>0.60199999999999998</v>
      </c>
      <c r="U65" s="32">
        <v>0.05</v>
      </c>
      <c r="V65" s="32">
        <v>32.044389681088816</v>
      </c>
      <c r="W65" s="32">
        <v>67.818931287804787</v>
      </c>
      <c r="X65" s="32">
        <v>98.265868717973049</v>
      </c>
      <c r="Y65" s="32">
        <v>99.806427804256117</v>
      </c>
      <c r="Z65" s="32">
        <v>1.3073611330799402</v>
      </c>
      <c r="AA65" s="32">
        <v>0.98628315954468293</v>
      </c>
      <c r="AB65" s="69"/>
      <c r="AC65" s="32">
        <v>911.874505</v>
      </c>
      <c r="AD65" s="32">
        <v>12.664923680555555</v>
      </c>
      <c r="AE65" s="32">
        <v>2.3E-2</v>
      </c>
      <c r="AF65" s="32">
        <v>2106.679928</v>
      </c>
      <c r="AG65" s="32">
        <v>29.259443444444443</v>
      </c>
      <c r="AH65" s="32">
        <v>0.129</v>
      </c>
      <c r="AI65" s="32">
        <v>1376.4646442541668</v>
      </c>
      <c r="AJ65" s="32">
        <v>19.117564503530094</v>
      </c>
      <c r="AK65" s="32">
        <v>447.24914317500003</v>
      </c>
      <c r="AL65" s="32">
        <v>6.2117936552083339</v>
      </c>
      <c r="AM65" s="32">
        <v>911.85689371458341</v>
      </c>
      <c r="AN65" s="32">
        <v>12.664679079369215</v>
      </c>
      <c r="AO65" s="32">
        <v>0.23899999999999999</v>
      </c>
      <c r="AP65" s="32">
        <v>0.05</v>
      </c>
      <c r="AQ65" s="32">
        <v>29.384025487561889</v>
      </c>
      <c r="AR65" s="32">
        <v>70.6159745124381</v>
      </c>
      <c r="AS65" s="32">
        <v>62.849870439847003</v>
      </c>
      <c r="AT65" s="32">
        <v>98.628102997336526</v>
      </c>
      <c r="AU65" s="32">
        <v>0.58519138740705867</v>
      </c>
      <c r="AV65" s="32">
        <v>3.5999845064954705</v>
      </c>
      <c r="AW65" s="69"/>
      <c r="AX65" s="32">
        <v>71.40233420111602</v>
      </c>
      <c r="AY65" s="32">
        <v>48.128717437326102</v>
      </c>
      <c r="AZ65" s="32">
        <v>-117.17495987158908</v>
      </c>
      <c r="BA65" s="32">
        <v>-86.325802615933412</v>
      </c>
      <c r="BB65" s="32">
        <v>-8.6616728959161371</v>
      </c>
      <c r="BC65" s="69"/>
      <c r="BD65" s="32">
        <v>1828.5099279999999</v>
      </c>
      <c r="BE65" s="32">
        <v>25.395971222222222</v>
      </c>
      <c r="BF65" s="32">
        <v>2.8000000000000001E-2</v>
      </c>
      <c r="BG65" s="32">
        <v>1828.5099279999999</v>
      </c>
      <c r="BH65" s="32">
        <v>25.395971222222222</v>
      </c>
      <c r="BI65" s="32">
        <v>2.8000000000000001E-2</v>
      </c>
      <c r="BJ65" s="32">
        <v>1173.9883176455696</v>
      </c>
      <c r="BK65" s="32">
        <v>16.305393300632911</v>
      </c>
      <c r="BL65" s="32">
        <v>135.62673467088609</v>
      </c>
      <c r="BM65" s="32">
        <v>1.8837046482067512</v>
      </c>
      <c r="BN65" s="32">
        <v>654.8075261582278</v>
      </c>
      <c r="BO65" s="32">
        <v>9.0945489744198298</v>
      </c>
      <c r="BP65" s="32">
        <v>241.12135819130435</v>
      </c>
      <c r="BQ65" s="32">
        <v>3.3489077526570048</v>
      </c>
      <c r="BR65" s="32">
        <v>1102.0056373913042</v>
      </c>
      <c r="BS65" s="32">
        <v>15.305633852657003</v>
      </c>
      <c r="BT65" s="32">
        <v>0.10299999999999999</v>
      </c>
      <c r="BU65" s="32">
        <v>-146.51004916279072</v>
      </c>
      <c r="BV65" s="8">
        <v>-2.0348617939276488</v>
      </c>
      <c r="BW65" s="32">
        <v>1366.5001369302322</v>
      </c>
      <c r="BX65" s="32" t="s">
        <v>34</v>
      </c>
      <c r="BY65" s="32">
        <v>5.3999999999999999E-2</v>
      </c>
      <c r="BZ65" s="32">
        <v>57935.897356999987</v>
      </c>
      <c r="CA65" s="32">
        <v>125865.0933665</v>
      </c>
      <c r="CB65" s="32">
        <v>0.157</v>
      </c>
      <c r="CC65" s="32">
        <v>0.114</v>
      </c>
      <c r="CD65" s="32">
        <v>65.605095541401269</v>
      </c>
      <c r="CE65" s="32">
        <v>11.324943214777198</v>
      </c>
      <c r="CF65" s="32">
        <v>10.483684070345182</v>
      </c>
      <c r="CG65" s="32">
        <v>18.63821427260833</v>
      </c>
      <c r="CH65" s="32">
        <v>90.747024576963426</v>
      </c>
      <c r="CI65" s="32">
        <v>11.324943214777198</v>
      </c>
      <c r="CJ65" s="32">
        <v>34.999819177934413</v>
      </c>
      <c r="CK65" s="32">
        <v>18.63821427260833</v>
      </c>
      <c r="CL65" s="32">
        <v>23.980061536841784</v>
      </c>
      <c r="CM65" s="32" t="s">
        <v>34</v>
      </c>
      <c r="CN65" s="32" t="s">
        <v>34</v>
      </c>
      <c r="CO65" s="32" t="s">
        <v>34</v>
      </c>
      <c r="CP65" s="32" t="s">
        <v>34</v>
      </c>
      <c r="CQ65" s="17" t="s">
        <v>34</v>
      </c>
      <c r="CR65" s="69"/>
      <c r="CS65" s="32">
        <v>2008.2879209999999</v>
      </c>
      <c r="CT65" s="32">
        <v>27.892887791666666</v>
      </c>
      <c r="CU65" s="32">
        <v>2.5000000000000001E-2</v>
      </c>
      <c r="CV65" s="32">
        <v>2008.2879209999999</v>
      </c>
      <c r="CW65" s="32">
        <v>27.892887791666666</v>
      </c>
      <c r="CX65" s="32">
        <v>2.5000000000000001E-2</v>
      </c>
      <c r="CY65" s="32">
        <v>1244.1196620645162</v>
      </c>
      <c r="CZ65" s="32">
        <v>17.27943975089606</v>
      </c>
      <c r="DA65" s="32">
        <v>139.15240650322582</v>
      </c>
      <c r="DB65" s="32">
        <v>1.9326723125448031</v>
      </c>
      <c r="DC65" s="32">
        <v>691.63603428387103</v>
      </c>
      <c r="DD65" s="32">
        <v>9.6060560317204313</v>
      </c>
      <c r="DE65" s="32">
        <v>274.06312387962964</v>
      </c>
      <c r="DF65" s="32">
        <v>3.8064322761059675</v>
      </c>
      <c r="DG65" s="32">
        <v>1137.9232181851851</v>
      </c>
      <c r="DH65" s="32">
        <v>15.804489141460904</v>
      </c>
      <c r="DI65" s="32">
        <v>9.7000000000000003E-2</v>
      </c>
      <c r="DJ65" s="32">
        <v>-170.85519938297872</v>
      </c>
      <c r="DK65" s="8">
        <v>-2.372988880319149</v>
      </c>
      <c r="DL65" s="32">
        <v>1488.1455331063828</v>
      </c>
      <c r="DM65" s="32">
        <v>1.214061913711584</v>
      </c>
      <c r="DN65" s="32">
        <v>5.6000000000000001E-2</v>
      </c>
      <c r="DO65" s="32">
        <v>69056.528338000004</v>
      </c>
      <c r="DP65" s="32">
        <v>122900.03565449998</v>
      </c>
      <c r="DQ65" s="32">
        <v>0.154</v>
      </c>
      <c r="DR65" s="32">
        <v>0.114</v>
      </c>
      <c r="DS65" s="32">
        <v>62.987012987012989</v>
      </c>
      <c r="DT65" s="32">
        <v>9.3586373140581767</v>
      </c>
      <c r="DU65" s="32">
        <v>11.490795484081886</v>
      </c>
      <c r="DV65" s="32">
        <v>18.432001587322834</v>
      </c>
      <c r="DW65" s="32">
        <v>83.67275123107926</v>
      </c>
      <c r="DX65" s="32">
        <v>9.3586373140581767</v>
      </c>
      <c r="DY65" s="32">
        <v>11.490795484081886</v>
      </c>
      <c r="DZ65" s="32">
        <v>18.432001587322834</v>
      </c>
      <c r="EA65" s="32">
        <v>0.24778837107088966</v>
      </c>
      <c r="EB65" s="32">
        <v>8.1048513791046712</v>
      </c>
      <c r="EC65" s="69"/>
      <c r="ED65" s="32">
        <v>-5.8005138734420658</v>
      </c>
      <c r="EE65" s="32">
        <v>-15.342039074373966</v>
      </c>
      <c r="EF65" s="32">
        <v>-12.788337706099481</v>
      </c>
      <c r="EG65" s="32">
        <v>-9.3712517612496153</v>
      </c>
      <c r="EH65" s="32">
        <v>11.320754716981128</v>
      </c>
      <c r="EI65" s="32">
        <v>-9.3712517612496153</v>
      </c>
      <c r="EJ65" s="32">
        <v>1.9292604501607735</v>
      </c>
      <c r="EK65" s="32">
        <v>-129.9254409006486</v>
      </c>
      <c r="EL65" s="32">
        <v>11.339870315489648</v>
      </c>
      <c r="EM65" s="32">
        <v>-1.4538408902183082</v>
      </c>
      <c r="EN65" s="32">
        <v>1.1125518452046022</v>
      </c>
      <c r="EO65" s="69"/>
      <c r="EP65" s="32">
        <v>1209.7012259999997</v>
      </c>
      <c r="EQ65" s="32">
        <v>16.801405916666663</v>
      </c>
      <c r="ER65" s="32">
        <v>0.215</v>
      </c>
      <c r="ES65" s="32">
        <v>728.53569336809812</v>
      </c>
      <c r="ET65" s="32">
        <v>10.11855129677914</v>
      </c>
      <c r="EU65" s="32">
        <v>353.97090276073618</v>
      </c>
      <c r="EV65" s="32">
        <v>4.9162625383435579</v>
      </c>
      <c r="EW65" s="32">
        <v>541.25329806441709</v>
      </c>
      <c r="EX65" s="32">
        <v>7.5174069175613489</v>
      </c>
      <c r="EY65" s="32">
        <v>0.32500000000000001</v>
      </c>
      <c r="EZ65" s="32">
        <v>4.4999999999999998E-2</v>
      </c>
      <c r="FA65" s="32">
        <v>32.724314863441634</v>
      </c>
      <c r="FB65" s="32">
        <v>67.090084676992959</v>
      </c>
      <c r="FC65" s="32">
        <v>74.299093027751255</v>
      </c>
      <c r="FD65" s="32">
        <v>99.343725168415801</v>
      </c>
      <c r="FE65" s="32">
        <v>0.50981826482909931</v>
      </c>
      <c r="FF65" s="32">
        <v>2.3728087231349275</v>
      </c>
      <c r="FG65" s="69"/>
      <c r="FH65" s="32">
        <v>1403.0767319999998</v>
      </c>
      <c r="FI65" s="32">
        <v>19.487176833333329</v>
      </c>
      <c r="FJ65" s="32">
        <v>0.126</v>
      </c>
      <c r="FK65" s="32">
        <v>1403.0767319999998</v>
      </c>
      <c r="FL65" s="32">
        <v>19.487176833333329</v>
      </c>
      <c r="FM65" s="32">
        <v>0.126</v>
      </c>
      <c r="FN65" s="32">
        <v>906.2564672874496</v>
      </c>
      <c r="FO65" s="32">
        <v>12.586895378992356</v>
      </c>
      <c r="FP65" s="32">
        <v>295.56665608906883</v>
      </c>
      <c r="FQ65" s="32">
        <v>4.1050924456815112</v>
      </c>
      <c r="FR65" s="32">
        <v>600.91156168825921</v>
      </c>
      <c r="FS65" s="32">
        <v>8.3459939123369331</v>
      </c>
      <c r="FT65" s="32">
        <v>0.246</v>
      </c>
      <c r="FU65" s="32">
        <v>4.4999999999999998E-2</v>
      </c>
      <c r="FV65" s="32">
        <v>27.526050424740593</v>
      </c>
      <c r="FW65" s="32">
        <v>72.473949575259425</v>
      </c>
      <c r="FX65" s="32">
        <v>77.941174671764415</v>
      </c>
      <c r="FY65" s="32">
        <v>99.275237974715424</v>
      </c>
      <c r="FZ65" s="32">
        <v>0.40960041228856281</v>
      </c>
      <c r="GA65" s="32">
        <v>3.4254768547731209</v>
      </c>
      <c r="GB65" s="69"/>
      <c r="GC65" s="32">
        <v>21.742308067844643</v>
      </c>
      <c r="GD65" s="32">
        <v>14.802291592204261</v>
      </c>
      <c r="GE65" s="32">
        <v>-52.199413489736067</v>
      </c>
      <c r="GF65" s="32">
        <v>-27.67075306479861</v>
      </c>
      <c r="GG65" s="32">
        <v>-17.255544970847346</v>
      </c>
      <c r="GH65" s="69"/>
      <c r="GI65" s="32">
        <v>1793.9032969999998</v>
      </c>
      <c r="GJ65" s="32">
        <v>24.915323569444443</v>
      </c>
      <c r="GK65" s="32">
        <v>3.1E-2</v>
      </c>
      <c r="GL65" s="32">
        <v>1793.9032969999998</v>
      </c>
      <c r="GM65" s="32">
        <v>24.915323569444443</v>
      </c>
      <c r="GN65" s="32">
        <v>3.1E-2</v>
      </c>
      <c r="GO65" s="32">
        <v>1178.4570624156627</v>
      </c>
      <c r="GP65" s="32">
        <v>16.367459200217539</v>
      </c>
      <c r="GQ65" s="32">
        <v>122.59217871686747</v>
      </c>
      <c r="GR65" s="32">
        <v>1.7026691488453816</v>
      </c>
      <c r="GS65" s="32">
        <v>650.52462056626507</v>
      </c>
      <c r="GT65" s="32">
        <v>9.0350641745314597</v>
      </c>
      <c r="GU65" s="32">
        <v>234.93307901694911</v>
      </c>
      <c r="GV65" s="32">
        <v>3.2629594307909597</v>
      </c>
      <c r="GW65" s="32">
        <v>1110.0607017542375</v>
      </c>
      <c r="GX65" s="32">
        <v>15.417509746586632</v>
      </c>
      <c r="GY65" s="32">
        <v>0.106</v>
      </c>
      <c r="GZ65" s="32">
        <v>-153.57920118750002</v>
      </c>
      <c r="HA65" s="8">
        <v>-2.1330444609375001</v>
      </c>
      <c r="HB65" s="32">
        <v>1346.5981157083334</v>
      </c>
      <c r="HC65" s="32">
        <v>-1.4149991374421296</v>
      </c>
      <c r="HD65" s="32">
        <v>5.8999999999999997E-2</v>
      </c>
      <c r="HE65" s="32">
        <v>63790.108045500005</v>
      </c>
      <c r="HF65" s="32">
        <v>130169.48737600003</v>
      </c>
      <c r="HG65" s="32">
        <v>0.16500000000000001</v>
      </c>
      <c r="HH65" s="32">
        <v>0.115</v>
      </c>
      <c r="HI65" s="32">
        <v>64.242424242424235</v>
      </c>
      <c r="HJ65" s="32">
        <v>11.541614456594976</v>
      </c>
      <c r="HK65" s="32">
        <v>9.2129119776879911</v>
      </c>
      <c r="HL65" s="32">
        <v>17.655431205192922</v>
      </c>
      <c r="HM65" s="32">
        <v>88.56210322026395</v>
      </c>
      <c r="HN65" s="32">
        <v>11.541614456594976</v>
      </c>
      <c r="HO65" s="32">
        <v>32.984059628629232</v>
      </c>
      <c r="HP65" s="32">
        <v>17.655431205192922</v>
      </c>
      <c r="HQ65" s="32">
        <v>22.366959905263073</v>
      </c>
      <c r="HR65" s="32">
        <v>64.242424242424235</v>
      </c>
      <c r="HS65" s="32" t="s">
        <v>34</v>
      </c>
      <c r="HT65" s="32" t="s">
        <v>34</v>
      </c>
      <c r="HU65" s="32" t="s">
        <v>34</v>
      </c>
      <c r="HV65" s="32" t="s">
        <v>34</v>
      </c>
      <c r="HW65" s="17" t="s">
        <v>34</v>
      </c>
      <c r="HX65" s="69"/>
      <c r="HY65" s="32">
        <v>2290.0646539999998</v>
      </c>
      <c r="HZ65" s="32">
        <v>31.806453527777776</v>
      </c>
      <c r="IA65" s="32">
        <v>1.9E-2</v>
      </c>
      <c r="IB65" s="32">
        <v>2290.0646539999998</v>
      </c>
      <c r="IC65" s="32">
        <v>31.806453527777776</v>
      </c>
      <c r="ID65" s="32">
        <v>1.9E-2</v>
      </c>
      <c r="IE65" s="32">
        <v>1259.9727291137726</v>
      </c>
      <c r="IF65" s="32">
        <v>17.499621237691287</v>
      </c>
      <c r="IG65" s="32">
        <v>91.756377197604763</v>
      </c>
      <c r="IH65" s="32">
        <v>1.2743941277445106</v>
      </c>
      <c r="II65" s="32">
        <v>675.86455315568867</v>
      </c>
      <c r="IJ65" s="32">
        <v>9.3870076827178988</v>
      </c>
      <c r="IK65" s="32">
        <v>253.8977963714286</v>
      </c>
      <c r="IL65" s="32">
        <v>3.5263582829365081</v>
      </c>
      <c r="IM65" s="32">
        <v>1112.8129764</v>
      </c>
      <c r="IN65" s="32">
        <v>15.455735783333333</v>
      </c>
      <c r="IO65" s="32">
        <v>9.7000000000000003E-2</v>
      </c>
      <c r="IP65" s="32">
        <v>-182.83796172580645</v>
      </c>
      <c r="IQ65" s="8">
        <v>-2.539416135080645</v>
      </c>
      <c r="IR65" s="32">
        <v>1509.1948909677421</v>
      </c>
      <c r="IS65" s="32">
        <v>-1.0349995519713301E-2</v>
      </c>
      <c r="IT65" s="32">
        <v>6.8000000000000005E-2</v>
      </c>
      <c r="IU65" s="32">
        <v>92679.831148999976</v>
      </c>
      <c r="IV65" s="32">
        <v>116848.62662299999</v>
      </c>
      <c r="IW65" s="32">
        <v>0.16600000000000001</v>
      </c>
      <c r="IX65" s="32">
        <v>0.115</v>
      </c>
      <c r="IY65" s="32">
        <v>58.433734939759027</v>
      </c>
      <c r="IZ65" s="32">
        <v>6.1685414378043175</v>
      </c>
      <c r="JA65" s="32">
        <v>12.291718327985148</v>
      </c>
      <c r="JB65" s="32">
        <v>17.068885299508576</v>
      </c>
      <c r="JC65" s="32">
        <v>84.704673695907303</v>
      </c>
      <c r="JD65" s="32">
        <v>6.1685414378043175</v>
      </c>
      <c r="JE65" s="32">
        <v>12.291718327985148</v>
      </c>
      <c r="JF65" s="32">
        <v>17.068885299508576</v>
      </c>
      <c r="JG65" s="32">
        <v>0.28628375911731868</v>
      </c>
      <c r="JH65" s="32">
        <v>7.999282463877158</v>
      </c>
      <c r="JI65" s="69"/>
      <c r="JJ65" s="32">
        <v>6.685914598097292</v>
      </c>
      <c r="JK65" s="32">
        <v>17.394332848497573</v>
      </c>
      <c r="JL65" s="32">
        <v>7.7592142024220383</v>
      </c>
      <c r="JM65" s="32">
        <v>24.298004438478024</v>
      </c>
      <c r="JN65" s="32">
        <v>-48</v>
      </c>
      <c r="JO65" s="32">
        <v>24.298004438478024</v>
      </c>
      <c r="JP65" s="32">
        <v>0.60422960725075581</v>
      </c>
      <c r="JQ65" s="32">
        <v>128.9675397435872</v>
      </c>
      <c r="JR65" s="32">
        <v>39.584952834396802</v>
      </c>
      <c r="JS65" s="32">
        <v>6.294578086665914</v>
      </c>
      <c r="JT65" s="32">
        <v>-3.3783006534048319</v>
      </c>
      <c r="JU65" s="69"/>
      <c r="JV65" s="32">
        <v>1296.9663340000002</v>
      </c>
      <c r="JW65" s="32">
        <v>18.013421305555557</v>
      </c>
      <c r="JX65" s="32">
        <v>0.39700000000000002</v>
      </c>
      <c r="JY65" s="32">
        <v>598.79266507647048</v>
      </c>
      <c r="JZ65" s="32">
        <v>8.3165647927287569</v>
      </c>
      <c r="KA65" s="32">
        <v>245.98492221960788</v>
      </c>
      <c r="KB65" s="32">
        <v>3.4164572530501096</v>
      </c>
      <c r="KC65" s="32">
        <v>422.38879364803915</v>
      </c>
      <c r="KD65" s="32">
        <v>5.8665110228894326</v>
      </c>
      <c r="KE65" s="32">
        <v>0.50900000000000001</v>
      </c>
      <c r="KF65" s="32">
        <v>8.1000000000000003E-2</v>
      </c>
      <c r="KG65" s="32">
        <v>24.803870373920201</v>
      </c>
      <c r="KH65" s="32">
        <v>74.948832312972783</v>
      </c>
      <c r="KI65" s="32">
        <v>66.183602573389166</v>
      </c>
      <c r="KJ65" s="32">
        <v>99.541985753903759</v>
      </c>
      <c r="KK65" s="32">
        <v>0.7844303008041863</v>
      </c>
      <c r="KL65" s="32">
        <v>1.653386327211442</v>
      </c>
      <c r="KM65" s="69"/>
      <c r="KN65" s="32">
        <v>724.52230499999996</v>
      </c>
      <c r="KO65" s="32">
        <v>10.062809791666666</v>
      </c>
      <c r="KP65" s="32">
        <v>2.1999999999999999E-2</v>
      </c>
      <c r="KQ65" s="32">
        <v>1513.8037020000002</v>
      </c>
      <c r="KR65" s="32">
        <v>21.02505141666667</v>
      </c>
      <c r="KS65" s="32">
        <v>0.10199999999999999</v>
      </c>
      <c r="KT65" s="32">
        <v>976.1121169017855</v>
      </c>
      <c r="KU65" s="32">
        <v>13.557112734747021</v>
      </c>
      <c r="KV65" s="32">
        <v>315.24381193303572</v>
      </c>
      <c r="KW65" s="32">
        <v>4.378386276847718</v>
      </c>
      <c r="KX65" s="32">
        <v>645.67796441741064</v>
      </c>
      <c r="KY65" s="32">
        <v>8.9677495057973697</v>
      </c>
      <c r="KZ65" s="32">
        <v>0.223</v>
      </c>
      <c r="LA65" s="32">
        <v>8.1000000000000003E-2</v>
      </c>
      <c r="LB65" s="32">
        <v>28.253159998612745</v>
      </c>
      <c r="LC65" s="32">
        <v>71.746840001387255</v>
      </c>
      <c r="LD65" s="32">
        <v>81.566830168284426</v>
      </c>
      <c r="LE65" s="32">
        <v>97.461307018171723</v>
      </c>
      <c r="LF65" s="32">
        <v>0.38016034758771822</v>
      </c>
      <c r="LG65" s="32">
        <v>3.9820136729296975</v>
      </c>
      <c r="LH65" s="69"/>
      <c r="LI65" s="32">
        <v>47.916478017338889</v>
      </c>
      <c r="LJ65" s="32">
        <v>15.429036543208685</v>
      </c>
      <c r="LK65" s="32">
        <v>-118.23647294589179</v>
      </c>
      <c r="LL65" s="32">
        <v>-78.142076502732252</v>
      </c>
      <c r="LM65" s="32">
        <v>13.002196317712508</v>
      </c>
      <c r="LN65" s="69"/>
      <c r="LO65" s="32">
        <v>1809.953227</v>
      </c>
      <c r="LP65" s="32">
        <v>25.138239263888888</v>
      </c>
      <c r="LQ65" s="32">
        <v>1.7999999999999999E-2</v>
      </c>
      <c r="LR65" s="32">
        <v>1809.953227</v>
      </c>
      <c r="LS65" s="32">
        <v>25.138239263888888</v>
      </c>
      <c r="LT65" s="32">
        <v>1.7999999999999999E-2</v>
      </c>
      <c r="LU65" s="32">
        <v>1140.7234146420453</v>
      </c>
      <c r="LV65" s="32">
        <v>15.843380758917297</v>
      </c>
      <c r="LW65" s="32">
        <v>95.897221431818167</v>
      </c>
      <c r="LX65" s="32">
        <v>1.3319058532196968</v>
      </c>
      <c r="LY65" s="32">
        <v>618.31031803693179</v>
      </c>
      <c r="LZ65" s="32">
        <v>8.5876433060684967</v>
      </c>
      <c r="MA65" s="32">
        <v>221.60731380672266</v>
      </c>
      <c r="MB65" s="32">
        <v>3.0778793584267037</v>
      </c>
      <c r="MC65" s="32">
        <v>1045.8652806470586</v>
      </c>
      <c r="MD65" s="32">
        <v>14.525906675653593</v>
      </c>
      <c r="ME65" s="32">
        <v>0.11</v>
      </c>
      <c r="MF65" s="32">
        <v>-166.55016440350875</v>
      </c>
      <c r="MG65" s="8">
        <v>-2.3131967278265102</v>
      </c>
      <c r="MH65" s="32">
        <v>1338.7605715789473</v>
      </c>
      <c r="MI65" s="32">
        <v>-1.6682675138888889</v>
      </c>
      <c r="MJ65" s="32">
        <v>6.5000000000000002E-2</v>
      </c>
      <c r="MK65" s="32">
        <v>75484.553857499996</v>
      </c>
      <c r="ML65" s="32">
        <v>123603.95503699999</v>
      </c>
      <c r="MM65" s="32">
        <v>0.17499999999999999</v>
      </c>
      <c r="MN65" s="32">
        <v>0.122</v>
      </c>
      <c r="MO65" s="32">
        <v>62.857142857142868</v>
      </c>
      <c r="MP65" s="32">
        <v>13.124581295249859</v>
      </c>
      <c r="MQ65" s="32">
        <v>7.5569476810673128</v>
      </c>
      <c r="MR65" s="32">
        <v>17.463226266362089</v>
      </c>
      <c r="MS65" s="32">
        <v>89.89193883106806</v>
      </c>
      <c r="MT65" s="32">
        <v>13.124581295249859</v>
      </c>
      <c r="MU65" s="32">
        <v>31.905174882489817</v>
      </c>
      <c r="MV65" s="32">
        <v>17.463226266362089</v>
      </c>
      <c r="MW65" s="32">
        <v>21.706590929567941</v>
      </c>
      <c r="MX65" s="32" t="s">
        <v>34</v>
      </c>
      <c r="MY65" s="32" t="s">
        <v>34</v>
      </c>
      <c r="MZ65" s="32" t="s">
        <v>34</v>
      </c>
      <c r="NA65" s="32" t="s">
        <v>34</v>
      </c>
      <c r="NB65" s="17" t="s">
        <v>34</v>
      </c>
      <c r="NC65" s="69"/>
      <c r="ND65" s="32">
        <v>2116.5082419999999</v>
      </c>
      <c r="NE65" s="32">
        <v>29.395947805555554</v>
      </c>
      <c r="NF65" s="32">
        <v>1.7999999999999999E-2</v>
      </c>
      <c r="NG65" s="32">
        <v>2116.5082419999999</v>
      </c>
      <c r="NH65" s="32">
        <v>29.395947805555554</v>
      </c>
      <c r="NI65" s="32">
        <v>1.7999999999999999E-2</v>
      </c>
      <c r="NJ65" s="32">
        <v>1253.2004021158539</v>
      </c>
      <c r="NK65" s="32">
        <v>17.405561140497969</v>
      </c>
      <c r="NL65" s="32">
        <v>125.23707451219514</v>
      </c>
      <c r="NM65" s="32">
        <v>1.7394038126693769</v>
      </c>
      <c r="NN65" s="32">
        <v>689.21873831402445</v>
      </c>
      <c r="NO65" s="32">
        <v>9.5724824765836729</v>
      </c>
      <c r="NP65" s="32">
        <v>272.58241627678575</v>
      </c>
      <c r="NQ65" s="32">
        <v>3.7858668927331354</v>
      </c>
      <c r="NR65" s="32">
        <v>1130.7581797321429</v>
      </c>
      <c r="NS65" s="32">
        <v>15.704974718501985</v>
      </c>
      <c r="NT65" s="32">
        <v>0.10100000000000001</v>
      </c>
      <c r="NU65" s="32">
        <v>-192.12212313461535</v>
      </c>
      <c r="NV65" s="8">
        <v>-2.6683628213141022</v>
      </c>
      <c r="NW65" s="32">
        <v>1516.922111865385</v>
      </c>
      <c r="NX65" s="32">
        <v>0.95859955769230765</v>
      </c>
      <c r="NY65" s="32">
        <v>0.06</v>
      </c>
      <c r="NZ65" s="32">
        <v>77979.211127999995</v>
      </c>
      <c r="OA65" s="32">
        <v>126646.277675</v>
      </c>
      <c r="OB65" s="32">
        <v>0.16300000000000001</v>
      </c>
      <c r="OC65" s="32">
        <v>0.122</v>
      </c>
      <c r="OD65" s="32">
        <v>61.963190184049076</v>
      </c>
      <c r="OE65" s="32">
        <v>8.3476300614310794</v>
      </c>
      <c r="OF65" s="32">
        <v>12.805827801321801</v>
      </c>
      <c r="OG65" s="32">
        <v>18.168878354852062</v>
      </c>
      <c r="OH65" s="32">
        <v>83.531601088950197</v>
      </c>
      <c r="OI65" s="32">
        <v>8.3476300614310794</v>
      </c>
      <c r="OJ65" s="32">
        <v>12.805827801321801</v>
      </c>
      <c r="OK65" s="32">
        <v>18.168878354852062</v>
      </c>
      <c r="OL65" s="32">
        <v>0.27706937205867543</v>
      </c>
      <c r="OM65" s="32">
        <v>7.6389108845700333</v>
      </c>
      <c r="ON65" s="69"/>
      <c r="OO65" s="32">
        <v>-9.396872756471975</v>
      </c>
      <c r="OP65" s="32">
        <v>-14.259233076872993</v>
      </c>
      <c r="OQ65" s="32">
        <v>-20.629770052667546</v>
      </c>
      <c r="OR65" s="32">
        <v>-15.614823546355799</v>
      </c>
      <c r="OS65" s="32">
        <v>0</v>
      </c>
      <c r="OT65" s="32">
        <v>-15.614823546355799</v>
      </c>
      <c r="OU65" s="32">
        <v>7.1005917159763214</v>
      </c>
      <c r="OV65" s="32">
        <v>-127.11261011540384</v>
      </c>
      <c r="OW65" s="32">
        <v>-9.9428276960914914</v>
      </c>
      <c r="OX65" s="32">
        <v>2.4585303898672537</v>
      </c>
      <c r="OY65" s="32">
        <v>-3.9607656970666385</v>
      </c>
    </row>
    <row r="66" spans="1:415" ht="15.75" x14ac:dyDescent="0.25">
      <c r="A66" s="10">
        <v>65</v>
      </c>
      <c r="B66" s="3" t="s">
        <v>382</v>
      </c>
      <c r="C66" s="3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9"/>
      <c r="K66" s="32">
        <v>1040.9057209999996</v>
      </c>
      <c r="L66" s="32">
        <v>17.348428683333328</v>
      </c>
      <c r="M66" s="32">
        <v>0.35699999999999998</v>
      </c>
      <c r="N66" s="32">
        <v>493.6624945044444</v>
      </c>
      <c r="O66" s="32">
        <v>8.2277082417407392</v>
      </c>
      <c r="P66" s="32">
        <v>196.44628566222221</v>
      </c>
      <c r="Q66" s="32">
        <v>3.2741047610370368</v>
      </c>
      <c r="R66" s="32">
        <v>345.05439008333332</v>
      </c>
      <c r="S66" s="32">
        <v>5.7509065013888883</v>
      </c>
      <c r="T66" s="32">
        <v>0.44900000000000001</v>
      </c>
      <c r="U66" s="32">
        <v>6.3E-2</v>
      </c>
      <c r="V66" s="32">
        <v>27.628438204275771</v>
      </c>
      <c r="W66" s="32">
        <v>72.371561795724233</v>
      </c>
      <c r="X66" s="32">
        <v>66.438377756111947</v>
      </c>
      <c r="Y66" s="32">
        <v>88.565947895662291</v>
      </c>
      <c r="Z66" s="32">
        <v>0.6408978518800269</v>
      </c>
      <c r="AA66" s="32">
        <v>1.6241366981439849</v>
      </c>
      <c r="AB66" s="69"/>
      <c r="AC66" s="32">
        <v>352.34262100000001</v>
      </c>
      <c r="AD66" s="32">
        <v>5.8723770166666664</v>
      </c>
      <c r="AE66" s="32">
        <v>1.7000000000000001E-2</v>
      </c>
      <c r="AF66" s="32">
        <v>1241.2782260000001</v>
      </c>
      <c r="AG66" s="32">
        <v>20.687970433333337</v>
      </c>
      <c r="AH66" s="32">
        <v>0.115</v>
      </c>
      <c r="AI66" s="32">
        <v>734.31041925116267</v>
      </c>
      <c r="AJ66" s="32">
        <v>12.238506987519377</v>
      </c>
      <c r="AK66" s="32">
        <v>255.13580318139535</v>
      </c>
      <c r="AL66" s="32">
        <v>4.2522633863565895</v>
      </c>
      <c r="AM66" s="32">
        <v>494.72311121627899</v>
      </c>
      <c r="AN66" s="32">
        <v>8.2453851869379839</v>
      </c>
      <c r="AO66" s="32">
        <v>0.214</v>
      </c>
      <c r="AP66" s="32">
        <v>6.3E-2</v>
      </c>
      <c r="AQ66" s="32">
        <v>27.137756177468699</v>
      </c>
      <c r="AR66" s="32">
        <v>72.862243822531298</v>
      </c>
      <c r="AS66" s="32">
        <v>58.064462273781018</v>
      </c>
      <c r="AT66" s="32">
        <v>98.630263935499656</v>
      </c>
      <c r="AU66" s="32">
        <v>0.2972882282925392</v>
      </c>
      <c r="AV66" s="32">
        <v>4.1753359462943509</v>
      </c>
      <c r="AW66" s="69"/>
      <c r="AX66" s="32">
        <v>39.194337603217257</v>
      </c>
      <c r="AY66" s="32">
        <v>17.559715575372113</v>
      </c>
      <c r="AZ66" s="32">
        <v>-102.54237288135593</v>
      </c>
      <c r="BA66" s="32">
        <v>-70.889894419306188</v>
      </c>
      <c r="BB66" s="32">
        <v>-1.7919157332233169</v>
      </c>
      <c r="BC66" s="69"/>
      <c r="BD66" s="32">
        <v>858.78325100000006</v>
      </c>
      <c r="BE66" s="32">
        <v>14.313054183333334</v>
      </c>
      <c r="BF66" s="32">
        <v>1.7999999999999999E-2</v>
      </c>
      <c r="BG66" s="32">
        <v>1525.9584150000001</v>
      </c>
      <c r="BH66" s="32">
        <v>25.432640250000002</v>
      </c>
      <c r="BI66" s="32">
        <v>6.0999999999999999E-2</v>
      </c>
      <c r="BJ66" s="32">
        <v>960.92409862773695</v>
      </c>
      <c r="BK66" s="32">
        <v>16.015401643795617</v>
      </c>
      <c r="BL66" s="32">
        <v>133.91635159854013</v>
      </c>
      <c r="BM66" s="32">
        <v>2.2319391933090023</v>
      </c>
      <c r="BN66" s="32">
        <v>547.42022511313849</v>
      </c>
      <c r="BO66" s="32">
        <v>9.1236704185523081</v>
      </c>
      <c r="BP66" s="32">
        <v>197.60131411864407</v>
      </c>
      <c r="BQ66" s="32">
        <v>3.2933552353107345</v>
      </c>
      <c r="BR66" s="32">
        <v>1031.0226224491523</v>
      </c>
      <c r="BS66" s="32">
        <v>17.18371037415254</v>
      </c>
      <c r="BT66" s="32">
        <v>0.11799999999999999</v>
      </c>
      <c r="BU66" s="32">
        <v>-261.60078405263158</v>
      </c>
      <c r="BV66" s="8">
        <v>-4.3600130675438598</v>
      </c>
      <c r="BW66" s="32">
        <v>525.57537173684216</v>
      </c>
      <c r="BX66" s="32" t="s">
        <v>34</v>
      </c>
      <c r="BY66" s="32">
        <v>1.7999999999999999E-2</v>
      </c>
      <c r="BZ66" s="32">
        <v>9546.0267770000009</v>
      </c>
      <c r="CA66" s="32">
        <v>121234.58699999998</v>
      </c>
      <c r="CB66" s="32">
        <v>0.13600000000000001</v>
      </c>
      <c r="CC66" s="32">
        <v>9.6000000000000002E-2</v>
      </c>
      <c r="CD66" s="32">
        <v>86.764705882352928</v>
      </c>
      <c r="CE66" s="32">
        <v>22.758957230165507</v>
      </c>
      <c r="CF66" s="32">
        <v>11.650563393715951</v>
      </c>
      <c r="CG66" s="32">
        <v>17.191079426374831</v>
      </c>
      <c r="CH66" s="32">
        <v>83.599254265629597</v>
      </c>
      <c r="CI66" s="32">
        <v>22.758957230165507</v>
      </c>
      <c r="CJ66" s="32">
        <v>34.698041249832698</v>
      </c>
      <c r="CK66" s="32">
        <v>17.191079426374831</v>
      </c>
      <c r="CL66" s="32">
        <v>24.242192814239733</v>
      </c>
      <c r="CM66" s="32" t="s">
        <v>34</v>
      </c>
      <c r="CN66" s="32" t="s">
        <v>34</v>
      </c>
      <c r="CO66" s="32" t="s">
        <v>34</v>
      </c>
      <c r="CP66" s="32" t="s">
        <v>34</v>
      </c>
      <c r="CQ66" s="17" t="s">
        <v>34</v>
      </c>
      <c r="CR66" s="69"/>
      <c r="CS66" s="32">
        <v>1894.2067520000001</v>
      </c>
      <c r="CT66" s="32">
        <v>31.570112533333333</v>
      </c>
      <c r="CU66" s="32">
        <v>1.2999999999999999E-2</v>
      </c>
      <c r="CV66" s="32">
        <v>1894.2067520000001</v>
      </c>
      <c r="CW66" s="32">
        <v>31.570112533333333</v>
      </c>
      <c r="CX66" s="32">
        <v>1.2999999999999999E-2</v>
      </c>
      <c r="CY66" s="32">
        <v>1019.5610776357616</v>
      </c>
      <c r="CZ66" s="32">
        <v>16.992684627262694</v>
      </c>
      <c r="DA66" s="32">
        <v>82.693873437086097</v>
      </c>
      <c r="DB66" s="32">
        <v>1.3782312239514349</v>
      </c>
      <c r="DC66" s="32">
        <v>551.12747553642384</v>
      </c>
      <c r="DD66" s="32">
        <v>9.1854579256070643</v>
      </c>
      <c r="DE66" s="32">
        <v>195.38710908823529</v>
      </c>
      <c r="DF66" s="32">
        <v>3.256451818137255</v>
      </c>
      <c r="DG66" s="32">
        <v>992.07837424509819</v>
      </c>
      <c r="DH66" s="32">
        <v>16.534639570751636</v>
      </c>
      <c r="DI66" s="32">
        <v>1E-3</v>
      </c>
      <c r="DJ66" s="32">
        <v>-151.8920456734694</v>
      </c>
      <c r="DK66" s="8">
        <v>-2.5315340945578231</v>
      </c>
      <c r="DL66" s="32">
        <v>1076.7699704081633</v>
      </c>
      <c r="DM66" s="32">
        <v>-0.53615936904761896</v>
      </c>
      <c r="DN66" s="32">
        <v>0.14799999999999999</v>
      </c>
      <c r="DO66" s="32">
        <v>52744.389138999999</v>
      </c>
      <c r="DP66" s="32">
        <v>101195.92552200001</v>
      </c>
      <c r="DQ66" s="32">
        <v>0.15</v>
      </c>
      <c r="DR66" s="32">
        <v>9.6000000000000002E-2</v>
      </c>
      <c r="DS66" s="32">
        <v>0.66666666666666674</v>
      </c>
      <c r="DT66" s="32">
        <v>6.8863706968465443</v>
      </c>
      <c r="DU66" s="32">
        <v>12.648880611520113</v>
      </c>
      <c r="DV66" s="32">
        <v>16.270952207728566</v>
      </c>
      <c r="DW66" s="32">
        <v>84.904422018855612</v>
      </c>
      <c r="DX66" s="32">
        <v>6.8863706968465443</v>
      </c>
      <c r="DY66" s="32">
        <v>12.648880611520113</v>
      </c>
      <c r="DZ66" s="32">
        <v>16.270952207728566</v>
      </c>
      <c r="EA66" s="32">
        <v>0.2451640999745881</v>
      </c>
      <c r="EB66" s="32">
        <v>7.7262810998687801</v>
      </c>
      <c r="EC66" s="69"/>
      <c r="ED66" s="32">
        <v>5.9214761827859492</v>
      </c>
      <c r="EE66" s="32">
        <v>-53.064397006271477</v>
      </c>
      <c r="EF66" s="32">
        <v>-1.1268550927481964</v>
      </c>
      <c r="EG66" s="32">
        <v>21.533950497660278</v>
      </c>
      <c r="EH66" s="32">
        <v>-129.72972972972974</v>
      </c>
      <c r="EI66" s="32">
        <v>75.221740716215749</v>
      </c>
      <c r="EJ66" s="32">
        <v>9.7902097902097776</v>
      </c>
      <c r="EK66" s="32">
        <v>130.08670717630807</v>
      </c>
      <c r="EL66" s="32">
        <v>51.402164711746444</v>
      </c>
      <c r="EM66" s="32">
        <v>-57.106433122797505</v>
      </c>
      <c r="EN66" s="32">
        <v>-5.4995299072546526</v>
      </c>
      <c r="EO66" s="69"/>
      <c r="EP66" s="32">
        <v>978.94186999999988</v>
      </c>
      <c r="EQ66" s="32">
        <v>16.315697833333331</v>
      </c>
      <c r="ER66" s="32">
        <v>0.223</v>
      </c>
      <c r="ES66" s="32">
        <v>606.31551383749991</v>
      </c>
      <c r="ET66" s="32">
        <v>10.105258563958332</v>
      </c>
      <c r="EU66" s="32">
        <v>255.70182451874999</v>
      </c>
      <c r="EV66" s="32">
        <v>4.2616970753125001</v>
      </c>
      <c r="EW66" s="32">
        <v>431.00866917812493</v>
      </c>
      <c r="EX66" s="32">
        <v>7.1834778196354154</v>
      </c>
      <c r="EY66" s="32">
        <v>0.31900000000000001</v>
      </c>
      <c r="EZ66" s="32">
        <v>5.7000000000000002E-2</v>
      </c>
      <c r="FA66" s="32">
        <v>29.465162585028487</v>
      </c>
      <c r="FB66" s="32">
        <v>70.417108870996387</v>
      </c>
      <c r="FC66" s="32">
        <v>60.453413627075747</v>
      </c>
      <c r="FD66" s="32">
        <v>98.581202626204117</v>
      </c>
      <c r="FE66" s="32">
        <v>0.50618454548642111</v>
      </c>
      <c r="FF66" s="32">
        <v>1.9339623833423829</v>
      </c>
      <c r="FG66" s="69"/>
      <c r="FH66" s="32">
        <v>237.90069299999999</v>
      </c>
      <c r="FI66" s="32">
        <v>3.9650115499999998</v>
      </c>
      <c r="FJ66" s="32">
        <v>1.4999999999999999E-2</v>
      </c>
      <c r="FK66" s="32">
        <v>1336.351964</v>
      </c>
      <c r="FL66" s="32">
        <v>22.272532733333332</v>
      </c>
      <c r="FM66" s="32">
        <v>0.124</v>
      </c>
      <c r="FN66" s="32">
        <v>766.2308574568965</v>
      </c>
      <c r="FO66" s="32">
        <v>12.770514290948276</v>
      </c>
      <c r="FP66" s="32">
        <v>220.05408451724139</v>
      </c>
      <c r="FQ66" s="32">
        <v>3.6675680752873565</v>
      </c>
      <c r="FR66" s="32">
        <v>493.14247098706892</v>
      </c>
      <c r="FS66" s="32">
        <v>8.219041183117815</v>
      </c>
      <c r="FT66" s="32">
        <v>0.23100000000000001</v>
      </c>
      <c r="FU66" s="32">
        <v>5.7000000000000002E-2</v>
      </c>
      <c r="FV66" s="32">
        <v>25.941826527196064</v>
      </c>
      <c r="FW66" s="32">
        <v>74.058173472803929</v>
      </c>
      <c r="FX66" s="32">
        <v>51.03550323524626</v>
      </c>
      <c r="FY66" s="32">
        <v>98.713415249967184</v>
      </c>
      <c r="FZ66" s="32">
        <v>0.35009599225817728</v>
      </c>
      <c r="GA66" s="32">
        <v>3.8171015765713507</v>
      </c>
      <c r="GB66" s="69"/>
      <c r="GC66" s="32">
        <v>23.301995031116725</v>
      </c>
      <c r="GD66" s="32">
        <v>30.873843203091262</v>
      </c>
      <c r="GE66" s="32">
        <v>-57.060518731988473</v>
      </c>
      <c r="GF66" s="32">
        <v>-31.999999999999996</v>
      </c>
      <c r="GG66" s="32">
        <v>-12.718020286921035</v>
      </c>
      <c r="GH66" s="69"/>
      <c r="GI66" s="32">
        <v>1644.998938</v>
      </c>
      <c r="GJ66" s="32">
        <v>27.416648966666667</v>
      </c>
      <c r="GK66" s="32">
        <v>6.8000000000000005E-2</v>
      </c>
      <c r="GL66" s="32">
        <v>1644.998938</v>
      </c>
      <c r="GM66" s="32">
        <v>27.416648966666667</v>
      </c>
      <c r="GN66" s="32">
        <v>6.8000000000000005E-2</v>
      </c>
      <c r="GO66" s="32">
        <v>1008.8730986346153</v>
      </c>
      <c r="GP66" s="32">
        <v>16.814551643910256</v>
      </c>
      <c r="GQ66" s="32">
        <v>95.211858750000005</v>
      </c>
      <c r="GR66" s="32">
        <v>1.5868643125000002</v>
      </c>
      <c r="GS66" s="32">
        <v>552.04247869230767</v>
      </c>
      <c r="GT66" s="32">
        <v>9.2007079782051271</v>
      </c>
      <c r="GU66" s="32">
        <v>177.25234580909088</v>
      </c>
      <c r="GV66" s="32">
        <v>2.9542057634848482</v>
      </c>
      <c r="GW66" s="32">
        <v>1000.0839475818184</v>
      </c>
      <c r="GX66" s="32">
        <v>16.668065793030305</v>
      </c>
      <c r="GY66" s="32">
        <v>9.9000000000000005E-2</v>
      </c>
      <c r="GZ66" s="32">
        <v>-100.97191465217392</v>
      </c>
      <c r="HA66" s="8">
        <v>-1.6828652442028986</v>
      </c>
      <c r="HB66" s="32">
        <v>1029.8906337608696</v>
      </c>
      <c r="HC66" s="32">
        <v>0.94951400036231881</v>
      </c>
      <c r="HD66" s="32">
        <v>5.6000000000000001E-2</v>
      </c>
      <c r="HE66" s="32">
        <v>46593.216868999996</v>
      </c>
      <c r="HF66" s="32">
        <v>109592.07846799999</v>
      </c>
      <c r="HG66" s="32">
        <v>0.155</v>
      </c>
      <c r="HH66" s="32">
        <v>0.123</v>
      </c>
      <c r="HI66" s="32">
        <v>63.870967741935495</v>
      </c>
      <c r="HJ66" s="32">
        <v>8.4650303802737046</v>
      </c>
      <c r="HK66" s="32">
        <v>7.9821332462345884</v>
      </c>
      <c r="HL66" s="32">
        <v>14.860038035501688</v>
      </c>
      <c r="HM66" s="32">
        <v>84.579374959876731</v>
      </c>
      <c r="HN66" s="32">
        <v>8.4650303802737046</v>
      </c>
      <c r="HO66" s="32">
        <v>28.134293857854058</v>
      </c>
      <c r="HP66" s="32">
        <v>14.860038035501688</v>
      </c>
      <c r="HQ66" s="32">
        <v>21.129194816257336</v>
      </c>
      <c r="HR66" s="32">
        <v>63.870967741935495</v>
      </c>
      <c r="HS66" s="32" t="s">
        <v>34</v>
      </c>
      <c r="HT66" s="32" t="s">
        <v>34</v>
      </c>
      <c r="HU66" s="32" t="s">
        <v>34</v>
      </c>
      <c r="HV66" s="32" t="s">
        <v>34</v>
      </c>
      <c r="HW66" s="17" t="s">
        <v>34</v>
      </c>
      <c r="HX66" s="69"/>
      <c r="HY66" s="32">
        <v>1815.435477</v>
      </c>
      <c r="HZ66" s="32">
        <v>30.25725795</v>
      </c>
      <c r="IA66" s="32">
        <v>2.3E-2</v>
      </c>
      <c r="IB66" s="32">
        <v>1815.435477</v>
      </c>
      <c r="IC66" s="32">
        <v>30.25725795</v>
      </c>
      <c r="ID66" s="32">
        <v>2.3E-2</v>
      </c>
      <c r="IE66" s="32">
        <v>1073.3518886835441</v>
      </c>
      <c r="IF66" s="32">
        <v>17.889198144725736</v>
      </c>
      <c r="IG66" s="32">
        <v>64.107668044303807</v>
      </c>
      <c r="IH66" s="32">
        <v>1.06846113407173</v>
      </c>
      <c r="II66" s="32">
        <v>568.72977836392397</v>
      </c>
      <c r="IJ66" s="32">
        <v>9.4788296393987324</v>
      </c>
      <c r="IK66" s="32">
        <v>151.3486932330097</v>
      </c>
      <c r="IL66" s="32">
        <v>2.5224782205501617</v>
      </c>
      <c r="IM66" s="32">
        <v>927.55701216504849</v>
      </c>
      <c r="IN66" s="32">
        <v>15.459283536084142</v>
      </c>
      <c r="IO66" s="32">
        <v>8.7999999999999995E-2</v>
      </c>
      <c r="IP66" s="32">
        <v>-99.270979127272696</v>
      </c>
      <c r="IQ66" s="8">
        <v>-1.6545163187878782</v>
      </c>
      <c r="IR66" s="32">
        <v>1346.3859301636364</v>
      </c>
      <c r="IS66" s="32">
        <v>-0.13984869242424242</v>
      </c>
      <c r="IT66" s="32">
        <v>0.156</v>
      </c>
      <c r="IU66" s="32">
        <v>74046.230821500008</v>
      </c>
      <c r="IV66" s="32">
        <v>95539.201803499993</v>
      </c>
      <c r="IW66" s="32">
        <v>0.157</v>
      </c>
      <c r="IX66" s="32">
        <v>0.123</v>
      </c>
      <c r="IY66" s="32">
        <v>56.050955414012741</v>
      </c>
      <c r="IZ66" s="32">
        <v>5.3132058453679463</v>
      </c>
      <c r="JA66" s="32">
        <v>8.2275203991184682</v>
      </c>
      <c r="JB66" s="32">
        <v>12.543690733200496</v>
      </c>
      <c r="JC66" s="32">
        <v>88.958773623600237</v>
      </c>
      <c r="JD66" s="32">
        <v>5.3132058453679463</v>
      </c>
      <c r="JE66" s="32">
        <v>8.2275203991184682</v>
      </c>
      <c r="JF66" s="32">
        <v>12.543690733200496</v>
      </c>
      <c r="JG66" s="32">
        <v>0.25684049369995748</v>
      </c>
      <c r="JH66" s="32">
        <v>7.0683382158609387</v>
      </c>
      <c r="JI66" s="69"/>
      <c r="JJ66" s="32">
        <v>6.1932586960235678</v>
      </c>
      <c r="JK66" s="32">
        <v>-1.6988722973357411</v>
      </c>
      <c r="JL66" s="32">
        <v>-15.766019883316554</v>
      </c>
      <c r="JM66" s="32">
        <v>9.8505862883114368</v>
      </c>
      <c r="JN66" s="32">
        <v>-98.901098901098919</v>
      </c>
      <c r="JO66" s="32">
        <v>9.8505862883114368</v>
      </c>
      <c r="JP66" s="32">
        <v>1.2820512820512833</v>
      </c>
      <c r="JQ66" s="32">
        <v>119.32904169072052</v>
      </c>
      <c r="JR66" s="32">
        <v>40.148316375809664</v>
      </c>
      <c r="JS66" s="32">
        <v>-2.8457002682712207</v>
      </c>
      <c r="JT66" s="32">
        <v>-16.905343954116887</v>
      </c>
      <c r="JU66" s="69"/>
      <c r="JV66" s="32">
        <v>972.25138400000003</v>
      </c>
      <c r="JW66" s="32">
        <v>16.204189733333333</v>
      </c>
      <c r="JX66" s="32">
        <v>0.376</v>
      </c>
      <c r="JY66" s="32">
        <v>599.63733941200837</v>
      </c>
      <c r="JZ66" s="32">
        <v>9.993955656866806</v>
      </c>
      <c r="KA66" s="32">
        <v>267.18474940372664</v>
      </c>
      <c r="KB66" s="32">
        <v>4.4530791567287773</v>
      </c>
      <c r="KC66" s="32">
        <v>433.41104440786751</v>
      </c>
      <c r="KD66" s="32">
        <v>7.2235174067977921</v>
      </c>
      <c r="KE66" s="32">
        <v>0.48199999999999998</v>
      </c>
      <c r="KF66" s="32">
        <v>6.4000000000000001E-2</v>
      </c>
      <c r="KG66" s="32">
        <v>31.539716015554252</v>
      </c>
      <c r="KH66" s="32">
        <v>68.460283984445752</v>
      </c>
      <c r="KI66" s="32">
        <v>71.111105634392899</v>
      </c>
      <c r="KJ66" s="32">
        <v>74.844321556159514</v>
      </c>
      <c r="KK66" s="32">
        <v>1.0794764507074315</v>
      </c>
      <c r="KL66" s="32">
        <v>0.90066937853330487</v>
      </c>
      <c r="KM66" s="69"/>
      <c r="KN66" s="32">
        <v>1328.6155350000001</v>
      </c>
      <c r="KO66" s="32">
        <v>22.143592250000001</v>
      </c>
      <c r="KP66" s="32">
        <v>0.11</v>
      </c>
      <c r="KQ66" s="32">
        <v>1328.6155350000001</v>
      </c>
      <c r="KR66" s="32">
        <v>22.143592250000001</v>
      </c>
      <c r="KS66" s="32">
        <v>0.11</v>
      </c>
      <c r="KT66" s="32">
        <v>788.31265551351362</v>
      </c>
      <c r="KU66" s="32">
        <v>13.138544258558561</v>
      </c>
      <c r="KV66" s="32">
        <v>213.22773594144141</v>
      </c>
      <c r="KW66" s="32">
        <v>3.5537955990240233</v>
      </c>
      <c r="KX66" s="32">
        <v>500.77019572747753</v>
      </c>
      <c r="KY66" s="32">
        <v>8.3461699287912925</v>
      </c>
      <c r="KZ66" s="32">
        <v>0.221</v>
      </c>
      <c r="LA66" s="32">
        <v>6.4000000000000001E-2</v>
      </c>
      <c r="LB66" s="32">
        <v>24.433618653793282</v>
      </c>
      <c r="LC66" s="32">
        <v>75.566381346206725</v>
      </c>
      <c r="LD66" s="32">
        <v>73.684189405513948</v>
      </c>
      <c r="LE66" s="32">
        <v>99.488438418112196</v>
      </c>
      <c r="LF66" s="32">
        <v>0.34538038561110629</v>
      </c>
      <c r="LG66" s="32">
        <v>3.8468181470386207</v>
      </c>
      <c r="LH66" s="69"/>
      <c r="LI66" s="32">
        <v>27.187624452079724</v>
      </c>
      <c r="LJ66" s="32">
        <v>30.976511336421204</v>
      </c>
      <c r="LK66" s="32">
        <v>-109.46502057613171</v>
      </c>
      <c r="LL66" s="32">
        <v>-74.253200568990053</v>
      </c>
      <c r="LM66" s="32">
        <v>-25.391009500287836</v>
      </c>
      <c r="LN66" s="69"/>
      <c r="LO66" s="32">
        <v>661.35020999999995</v>
      </c>
      <c r="LP66" s="32">
        <v>11.022503499999999</v>
      </c>
      <c r="LQ66" s="32">
        <v>7.3999999999999996E-2</v>
      </c>
      <c r="LR66" s="32">
        <v>661.35020999999995</v>
      </c>
      <c r="LS66" s="32">
        <v>11.022503499999999</v>
      </c>
      <c r="LT66" s="32">
        <v>7.3999999999999996E-2</v>
      </c>
      <c r="LU66" s="32">
        <v>391.43944272727271</v>
      </c>
      <c r="LV66" s="32">
        <v>6.5239907121212122</v>
      </c>
      <c r="LW66" s="32">
        <v>-47.622107944055941</v>
      </c>
      <c r="LX66" s="32">
        <v>-0.79370179906759897</v>
      </c>
      <c r="LY66" s="32">
        <v>171.90866739160839</v>
      </c>
      <c r="LZ66" s="32">
        <v>2.8651444565268065</v>
      </c>
      <c r="MA66" s="32">
        <v>50.21630614</v>
      </c>
      <c r="MB66" s="32">
        <v>0.8369384356666667</v>
      </c>
      <c r="MC66" s="32">
        <v>285.06605733999999</v>
      </c>
      <c r="MD66" s="32">
        <v>4.7511009556666668</v>
      </c>
      <c r="ME66" s="32">
        <v>0.05</v>
      </c>
      <c r="MF66" s="32">
        <v>-100.22340583870967</v>
      </c>
      <c r="MG66" s="8">
        <v>-1.6703900973118277</v>
      </c>
      <c r="MH66" s="32">
        <v>448.62943487096777</v>
      </c>
      <c r="MI66" s="32">
        <v>0.68896525591397861</v>
      </c>
      <c r="MJ66" s="32">
        <v>9.1999999999999998E-2</v>
      </c>
      <c r="MK66" s="32">
        <v>41420.635123500004</v>
      </c>
      <c r="ML66" s="32">
        <v>13964.267585500002</v>
      </c>
      <c r="MM66" s="32">
        <v>0.14199999999999999</v>
      </c>
      <c r="MN66" s="32">
        <v>9.9000000000000005E-2</v>
      </c>
      <c r="MO66" s="32">
        <v>35.211267605633807</v>
      </c>
      <c r="MP66" s="32">
        <v>19.906673852807867</v>
      </c>
      <c r="MQ66" s="32">
        <v>9.4588460958027394</v>
      </c>
      <c r="MR66" s="32">
        <v>9.9741135322268057</v>
      </c>
      <c r="MS66" s="32">
        <v>77.748877662737044</v>
      </c>
      <c r="MT66" s="32">
        <v>19.906673852807867</v>
      </c>
      <c r="MU66" s="32">
        <v>18.651003093740243</v>
      </c>
      <c r="MV66" s="32">
        <v>9.9741135322268057</v>
      </c>
      <c r="MW66" s="32">
        <v>20.892589819426586</v>
      </c>
      <c r="MX66" s="32" t="s">
        <v>34</v>
      </c>
      <c r="MY66" s="32" t="s">
        <v>34</v>
      </c>
      <c r="MZ66" s="32" t="s">
        <v>34</v>
      </c>
      <c r="NA66" s="32" t="s">
        <v>34</v>
      </c>
      <c r="NB66" s="17" t="s">
        <v>34</v>
      </c>
      <c r="NC66" s="69"/>
      <c r="ND66" s="32">
        <v>1912.0420360000001</v>
      </c>
      <c r="NE66" s="32">
        <v>31.867367266666669</v>
      </c>
      <c r="NF66" s="32">
        <v>2.1000000000000001E-2</v>
      </c>
      <c r="NG66" s="32">
        <v>1912.0420360000001</v>
      </c>
      <c r="NH66" s="32">
        <v>31.867367266666669</v>
      </c>
      <c r="NI66" s="32">
        <v>2.1000000000000001E-2</v>
      </c>
      <c r="NJ66" s="32">
        <v>1045.7182085597485</v>
      </c>
      <c r="NK66" s="32">
        <v>17.428636809329141</v>
      </c>
      <c r="NL66" s="32">
        <v>40.287875157232712</v>
      </c>
      <c r="NM66" s="32">
        <v>0.67146458595387848</v>
      </c>
      <c r="NN66" s="32">
        <v>543.00304185849063</v>
      </c>
      <c r="NO66" s="32">
        <v>9.0500506976415114</v>
      </c>
      <c r="NP66" s="32">
        <v>154.7956150989011</v>
      </c>
      <c r="NQ66" s="32">
        <v>2.5799269183150182</v>
      </c>
      <c r="NR66" s="32">
        <v>869.52106014285698</v>
      </c>
      <c r="NS66" s="32">
        <v>14.492017669047616</v>
      </c>
      <c r="NT66" s="32">
        <v>8.2000000000000003E-2</v>
      </c>
      <c r="NU66" s="32">
        <v>-112.95042388235296</v>
      </c>
      <c r="NV66" s="8">
        <v>-1.8825070647058828</v>
      </c>
      <c r="NW66" s="32">
        <v>1281.5114512941175</v>
      </c>
      <c r="NX66" s="32">
        <v>-0.88935360392156859</v>
      </c>
      <c r="NY66" s="32">
        <v>7.4999999999999997E-2</v>
      </c>
      <c r="NZ66" s="32">
        <v>86351.847248999999</v>
      </c>
      <c r="OA66" s="32">
        <v>79132.584003000011</v>
      </c>
      <c r="OB66" s="32">
        <v>0.158</v>
      </c>
      <c r="OC66" s="32">
        <v>9.9000000000000005E-2</v>
      </c>
      <c r="OD66" s="32">
        <v>51.898734177215189</v>
      </c>
      <c r="OE66" s="32">
        <v>3.4066691944048197</v>
      </c>
      <c r="OF66" s="32">
        <v>9.5508816991034475</v>
      </c>
      <c r="OG66" s="32">
        <v>13.089234697246161</v>
      </c>
      <c r="OH66" s="32">
        <v>88.424023188751988</v>
      </c>
      <c r="OI66" s="32">
        <v>3.4066691944048197</v>
      </c>
      <c r="OJ66" s="32">
        <v>9.5508816991034475</v>
      </c>
      <c r="OK66" s="32">
        <v>13.089234697246161</v>
      </c>
      <c r="OL66" s="32">
        <v>0.25506734824363164</v>
      </c>
      <c r="OM66" s="32">
        <v>7.496224229271724</v>
      </c>
      <c r="ON66" s="69"/>
      <c r="OO66" s="32">
        <v>-91.051773651491601</v>
      </c>
      <c r="OP66" s="32">
        <v>-11.940507012794736</v>
      </c>
      <c r="OQ66" s="32">
        <v>-102.02266124518142</v>
      </c>
      <c r="OR66" s="32">
        <v>-97.201802635726153</v>
      </c>
      <c r="OS66" s="32">
        <v>111.57894736842104</v>
      </c>
      <c r="OT66" s="32">
        <v>-97.201802635726153</v>
      </c>
      <c r="OU66" s="32">
        <v>-10.666666666666677</v>
      </c>
      <c r="OV66" s="32">
        <v>-160.96004833361485</v>
      </c>
      <c r="OW66" s="32">
        <v>425.15331259520559</v>
      </c>
      <c r="OX66" s="32">
        <v>70.309921917689451</v>
      </c>
      <c r="OY66" s="32">
        <v>-27.013607339445183</v>
      </c>
    </row>
    <row r="67" spans="1:415" ht="15.75" x14ac:dyDescent="0.25">
      <c r="A67" s="10">
        <v>66</v>
      </c>
      <c r="B67" s="3" t="s">
        <v>384</v>
      </c>
      <c r="C67" s="3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9"/>
      <c r="K67" s="32">
        <v>1244.9751800000001</v>
      </c>
      <c r="L67" s="32">
        <v>17.785359714285715</v>
      </c>
      <c r="M67" s="32">
        <v>0.14499999999999999</v>
      </c>
      <c r="N67" s="32">
        <v>749.79713611641228</v>
      </c>
      <c r="O67" s="32">
        <v>10.71138765880589</v>
      </c>
      <c r="P67" s="32">
        <v>351.63334486259544</v>
      </c>
      <c r="Q67" s="32">
        <v>5.0233334980370774</v>
      </c>
      <c r="R67" s="32">
        <v>550.71524048950391</v>
      </c>
      <c r="S67" s="32">
        <v>7.8673605784214846</v>
      </c>
      <c r="T67" s="32">
        <v>0.52300000000000002</v>
      </c>
      <c r="U67" s="32">
        <v>6.3E-2</v>
      </c>
      <c r="V67" s="32">
        <v>33.040174003080729</v>
      </c>
      <c r="W67" s="32">
        <v>66.959825996919264</v>
      </c>
      <c r="X67" s="32">
        <v>93.076920451990986</v>
      </c>
      <c r="Y67" s="32">
        <v>76.098915649350658</v>
      </c>
      <c r="Z67" s="32">
        <v>1.4460982632369326</v>
      </c>
      <c r="AA67" s="32">
        <v>0.86092018201671827</v>
      </c>
      <c r="AB67" s="69"/>
      <c r="AC67" s="32">
        <v>517.65760900000009</v>
      </c>
      <c r="AD67" s="32">
        <v>7.3951087000000015</v>
      </c>
      <c r="AE67" s="32">
        <v>1.6E-2</v>
      </c>
      <c r="AF67" s="32">
        <v>1601.0867960000003</v>
      </c>
      <c r="AG67" s="32">
        <v>22.872668514285717</v>
      </c>
      <c r="AH67" s="32">
        <v>9.9000000000000005E-2</v>
      </c>
      <c r="AI67" s="32">
        <v>923.28858582702708</v>
      </c>
      <c r="AJ67" s="32">
        <v>13.189836940386101</v>
      </c>
      <c r="AK67" s="32">
        <v>350.8081884702703</v>
      </c>
      <c r="AL67" s="32">
        <v>5.0115455495752901</v>
      </c>
      <c r="AM67" s="32">
        <v>637.04838714864866</v>
      </c>
      <c r="AN67" s="32">
        <v>9.1006912449806947</v>
      </c>
      <c r="AO67" s="32">
        <v>0.184</v>
      </c>
      <c r="AP67" s="32">
        <v>6.3E-2</v>
      </c>
      <c r="AQ67" s="32">
        <v>30.354227931688669</v>
      </c>
      <c r="AR67" s="32">
        <v>69.645772068311317</v>
      </c>
      <c r="AS67" s="32">
        <v>91.752559639163763</v>
      </c>
      <c r="AT67" s="32">
        <v>99.697274319930372</v>
      </c>
      <c r="AU67" s="32">
        <v>0.23554380469496258</v>
      </c>
      <c r="AV67" s="32">
        <v>6.7974056803296667</v>
      </c>
      <c r="AW67" s="69"/>
      <c r="AX67" s="32">
        <v>20.739098712657579</v>
      </c>
      <c r="AY67" s="32">
        <v>25.024867272953589</v>
      </c>
      <c r="AZ67" s="32">
        <v>-37.704918032786871</v>
      </c>
      <c r="BA67" s="32">
        <v>-95.898161244695885</v>
      </c>
      <c r="BB67" s="32">
        <v>-8.4737642107762241</v>
      </c>
      <c r="BC67" s="69"/>
      <c r="BD67" s="32">
        <v>1735.8526709999999</v>
      </c>
      <c r="BE67" s="32">
        <v>24.797895299999997</v>
      </c>
      <c r="BF67" s="32">
        <v>4.3999999999999997E-2</v>
      </c>
      <c r="BG67" s="32">
        <v>1874.369616</v>
      </c>
      <c r="BH67" s="32">
        <v>26.776708799999998</v>
      </c>
      <c r="BI67" s="32">
        <v>6.6000000000000003E-2</v>
      </c>
      <c r="BJ67" s="32">
        <v>1168.3529586433567</v>
      </c>
      <c r="BK67" s="32">
        <v>16.690756552047954</v>
      </c>
      <c r="BL67" s="32">
        <v>142.12454666433564</v>
      </c>
      <c r="BM67" s="32">
        <v>2.0303506666333662</v>
      </c>
      <c r="BN67" s="32">
        <v>655.23875265384618</v>
      </c>
      <c r="BO67" s="32">
        <v>9.3605536093406592</v>
      </c>
      <c r="BP67" s="32">
        <v>287.54769678888891</v>
      </c>
      <c r="BQ67" s="32">
        <v>4.1078242398412703</v>
      </c>
      <c r="BR67" s="32">
        <v>1150.2098256444444</v>
      </c>
      <c r="BS67" s="32">
        <v>16.431568937777779</v>
      </c>
      <c r="BT67" s="32">
        <v>0.09</v>
      </c>
      <c r="BU67" s="32">
        <v>-104.820425245283</v>
      </c>
      <c r="BV67" s="8">
        <v>-1.4974346463611858</v>
      </c>
      <c r="BW67" s="32">
        <v>1199.1620524150942</v>
      </c>
      <c r="BX67" s="32" t="s">
        <v>34</v>
      </c>
      <c r="BY67" s="32">
        <v>5.1999999999999998E-2</v>
      </c>
      <c r="BZ67" s="32">
        <v>62663.975143999996</v>
      </c>
      <c r="CA67" s="32">
        <v>102624.23198050002</v>
      </c>
      <c r="CB67" s="32">
        <v>0.14199999999999999</v>
      </c>
      <c r="CC67" s="32">
        <v>8.5000000000000006E-2</v>
      </c>
      <c r="CD67" s="32">
        <v>63.380281690140848</v>
      </c>
      <c r="CE67" s="32">
        <v>8.0141010291295824</v>
      </c>
      <c r="CF67" s="32">
        <v>10.866207354358004</v>
      </c>
      <c r="CG67" s="32">
        <v>21.984611180189585</v>
      </c>
      <c r="CH67" s="32">
        <v>89.327043143928378</v>
      </c>
      <c r="CI67" s="32">
        <v>8.0141010291295824</v>
      </c>
      <c r="CJ67" s="32">
        <v>36.75543109712509</v>
      </c>
      <c r="CK67" s="32">
        <v>21.984611180189585</v>
      </c>
      <c r="CL67" s="32">
        <v>22.746156021013569</v>
      </c>
      <c r="CM67" s="32" t="s">
        <v>34</v>
      </c>
      <c r="CN67" s="32" t="s">
        <v>34</v>
      </c>
      <c r="CO67" s="32" t="s">
        <v>34</v>
      </c>
      <c r="CP67" s="32" t="s">
        <v>34</v>
      </c>
      <c r="CQ67" s="17" t="s">
        <v>34</v>
      </c>
      <c r="CR67" s="69"/>
      <c r="CS67" s="32">
        <v>1810.3499980000001</v>
      </c>
      <c r="CT67" s="32">
        <v>25.862142828571432</v>
      </c>
      <c r="CU67" s="32">
        <v>2.1000000000000001E-2</v>
      </c>
      <c r="CV67" s="32">
        <v>1810.3499980000001</v>
      </c>
      <c r="CW67" s="32">
        <v>25.862142828571432</v>
      </c>
      <c r="CX67" s="32">
        <v>2.1000000000000001E-2</v>
      </c>
      <c r="CY67" s="32">
        <v>1095.690267980769</v>
      </c>
      <c r="CZ67" s="32">
        <v>15.652718114010986</v>
      </c>
      <c r="DA67" s="32">
        <v>89.313217532051269</v>
      </c>
      <c r="DB67" s="32">
        <v>1.2759031076007323</v>
      </c>
      <c r="DC67" s="32">
        <v>592.50174275641018</v>
      </c>
      <c r="DD67" s="32">
        <v>8.4643106108058603</v>
      </c>
      <c r="DE67" s="32">
        <v>193.91840302912618</v>
      </c>
      <c r="DF67" s="32">
        <v>2.7702629004160881</v>
      </c>
      <c r="DG67" s="32">
        <v>981.40584684466023</v>
      </c>
      <c r="DH67" s="32">
        <v>14.020083526352289</v>
      </c>
      <c r="DI67" s="32">
        <v>9.4E-2</v>
      </c>
      <c r="DJ67" s="32">
        <v>-113.9761052264151</v>
      </c>
      <c r="DK67" s="8">
        <v>-1.6282300746630729</v>
      </c>
      <c r="DL67" s="32">
        <v>1317.7901807547169</v>
      </c>
      <c r="DM67" s="32">
        <v>-0.45169823396226416</v>
      </c>
      <c r="DN67" s="32">
        <v>0.06</v>
      </c>
      <c r="DO67" s="32">
        <v>68954.5841545</v>
      </c>
      <c r="DP67" s="32">
        <v>101088.56225300001</v>
      </c>
      <c r="DQ67" s="32">
        <v>0.155</v>
      </c>
      <c r="DR67" s="32">
        <v>8.5000000000000006E-2</v>
      </c>
      <c r="DS67" s="32">
        <v>60.645161290322577</v>
      </c>
      <c r="DT67" s="32">
        <v>7.0746012350300802</v>
      </c>
      <c r="DU67" s="32">
        <v>9.0281765351175505</v>
      </c>
      <c r="DV67" s="32">
        <v>15.360496592484685</v>
      </c>
      <c r="DW67" s="32">
        <v>86.790868555210565</v>
      </c>
      <c r="DX67" s="32">
        <v>7.0746012350300802</v>
      </c>
      <c r="DY67" s="32">
        <v>9.0281765351175505</v>
      </c>
      <c r="DZ67" s="32">
        <v>15.360496592484685</v>
      </c>
      <c r="EA67" s="32">
        <v>0.22479105246628003</v>
      </c>
      <c r="EB67" s="32">
        <v>8.0534789002403162</v>
      </c>
      <c r="EC67" s="69"/>
      <c r="ED67" s="32">
        <v>-6.4188430510607981</v>
      </c>
      <c r="EE67" s="32">
        <v>8.3691272081815811</v>
      </c>
      <c r="EF67" s="32">
        <v>-38.893410686714105</v>
      </c>
      <c r="EG67" s="32">
        <v>-3.474870530542344</v>
      </c>
      <c r="EH67" s="32">
        <v>-103.44827586206895</v>
      </c>
      <c r="EI67" s="32">
        <v>4.201526757127386</v>
      </c>
      <c r="EJ67" s="32">
        <v>8.7542087542087632</v>
      </c>
      <c r="EK67" s="32">
        <v>118.52436288486665</v>
      </c>
      <c r="EL67" s="32">
        <v>42.267951307062532</v>
      </c>
      <c r="EM67" s="32">
        <v>11.900704024623909</v>
      </c>
      <c r="EN67" s="32">
        <v>-35.475139758744092</v>
      </c>
      <c r="EO67" s="69"/>
      <c r="EP67" s="32">
        <v>1135.600715</v>
      </c>
      <c r="EQ67" s="32">
        <v>16.222867357142857</v>
      </c>
      <c r="ER67" s="32">
        <v>0.248</v>
      </c>
      <c r="ES67" s="32">
        <v>641.57448872832367</v>
      </c>
      <c r="ET67" s="32">
        <v>9.1653498389760522</v>
      </c>
      <c r="EU67" s="32">
        <v>312.06479280635835</v>
      </c>
      <c r="EV67" s="32">
        <v>4.4580684686622618</v>
      </c>
      <c r="EW67" s="32">
        <v>476.81964076734101</v>
      </c>
      <c r="EX67" s="32">
        <v>6.811709153819157</v>
      </c>
      <c r="EY67" s="32">
        <v>0.34499999999999997</v>
      </c>
      <c r="EZ67" s="32">
        <v>5.2999999999999999E-2</v>
      </c>
      <c r="FA67" s="32">
        <v>34.306739744677607</v>
      </c>
      <c r="FB67" s="32">
        <v>65.6932602553224</v>
      </c>
      <c r="FC67" s="32">
        <v>77.272700539813897</v>
      </c>
      <c r="FD67" s="32">
        <v>76.277389477060424</v>
      </c>
      <c r="FE67" s="32">
        <v>0.49499553272931118</v>
      </c>
      <c r="FF67" s="32">
        <v>2.2941635629285657</v>
      </c>
      <c r="FG67" s="69"/>
      <c r="FH67" s="32">
        <v>644.48869400000001</v>
      </c>
      <c r="FI67" s="32">
        <v>9.2069813428571425</v>
      </c>
      <c r="FJ67" s="32">
        <v>1.9E-2</v>
      </c>
      <c r="FK67" s="32">
        <v>1417.629872</v>
      </c>
      <c r="FL67" s="32">
        <v>20.251855314285713</v>
      </c>
      <c r="FM67" s="32">
        <v>0.105</v>
      </c>
      <c r="FN67" s="32">
        <v>913.61235509859171</v>
      </c>
      <c r="FO67" s="32">
        <v>13.051605072837024</v>
      </c>
      <c r="FP67" s="32">
        <v>262.94308172769951</v>
      </c>
      <c r="FQ67" s="32">
        <v>3.756329738967136</v>
      </c>
      <c r="FR67" s="32">
        <v>588.27771841314564</v>
      </c>
      <c r="FS67" s="32">
        <v>8.4039674059020797</v>
      </c>
      <c r="FT67" s="32">
        <v>0.21199999999999999</v>
      </c>
      <c r="FU67" s="32">
        <v>5.2999999999999999E-2</v>
      </c>
      <c r="FV67" s="32">
        <v>28.541062246153352</v>
      </c>
      <c r="FW67" s="32">
        <v>71.458937753846655</v>
      </c>
      <c r="FX67" s="32">
        <v>71.653559465751044</v>
      </c>
      <c r="FY67" s="32">
        <v>99.293637002507069</v>
      </c>
      <c r="FZ67" s="32">
        <v>0.32370327343123623</v>
      </c>
      <c r="GA67" s="32">
        <v>4.3794116042547362</v>
      </c>
      <c r="GB67" s="69"/>
      <c r="GC67" s="32">
        <v>34.98458946590015</v>
      </c>
      <c r="GD67" s="32">
        <v>22.091945665697128</v>
      </c>
      <c r="GE67" s="32">
        <v>-81.019830028328627</v>
      </c>
      <c r="GF67" s="32">
        <v>-47.755834829443444</v>
      </c>
      <c r="GG67" s="32">
        <v>-18.348064103707003</v>
      </c>
      <c r="GH67" s="69"/>
      <c r="GI67" s="32">
        <v>53.235510000000005</v>
      </c>
      <c r="GJ67" s="32">
        <v>0.76050728571428583</v>
      </c>
      <c r="GK67" s="32">
        <v>4.0000000000000001E-3</v>
      </c>
      <c r="GL67" s="32">
        <v>1708.315274</v>
      </c>
      <c r="GM67" s="32">
        <v>24.404503914285716</v>
      </c>
      <c r="GN67" s="32">
        <v>0.09</v>
      </c>
      <c r="GO67" s="32">
        <v>1077.6821735568183</v>
      </c>
      <c r="GP67" s="32">
        <v>15.395459622240262</v>
      </c>
      <c r="GQ67" s="32">
        <v>76.381263909090904</v>
      </c>
      <c r="GR67" s="32">
        <v>1.091160912987013</v>
      </c>
      <c r="GS67" s="32">
        <v>577.03171873295457</v>
      </c>
      <c r="GT67" s="32">
        <v>8.2433102676136372</v>
      </c>
      <c r="GU67" s="32">
        <v>230.26223468686868</v>
      </c>
      <c r="GV67" s="32">
        <v>3.2894604955266953</v>
      </c>
      <c r="GW67" s="32">
        <v>988.71159323232325</v>
      </c>
      <c r="GX67" s="32">
        <v>14.124451331890333</v>
      </c>
      <c r="GY67" s="32">
        <v>9.4E-2</v>
      </c>
      <c r="GZ67" s="32">
        <v>-121.46569851948051</v>
      </c>
      <c r="HA67" s="8">
        <v>-1.7352242645640072</v>
      </c>
      <c r="HB67" s="32">
        <v>1192.0729196883119</v>
      </c>
      <c r="HC67" s="32">
        <v>5.9554842300555528E-4</v>
      </c>
      <c r="HD67" s="32">
        <v>8.1000000000000003E-2</v>
      </c>
      <c r="HE67" s="32">
        <v>90931.26435350001</v>
      </c>
      <c r="HF67" s="32">
        <v>97160.269810500002</v>
      </c>
      <c r="HG67" s="32">
        <v>0.17499999999999999</v>
      </c>
      <c r="HH67" s="32">
        <v>9.4E-2</v>
      </c>
      <c r="HI67" s="32">
        <v>53.714285714285715</v>
      </c>
      <c r="HJ67" s="32">
        <v>9.757758207533433</v>
      </c>
      <c r="HK67" s="32">
        <v>6.1359701866052099</v>
      </c>
      <c r="HL67" s="32">
        <v>18.497758937601933</v>
      </c>
      <c r="HM67" s="32">
        <v>86.573923357053815</v>
      </c>
      <c r="HN67" s="32">
        <v>9.757758207533433</v>
      </c>
      <c r="HO67" s="32">
        <v>32.746642570672726</v>
      </c>
      <c r="HP67" s="32">
        <v>18.497758937601933</v>
      </c>
      <c r="HQ67" s="32">
        <v>22.258892565340233</v>
      </c>
      <c r="HR67" s="32">
        <v>53.714285714285715</v>
      </c>
      <c r="HS67" s="32" t="s">
        <v>34</v>
      </c>
      <c r="HT67" s="32" t="s">
        <v>34</v>
      </c>
      <c r="HU67" s="32" t="s">
        <v>34</v>
      </c>
      <c r="HV67" s="32" t="s">
        <v>34</v>
      </c>
      <c r="HW67" s="17" t="s">
        <v>34</v>
      </c>
      <c r="HX67" s="69"/>
      <c r="HY67" s="32">
        <v>1984.4834560000002</v>
      </c>
      <c r="HZ67" s="32">
        <v>28.349763657142859</v>
      </c>
      <c r="IA67" s="32">
        <v>2.5999999999999999E-2</v>
      </c>
      <c r="IB67" s="32">
        <v>1984.4834560000002</v>
      </c>
      <c r="IC67" s="32">
        <v>28.349763657142859</v>
      </c>
      <c r="ID67" s="32">
        <v>2.5999999999999999E-2</v>
      </c>
      <c r="IE67" s="32">
        <v>1118.3131729753084</v>
      </c>
      <c r="IF67" s="32">
        <v>15.975902471075834</v>
      </c>
      <c r="IG67" s="32">
        <v>82.449785259259258</v>
      </c>
      <c r="IH67" s="32">
        <v>1.177854075132275</v>
      </c>
      <c r="II67" s="32">
        <v>600.38147911728379</v>
      </c>
      <c r="IJ67" s="32">
        <v>8.5768782731040538</v>
      </c>
      <c r="IK67" s="32">
        <v>214.40987540404041</v>
      </c>
      <c r="IL67" s="32">
        <v>3.0629982200577199</v>
      </c>
      <c r="IM67" s="32">
        <v>944.34739333333334</v>
      </c>
      <c r="IN67" s="32">
        <v>13.490677047619048</v>
      </c>
      <c r="IO67" s="32">
        <v>9.4E-2</v>
      </c>
      <c r="IP67" s="32">
        <v>-124.91607068253968</v>
      </c>
      <c r="IQ67" s="8">
        <v>-1.7845152954648527</v>
      </c>
      <c r="IR67" s="32">
        <v>1391.6879695555556</v>
      </c>
      <c r="IS67" s="32">
        <v>-0.49006711791383223</v>
      </c>
      <c r="IT67" s="32">
        <v>6.6000000000000003E-2</v>
      </c>
      <c r="IU67" s="32">
        <v>86808.388651999994</v>
      </c>
      <c r="IV67" s="32">
        <v>93494.368372000012</v>
      </c>
      <c r="IW67" s="32">
        <v>0.161</v>
      </c>
      <c r="IX67" s="32">
        <v>9.4E-2</v>
      </c>
      <c r="IY67" s="32">
        <v>58.385093167701861</v>
      </c>
      <c r="IZ67" s="32">
        <v>6.3524555811137597</v>
      </c>
      <c r="JA67" s="32">
        <v>9.6243281638988396</v>
      </c>
      <c r="JB67" s="32">
        <v>16.519499782485415</v>
      </c>
      <c r="JC67" s="32">
        <v>86.161955846964929</v>
      </c>
      <c r="JD67" s="32">
        <v>6.3524555811137597</v>
      </c>
      <c r="JE67" s="32">
        <v>9.6243281638988396</v>
      </c>
      <c r="JF67" s="32">
        <v>16.519499782485415</v>
      </c>
      <c r="JG67" s="32">
        <v>0.23735232504836049</v>
      </c>
      <c r="JH67" s="32">
        <v>8.3609185441754654</v>
      </c>
      <c r="JI67" s="69"/>
      <c r="JJ67" s="32">
        <v>3.7004631619692434</v>
      </c>
      <c r="JK67" s="32">
        <v>2.8008339855941582</v>
      </c>
      <c r="JL67" s="32">
        <v>-7.1299093975502119</v>
      </c>
      <c r="JM67" s="32">
        <v>14.95712072019696</v>
      </c>
      <c r="JN67" s="32">
        <v>-110.34482758620692</v>
      </c>
      <c r="JO67" s="32">
        <v>189.54997997501096</v>
      </c>
      <c r="JP67" s="32">
        <v>-8.333333333333325</v>
      </c>
      <c r="JQ67" s="32">
        <v>136.64959021884786</v>
      </c>
      <c r="JR67" s="32">
        <v>-3.4669765194607272</v>
      </c>
      <c r="JS67" s="32">
        <v>-1.3768388095851147</v>
      </c>
      <c r="JT67" s="32">
        <v>-11.298766536409129</v>
      </c>
      <c r="JU67" s="69"/>
      <c r="JV67" s="32">
        <v>1150.0998039999997</v>
      </c>
      <c r="JW67" s="32">
        <v>16.429997199999995</v>
      </c>
      <c r="JX67" s="32">
        <v>0.317</v>
      </c>
      <c r="JY67" s="32">
        <v>547.60641788179669</v>
      </c>
      <c r="JZ67" s="32">
        <v>7.8229488268828096</v>
      </c>
      <c r="KA67" s="32">
        <v>236.84894044680848</v>
      </c>
      <c r="KB67" s="32">
        <v>3.3835562920972642</v>
      </c>
      <c r="KC67" s="32">
        <v>392.22767916430257</v>
      </c>
      <c r="KD67" s="32">
        <v>5.6032525594900369</v>
      </c>
      <c r="KE67" s="32">
        <v>0.42199999999999999</v>
      </c>
      <c r="KF67" s="32">
        <v>8.5000000000000006E-2</v>
      </c>
      <c r="KG67" s="32">
        <v>33.613753941511781</v>
      </c>
      <c r="KH67" s="32">
        <v>66.386246058488226</v>
      </c>
      <c r="KI67" s="32">
        <v>72.222218147288231</v>
      </c>
      <c r="KJ67" s="32">
        <v>77.936775842344787</v>
      </c>
      <c r="KK67" s="32">
        <v>0.55105987997980199</v>
      </c>
      <c r="KL67" s="32">
        <v>2.0870686576604967</v>
      </c>
      <c r="KM67" s="69"/>
      <c r="KN67" s="32">
        <v>1585.2171360000002</v>
      </c>
      <c r="KO67" s="32">
        <v>22.645959085714289</v>
      </c>
      <c r="KP67" s="32">
        <v>9.7000000000000003E-2</v>
      </c>
      <c r="KQ67" s="32">
        <v>1585.2171360000002</v>
      </c>
      <c r="KR67" s="32">
        <v>22.645959085714289</v>
      </c>
      <c r="KS67" s="32">
        <v>9.7000000000000003E-2</v>
      </c>
      <c r="KT67" s="32">
        <v>939.61018239024395</v>
      </c>
      <c r="KU67" s="32">
        <v>13.423002605574913</v>
      </c>
      <c r="KV67" s="32">
        <v>294.28796932195127</v>
      </c>
      <c r="KW67" s="32">
        <v>4.2041138474564468</v>
      </c>
      <c r="KX67" s="32">
        <v>616.94907585609758</v>
      </c>
      <c r="KY67" s="32">
        <v>8.8135582265156796</v>
      </c>
      <c r="KZ67" s="32">
        <v>0.20399999999999999</v>
      </c>
      <c r="LA67" s="32">
        <v>8.5000000000000006E-2</v>
      </c>
      <c r="LB67" s="32">
        <v>27.477771616123139</v>
      </c>
      <c r="LC67" s="32">
        <v>72.522228383876865</v>
      </c>
      <c r="LD67" s="32">
        <v>94.117688174798815</v>
      </c>
      <c r="LE67" s="32">
        <v>98.097369536399057</v>
      </c>
      <c r="LF67" s="32">
        <v>0.30304053577341411</v>
      </c>
      <c r="LG67" s="32">
        <v>5.23103990677102</v>
      </c>
      <c r="LH67" s="69"/>
      <c r="LI67" s="32">
        <v>-52.716432083496414</v>
      </c>
      <c r="LJ67" s="32">
        <v>-31.814765275427316</v>
      </c>
      <c r="LK67" s="32">
        <v>106.28019323671496</v>
      </c>
      <c r="LL67" s="32">
        <v>69.648562300319483</v>
      </c>
      <c r="LM67" s="32">
        <v>20.087834668983142</v>
      </c>
      <c r="LN67" s="69"/>
      <c r="LO67" s="32">
        <v>1697.2244860000001</v>
      </c>
      <c r="LP67" s="32">
        <v>24.246064085714288</v>
      </c>
      <c r="LQ67" s="32">
        <v>2.8000000000000001E-2</v>
      </c>
      <c r="LR67" s="32">
        <v>1697.2244860000001</v>
      </c>
      <c r="LS67" s="32">
        <v>24.246064085714288</v>
      </c>
      <c r="LT67" s="32">
        <v>2.8000000000000001E-2</v>
      </c>
      <c r="LU67" s="32">
        <v>1079.487042378531</v>
      </c>
      <c r="LV67" s="32">
        <v>15.421243462550443</v>
      </c>
      <c r="LW67" s="32">
        <v>103.28231354802259</v>
      </c>
      <c r="LX67" s="32">
        <v>1.4754616221146084</v>
      </c>
      <c r="LY67" s="32">
        <v>591.38467796327677</v>
      </c>
      <c r="LZ67" s="32">
        <v>8.4483525423325254</v>
      </c>
      <c r="MA67" s="32">
        <v>229.75903275221242</v>
      </c>
      <c r="MB67" s="32">
        <v>3.2822718964601774</v>
      </c>
      <c r="MC67" s="32">
        <v>1023.1290966548673</v>
      </c>
      <c r="MD67" s="32">
        <v>14.61612995221239</v>
      </c>
      <c r="ME67" s="32">
        <v>0.106</v>
      </c>
      <c r="MF67" s="32">
        <v>-120.028143796875</v>
      </c>
      <c r="MG67" s="8">
        <v>-1.7146877685267856</v>
      </c>
      <c r="MH67" s="32">
        <v>1178.994040296875</v>
      </c>
      <c r="MI67" s="32">
        <v>0.23574244017857141</v>
      </c>
      <c r="MJ67" s="32">
        <v>7.0000000000000007E-2</v>
      </c>
      <c r="MK67" s="32">
        <v>74645.454195500017</v>
      </c>
      <c r="ML67" s="32">
        <v>114818.15703649999</v>
      </c>
      <c r="MM67" s="32">
        <v>0.17599999999999999</v>
      </c>
      <c r="MN67" s="32">
        <v>9.0999999999999998E-2</v>
      </c>
      <c r="MO67" s="32">
        <v>60.227272727272727</v>
      </c>
      <c r="MP67" s="32">
        <v>9.4369568071231544</v>
      </c>
      <c r="MQ67" s="32">
        <v>8.1203516197158407</v>
      </c>
      <c r="MR67" s="32">
        <v>18.06431391456271</v>
      </c>
      <c r="MS67" s="32">
        <v>84.872366351136961</v>
      </c>
      <c r="MT67" s="32">
        <v>9.4369568071231544</v>
      </c>
      <c r="MU67" s="32">
        <v>33.393484557568982</v>
      </c>
      <c r="MV67" s="32">
        <v>18.06431391456271</v>
      </c>
      <c r="MW67" s="32">
        <v>21.946239083132625</v>
      </c>
      <c r="MX67" s="32" t="s">
        <v>34</v>
      </c>
      <c r="MY67" s="32" t="s">
        <v>34</v>
      </c>
      <c r="MZ67" s="32" t="s">
        <v>34</v>
      </c>
      <c r="NA67" s="32" t="s">
        <v>34</v>
      </c>
      <c r="NB67" s="17" t="s">
        <v>34</v>
      </c>
      <c r="NC67" s="69"/>
      <c r="ND67" s="32">
        <v>1808.9073080000001</v>
      </c>
      <c r="NE67" s="32">
        <v>25.841532971428574</v>
      </c>
      <c r="NF67" s="32">
        <v>2.5999999999999999E-2</v>
      </c>
      <c r="NG67" s="32">
        <v>1808.9073080000001</v>
      </c>
      <c r="NH67" s="32">
        <v>25.841532971428574</v>
      </c>
      <c r="NI67" s="32">
        <v>2.5999999999999999E-2</v>
      </c>
      <c r="NJ67" s="32">
        <v>1097.5635656568047</v>
      </c>
      <c r="NK67" s="32">
        <v>15.679479509382924</v>
      </c>
      <c r="NL67" s="32">
        <v>72.153405355029577</v>
      </c>
      <c r="NM67" s="32">
        <v>1.0307629336432798</v>
      </c>
      <c r="NN67" s="32">
        <v>584.85848550591709</v>
      </c>
      <c r="NO67" s="32">
        <v>8.3551212215131017</v>
      </c>
      <c r="NP67" s="32">
        <v>207.95063146534659</v>
      </c>
      <c r="NQ67" s="32">
        <v>2.9707233066478085</v>
      </c>
      <c r="NR67" s="32">
        <v>1011.3200648217822</v>
      </c>
      <c r="NS67" s="32">
        <v>14.447429497454031</v>
      </c>
      <c r="NT67" s="32">
        <v>9.7000000000000003E-2</v>
      </c>
      <c r="NU67" s="32">
        <v>-129.54541577941177</v>
      </c>
      <c r="NV67" s="8">
        <v>-1.8506487968487395</v>
      </c>
      <c r="NW67" s="32">
        <v>1225.6605301323527</v>
      </c>
      <c r="NX67" s="32">
        <v>0.27717736071428573</v>
      </c>
      <c r="NY67" s="32">
        <v>7.0999999999999994E-2</v>
      </c>
      <c r="NZ67" s="32">
        <v>82503.544312500002</v>
      </c>
      <c r="OA67" s="32">
        <v>101453.08630000001</v>
      </c>
      <c r="OB67" s="32">
        <v>0.16800000000000001</v>
      </c>
      <c r="OC67" s="32">
        <v>9.0999999999999998E-2</v>
      </c>
      <c r="OD67" s="32">
        <v>57.738095238095234</v>
      </c>
      <c r="OE67" s="32">
        <v>5.6636813679944611</v>
      </c>
      <c r="OF67" s="32">
        <v>10.168667078827013</v>
      </c>
      <c r="OG67" s="32">
        <v>16.32308428268615</v>
      </c>
      <c r="OH67" s="32">
        <v>86.153249266795626</v>
      </c>
      <c r="OI67" s="32">
        <v>5.6636813679944611</v>
      </c>
      <c r="OJ67" s="32">
        <v>10.168667078827013</v>
      </c>
      <c r="OK67" s="32">
        <v>16.32308428268615</v>
      </c>
      <c r="OL67" s="32">
        <v>0.25066802252134107</v>
      </c>
      <c r="OM67" s="32">
        <v>7.2163465040539645</v>
      </c>
      <c r="ON67" s="69"/>
      <c r="OO67" s="32">
        <v>-1.6606433687443543</v>
      </c>
      <c r="OP67" s="32">
        <v>-7.6268271356106059</v>
      </c>
      <c r="OQ67" s="32">
        <v>9.9647794278657713</v>
      </c>
      <c r="OR67" s="32">
        <v>-6.3707144261445858</v>
      </c>
      <c r="OS67" s="32">
        <v>7.4074074074074137</v>
      </c>
      <c r="OT67" s="32">
        <v>-6.3707144261445858</v>
      </c>
      <c r="OU67" s="32">
        <v>4.6511627906976623</v>
      </c>
      <c r="OV67" s="32">
        <v>-128.63133015058449</v>
      </c>
      <c r="OW67" s="32">
        <v>35.64515920575235</v>
      </c>
      <c r="OX67" s="32">
        <v>-7.4642895932347173</v>
      </c>
      <c r="OY67" s="32">
        <v>10.127137981703232</v>
      </c>
    </row>
    <row r="68" spans="1:415" ht="15.75" x14ac:dyDescent="0.25">
      <c r="A68" s="10">
        <v>67</v>
      </c>
      <c r="B68" s="3" t="s">
        <v>386</v>
      </c>
      <c r="C68" s="3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9"/>
      <c r="K68" s="32">
        <v>1131.2726250000001</v>
      </c>
      <c r="L68" s="32">
        <v>16.636362132352943</v>
      </c>
      <c r="M68" s="32">
        <v>0.318</v>
      </c>
      <c r="N68" s="32">
        <v>449.72228042718439</v>
      </c>
      <c r="O68" s="32">
        <v>6.6135629474585942</v>
      </c>
      <c r="P68" s="32">
        <v>248.74087916747578</v>
      </c>
      <c r="Q68" s="32">
        <v>3.6579541054040554</v>
      </c>
      <c r="R68" s="32">
        <v>349.23157979733008</v>
      </c>
      <c r="S68" s="32">
        <v>5.1357585264313244</v>
      </c>
      <c r="T68" s="32">
        <v>0.41099999999999998</v>
      </c>
      <c r="U68" s="32">
        <v>5.7000000000000002E-2</v>
      </c>
      <c r="V68" s="32">
        <v>40.000556213085972</v>
      </c>
      <c r="W68" s="32">
        <v>59.99944378691405</v>
      </c>
      <c r="X68" s="32">
        <v>73.615644533969942</v>
      </c>
      <c r="Y68" s="32">
        <v>75.529915549249921</v>
      </c>
      <c r="Z68" s="32">
        <v>0.37804875633057106</v>
      </c>
      <c r="AA68" s="32">
        <v>2.9923987476652343</v>
      </c>
      <c r="AB68" s="69"/>
      <c r="AC68" s="32">
        <v>433.90909099999999</v>
      </c>
      <c r="AD68" s="32">
        <v>6.3810160441176471</v>
      </c>
      <c r="AE68" s="32">
        <v>1.4E-2</v>
      </c>
      <c r="AF68" s="32">
        <v>1428.2697549999998</v>
      </c>
      <c r="AG68" s="32">
        <v>21.003966985294113</v>
      </c>
      <c r="AH68" s="32">
        <v>0.107</v>
      </c>
      <c r="AI68" s="32">
        <v>851.19241029411762</v>
      </c>
      <c r="AJ68" s="32">
        <v>12.51753544550173</v>
      </c>
      <c r="AK68" s="32">
        <v>315.09460621568621</v>
      </c>
      <c r="AL68" s="32">
        <v>4.6337442090542087</v>
      </c>
      <c r="AM68" s="32">
        <v>583.14350825490192</v>
      </c>
      <c r="AN68" s="32">
        <v>8.5756398272779695</v>
      </c>
      <c r="AO68" s="32">
        <v>0.20300000000000001</v>
      </c>
      <c r="AP68" s="32">
        <v>5.7000000000000002E-2</v>
      </c>
      <c r="AQ68" s="32">
        <v>30.474332704334234</v>
      </c>
      <c r="AR68" s="32">
        <v>69.52566729566577</v>
      </c>
      <c r="AS68" s="32">
        <v>73.028007486121552</v>
      </c>
      <c r="AT68" s="32">
        <v>99.323573428507487</v>
      </c>
      <c r="AU68" s="32">
        <v>0.26874719460688806</v>
      </c>
      <c r="AV68" s="32">
        <v>5.3145475884472466</v>
      </c>
      <c r="AW68" s="69"/>
      <c r="AX68" s="32">
        <v>61.721207813301739</v>
      </c>
      <c r="AY68" s="32">
        <v>23.207049222603594</v>
      </c>
      <c r="AZ68" s="32">
        <v>-99.294117647058826</v>
      </c>
      <c r="BA68" s="32">
        <v>-67.752442996742658</v>
      </c>
      <c r="BB68" s="32">
        <v>-27.034376797426969</v>
      </c>
      <c r="BC68" s="69"/>
      <c r="BD68" s="32">
        <v>1626.370064</v>
      </c>
      <c r="BE68" s="32">
        <v>23.917206823529412</v>
      </c>
      <c r="BF68" s="32">
        <v>3.4000000000000002E-2</v>
      </c>
      <c r="BG68" s="32">
        <v>1626.370064</v>
      </c>
      <c r="BH68" s="32">
        <v>23.917206823529412</v>
      </c>
      <c r="BI68" s="32">
        <v>3.4000000000000002E-2</v>
      </c>
      <c r="BJ68" s="32">
        <v>1126.5774103178808</v>
      </c>
      <c r="BK68" s="32">
        <v>16.567314857615894</v>
      </c>
      <c r="BL68" s="32">
        <v>127.05154347682121</v>
      </c>
      <c r="BM68" s="32">
        <v>1.8684050511297237</v>
      </c>
      <c r="BN68" s="32">
        <v>626.81447689735103</v>
      </c>
      <c r="BO68" s="32">
        <v>9.217859954372809</v>
      </c>
      <c r="BP68" s="32">
        <v>237.50278462962964</v>
      </c>
      <c r="BQ68" s="32">
        <v>3.4926880092592594</v>
      </c>
      <c r="BR68" s="32">
        <v>1061.4140418611114</v>
      </c>
      <c r="BS68" s="32">
        <v>15.609030027369286</v>
      </c>
      <c r="BT68" s="32">
        <v>9.2999999999999999E-2</v>
      </c>
      <c r="BU68" s="32">
        <v>-150.3608761627907</v>
      </c>
      <c r="BV68" s="8">
        <v>-2.2111893553351574</v>
      </c>
      <c r="BW68" s="32">
        <v>1290.2435450465121</v>
      </c>
      <c r="BX68" s="32" t="s">
        <v>34</v>
      </c>
      <c r="BY68" s="32">
        <v>5.7000000000000002E-2</v>
      </c>
      <c r="BZ68" s="32">
        <v>54665.925853500012</v>
      </c>
      <c r="CA68" s="32">
        <v>113912.2698295</v>
      </c>
      <c r="CB68" s="32">
        <v>0.15</v>
      </c>
      <c r="CC68" s="32" t="s">
        <v>34</v>
      </c>
      <c r="CD68" s="32">
        <v>62</v>
      </c>
      <c r="CE68" s="32">
        <v>12.29609928116121</v>
      </c>
      <c r="CF68" s="32">
        <v>10.389926105008728</v>
      </c>
      <c r="CG68" s="32">
        <v>19.422325101354165</v>
      </c>
      <c r="CH68" s="32">
        <v>92.128404932839743</v>
      </c>
      <c r="CI68" s="32">
        <v>12.29609928116121</v>
      </c>
      <c r="CJ68" s="32">
        <v>34.771590538082584</v>
      </c>
      <c r="CK68" s="32">
        <v>19.422325101354165</v>
      </c>
      <c r="CL68" s="32">
        <v>23.934498666617724</v>
      </c>
      <c r="CM68" s="32" t="s">
        <v>34</v>
      </c>
      <c r="CN68" s="32" t="s">
        <v>34</v>
      </c>
      <c r="CO68" s="32" t="s">
        <v>34</v>
      </c>
      <c r="CP68" s="32" t="s">
        <v>34</v>
      </c>
      <c r="CQ68" s="17" t="s">
        <v>34</v>
      </c>
      <c r="CR68" s="69"/>
      <c r="CS68" s="32" t="s">
        <v>34</v>
      </c>
      <c r="CT68" s="32" t="s">
        <v>34</v>
      </c>
      <c r="CU68" s="32" t="s">
        <v>34</v>
      </c>
      <c r="CV68" s="32" t="s">
        <v>34</v>
      </c>
      <c r="CW68" s="32" t="s">
        <v>34</v>
      </c>
      <c r="CX68" s="32" t="s">
        <v>34</v>
      </c>
      <c r="CY68" s="32" t="s">
        <v>34</v>
      </c>
      <c r="CZ68" s="32" t="s">
        <v>34</v>
      </c>
      <c r="DA68" s="32" t="s">
        <v>34</v>
      </c>
      <c r="DB68" s="32" t="s">
        <v>34</v>
      </c>
      <c r="DC68" s="32" t="s">
        <v>34</v>
      </c>
      <c r="DD68" s="32" t="s">
        <v>34</v>
      </c>
      <c r="DE68" s="32" t="s">
        <v>34</v>
      </c>
      <c r="DF68" s="32" t="s">
        <v>34</v>
      </c>
      <c r="DG68" s="32" t="s">
        <v>34</v>
      </c>
      <c r="DH68" s="32" t="s">
        <v>34</v>
      </c>
      <c r="DI68" s="32" t="s">
        <v>34</v>
      </c>
      <c r="DJ68" s="32" t="s">
        <v>34</v>
      </c>
      <c r="DK68" s="8" t="s">
        <v>34</v>
      </c>
      <c r="DL68" s="32" t="s">
        <v>34</v>
      </c>
      <c r="DM68" s="32" t="s">
        <v>34</v>
      </c>
      <c r="DN68" s="32" t="s">
        <v>34</v>
      </c>
      <c r="DO68" s="32" t="s">
        <v>34</v>
      </c>
      <c r="DP68" s="32" t="s">
        <v>34</v>
      </c>
      <c r="DQ68" s="32" t="s">
        <v>34</v>
      </c>
      <c r="DR68" s="32" t="s">
        <v>34</v>
      </c>
      <c r="DS68" s="32" t="s">
        <v>34</v>
      </c>
      <c r="DT68" s="32" t="s">
        <v>34</v>
      </c>
      <c r="DU68" s="32" t="s">
        <v>34</v>
      </c>
      <c r="DV68" s="32" t="s">
        <v>34</v>
      </c>
      <c r="DW68" s="32" t="s">
        <v>34</v>
      </c>
      <c r="DX68" s="32" t="s">
        <v>34</v>
      </c>
      <c r="DY68" s="32" t="s">
        <v>34</v>
      </c>
      <c r="DZ68" s="32" t="s">
        <v>34</v>
      </c>
      <c r="EA68" s="32" t="s">
        <v>34</v>
      </c>
      <c r="EB68" s="32" t="s">
        <v>34</v>
      </c>
      <c r="EC68" s="69"/>
      <c r="ED68" s="32" t="s">
        <v>34</v>
      </c>
      <c r="EE68" s="32" t="s">
        <v>34</v>
      </c>
      <c r="EF68" s="32" t="s">
        <v>34</v>
      </c>
      <c r="EG68" s="32" t="s">
        <v>34</v>
      </c>
      <c r="EH68" s="32" t="s">
        <v>34</v>
      </c>
      <c r="EI68" s="32" t="s">
        <v>34</v>
      </c>
      <c r="EJ68" s="32" t="s">
        <v>34</v>
      </c>
      <c r="EK68" s="32" t="s">
        <v>34</v>
      </c>
      <c r="EL68" s="32" t="s">
        <v>34</v>
      </c>
      <c r="EM68" s="32" t="s">
        <v>34</v>
      </c>
      <c r="EN68" s="32" t="s">
        <v>34</v>
      </c>
      <c r="EO68" s="69"/>
      <c r="EP68" s="32">
        <v>1120.7048809999999</v>
      </c>
      <c r="EQ68" s="32">
        <v>16.480954132352938</v>
      </c>
      <c r="ER68" s="32">
        <v>0.22900000000000001</v>
      </c>
      <c r="ES68" s="32">
        <v>610.7624641547277</v>
      </c>
      <c r="ET68" s="32">
        <v>8.9818009434518782</v>
      </c>
      <c r="EU68" s="32">
        <v>254.05672736676217</v>
      </c>
      <c r="EV68" s="32">
        <v>3.7361283436288555</v>
      </c>
      <c r="EW68" s="32">
        <v>432.40959576074493</v>
      </c>
      <c r="EX68" s="32">
        <v>6.3589646435403671</v>
      </c>
      <c r="EY68" s="32">
        <v>0.34799999999999998</v>
      </c>
      <c r="EZ68" s="32">
        <v>0.06</v>
      </c>
      <c r="FA68" s="32">
        <v>29.342095233803352</v>
      </c>
      <c r="FB68" s="32">
        <v>70.080819051616629</v>
      </c>
      <c r="FC68" s="32">
        <v>81.818166542227047</v>
      </c>
      <c r="FD68" s="32">
        <v>97.626381565380711</v>
      </c>
      <c r="FE68" s="32">
        <v>0.50450572318168274</v>
      </c>
      <c r="FF68" s="32">
        <v>2.2213918088624167</v>
      </c>
      <c r="FG68" s="69"/>
      <c r="FH68" s="32">
        <v>395.73171900000006</v>
      </c>
      <c r="FI68" s="32">
        <v>5.8195841029411772</v>
      </c>
      <c r="FJ68" s="32">
        <v>2.1000000000000001E-2</v>
      </c>
      <c r="FK68" s="32">
        <v>1206.473205</v>
      </c>
      <c r="FL68" s="32">
        <v>17.742253014705881</v>
      </c>
      <c r="FM68" s="32">
        <v>8.4000000000000005E-2</v>
      </c>
      <c r="FN68" s="32">
        <v>746.25522338636381</v>
      </c>
      <c r="FO68" s="32">
        <v>10.974341520387703</v>
      </c>
      <c r="FP68" s="32">
        <v>281.60440569090906</v>
      </c>
      <c r="FQ68" s="32">
        <v>4.1412412601604274</v>
      </c>
      <c r="FR68" s="32">
        <v>513.92981453863649</v>
      </c>
      <c r="FS68" s="32">
        <v>7.5577913902740663</v>
      </c>
      <c r="FT68" s="32">
        <v>0.219</v>
      </c>
      <c r="FU68" s="32">
        <v>0.06</v>
      </c>
      <c r="FV68" s="32">
        <v>32.539092846680653</v>
      </c>
      <c r="FW68" s="32">
        <v>67.460907153319354</v>
      </c>
      <c r="FX68" s="32">
        <v>93.237970331820435</v>
      </c>
      <c r="FY68" s="32">
        <v>98.225511455356568</v>
      </c>
      <c r="FZ68" s="32">
        <v>0.28327608309154528</v>
      </c>
      <c r="GA68" s="32">
        <v>4.2590012959551853</v>
      </c>
      <c r="GB68" s="69"/>
      <c r="GC68" s="32">
        <v>19.969195755605547</v>
      </c>
      <c r="GD68" s="32">
        <v>7.3710150947167454</v>
      </c>
      <c r="GE68" s="32">
        <v>-92.651757188498422</v>
      </c>
      <c r="GF68" s="32">
        <v>-45.5026455026455</v>
      </c>
      <c r="GG68" s="32">
        <v>10.332696291219284</v>
      </c>
      <c r="GH68" s="69"/>
      <c r="GI68" s="32">
        <v>1508.032839</v>
      </c>
      <c r="GJ68" s="32">
        <v>22.176953514705882</v>
      </c>
      <c r="GK68" s="32">
        <v>2.1999999999999999E-2</v>
      </c>
      <c r="GL68" s="32">
        <v>1874.964743</v>
      </c>
      <c r="GM68" s="32">
        <v>27.573010926470587</v>
      </c>
      <c r="GN68" s="32">
        <v>7.1999999999999995E-2</v>
      </c>
      <c r="GO68" s="32">
        <v>1128.9967887329547</v>
      </c>
      <c r="GP68" s="32">
        <v>16.602893951955217</v>
      </c>
      <c r="GQ68" s="32">
        <v>86.260969630681814</v>
      </c>
      <c r="GR68" s="32">
        <v>1.2685436710394384</v>
      </c>
      <c r="GS68" s="32">
        <v>607.62887918181821</v>
      </c>
      <c r="GT68" s="32">
        <v>8.9357188114973258</v>
      </c>
      <c r="GU68" s="32">
        <v>190.23405206557376</v>
      </c>
      <c r="GV68" s="32">
        <v>2.7975595891996141</v>
      </c>
      <c r="GW68" s="32">
        <v>1073.295873352459</v>
      </c>
      <c r="GX68" s="32">
        <v>15.783762843418515</v>
      </c>
      <c r="GY68" s="32">
        <v>0.113</v>
      </c>
      <c r="GZ68" s="32">
        <v>-148.6411795740741</v>
      </c>
      <c r="HA68" s="8">
        <v>-2.1858996996187368</v>
      </c>
      <c r="HB68" s="32">
        <v>1254.8395975555554</v>
      </c>
      <c r="HC68" s="32">
        <v>0.24780635076252722</v>
      </c>
      <c r="HD68" s="32">
        <v>6.2E-2</v>
      </c>
      <c r="HE68" s="32">
        <v>66846.87591599999</v>
      </c>
      <c r="HF68" s="32">
        <v>130215.7528135</v>
      </c>
      <c r="HG68" s="32">
        <v>0.17499999999999999</v>
      </c>
      <c r="HH68" s="32">
        <v>0.123</v>
      </c>
      <c r="HI68" s="32">
        <v>64.571428571428584</v>
      </c>
      <c r="HJ68" s="32">
        <v>11.049269711849732</v>
      </c>
      <c r="HK68" s="32">
        <v>6.4122252109826832</v>
      </c>
      <c r="HL68" s="32">
        <v>14.141083619449491</v>
      </c>
      <c r="HM68" s="32">
        <v>83.924186139185181</v>
      </c>
      <c r="HN68" s="32">
        <v>11.049269711849732</v>
      </c>
      <c r="HO68" s="32">
        <v>26.629811043751435</v>
      </c>
      <c r="HP68" s="32">
        <v>14.141083619449491</v>
      </c>
      <c r="HQ68" s="32">
        <v>20.726260525289547</v>
      </c>
      <c r="HR68" s="32">
        <v>64.571428571428584</v>
      </c>
      <c r="HS68" s="32" t="s">
        <v>34</v>
      </c>
      <c r="HT68" s="32" t="s">
        <v>34</v>
      </c>
      <c r="HU68" s="32" t="s">
        <v>34</v>
      </c>
      <c r="HV68" s="32" t="s">
        <v>34</v>
      </c>
      <c r="HW68" s="17" t="s">
        <v>34</v>
      </c>
      <c r="HX68" s="69"/>
      <c r="HY68" s="32">
        <v>1728.1162770000001</v>
      </c>
      <c r="HZ68" s="32">
        <v>25.413474661764706</v>
      </c>
      <c r="IA68" s="32">
        <v>4.1000000000000002E-2</v>
      </c>
      <c r="IB68" s="32">
        <v>1914.3323229999999</v>
      </c>
      <c r="IC68" s="32">
        <v>28.151945926470585</v>
      </c>
      <c r="ID68" s="32">
        <v>7.5999999999999998E-2</v>
      </c>
      <c r="IE68" s="32">
        <v>1164.6432927022474</v>
      </c>
      <c r="IF68" s="32">
        <v>17.127107245621286</v>
      </c>
      <c r="IG68" s="32">
        <v>76.961488640449431</v>
      </c>
      <c r="IH68" s="32">
        <v>1.1317865976536681</v>
      </c>
      <c r="II68" s="32">
        <v>620.80239067134846</v>
      </c>
      <c r="IJ68" s="32">
        <v>9.1294469216374772</v>
      </c>
      <c r="IK68" s="32">
        <v>204.70110089655171</v>
      </c>
      <c r="IL68" s="32">
        <v>3.0103103073022308</v>
      </c>
      <c r="IM68" s="32">
        <v>1064.1974850086206</v>
      </c>
      <c r="IN68" s="32">
        <v>15.649963014832656</v>
      </c>
      <c r="IO68" s="32">
        <v>0.109</v>
      </c>
      <c r="IP68" s="32">
        <v>-162.03520525806454</v>
      </c>
      <c r="IQ68" s="8">
        <v>-2.3828706655597727</v>
      </c>
      <c r="IR68" s="32">
        <v>1352.5741587096775</v>
      </c>
      <c r="IS68" s="32">
        <v>-1.3561512004269451</v>
      </c>
      <c r="IT68" s="32">
        <v>0.17699999999999999</v>
      </c>
      <c r="IU68" s="32">
        <v>83860.499525499996</v>
      </c>
      <c r="IV68" s="32">
        <v>123444.5638795</v>
      </c>
      <c r="IW68" s="32">
        <v>0.17699999999999999</v>
      </c>
      <c r="IX68" s="32">
        <v>0.123</v>
      </c>
      <c r="IY68" s="32">
        <v>61.581920903954803</v>
      </c>
      <c r="IZ68" s="32">
        <v>5.6819816168991926</v>
      </c>
      <c r="JA68" s="32">
        <v>11.962880056388597</v>
      </c>
      <c r="JB68" s="32">
        <v>15.112855959518528</v>
      </c>
      <c r="JC68" s="32">
        <v>85.984326658425587</v>
      </c>
      <c r="JD68" s="32">
        <v>5.6819816168991926</v>
      </c>
      <c r="JE68" s="32">
        <v>11.962880056388597</v>
      </c>
      <c r="JF68" s="32">
        <v>15.112855959518528</v>
      </c>
      <c r="JG68" s="32">
        <v>0.31766282030998577</v>
      </c>
      <c r="JH68" s="32">
        <v>6.0263027354977572</v>
      </c>
      <c r="JI68" s="69"/>
      <c r="JJ68" s="32">
        <v>3.1082909875718299</v>
      </c>
      <c r="JK68" s="32">
        <v>8.6224935900598645</v>
      </c>
      <c r="JL68" s="32">
        <v>7.326290770761215</v>
      </c>
      <c r="JM68" s="32">
        <v>2.0778302315345503</v>
      </c>
      <c r="JN68" s="32">
        <v>5.4054054054054106</v>
      </c>
      <c r="JO68" s="32">
        <v>13.601563470105566</v>
      </c>
      <c r="JP68" s="32">
        <v>1.1363636363636374</v>
      </c>
      <c r="JQ68" s="32">
        <v>106.18858051959602</v>
      </c>
      <c r="JR68" s="32">
        <v>12.075923695963153</v>
      </c>
      <c r="JS68" s="32">
        <v>7.940243338758747</v>
      </c>
      <c r="JT68" s="32">
        <v>6.6437023802953954</v>
      </c>
      <c r="JU68" s="69"/>
      <c r="JV68" s="32">
        <v>1154.5181109999999</v>
      </c>
      <c r="JW68" s="32">
        <v>16.978207514705879</v>
      </c>
      <c r="JX68" s="32">
        <v>0.223</v>
      </c>
      <c r="JY68" s="32">
        <v>633.4298610558659</v>
      </c>
      <c r="JZ68" s="32">
        <v>9.31514501552744</v>
      </c>
      <c r="KA68" s="32">
        <v>243.72014201117315</v>
      </c>
      <c r="KB68" s="32">
        <v>3.5841197354584287</v>
      </c>
      <c r="KC68" s="32">
        <v>438.57500153351953</v>
      </c>
      <c r="KD68" s="32">
        <v>6.4496323754929339</v>
      </c>
      <c r="KE68" s="32">
        <v>0.35699999999999998</v>
      </c>
      <c r="KF68" s="32">
        <v>7.0000000000000007E-2</v>
      </c>
      <c r="KG68" s="32">
        <v>29.064354334918644</v>
      </c>
      <c r="KH68" s="32">
        <v>70.935645665081367</v>
      </c>
      <c r="KI68" s="32">
        <v>72.424234480746833</v>
      </c>
      <c r="KJ68" s="32">
        <v>98.57618966210525</v>
      </c>
      <c r="KK68" s="32">
        <v>0.56134116804686407</v>
      </c>
      <c r="KL68" s="32">
        <v>2.0567137717994948</v>
      </c>
      <c r="KM68" s="69"/>
      <c r="KN68" s="32" t="s">
        <v>34</v>
      </c>
      <c r="KO68" s="32" t="s">
        <v>34</v>
      </c>
      <c r="KP68" s="32" t="s">
        <v>34</v>
      </c>
      <c r="KQ68" s="32" t="s">
        <v>34</v>
      </c>
      <c r="KR68" s="32" t="s">
        <v>34</v>
      </c>
      <c r="KS68" s="32" t="s">
        <v>34</v>
      </c>
      <c r="KT68" s="32" t="s">
        <v>34</v>
      </c>
      <c r="KU68" s="32" t="s">
        <v>34</v>
      </c>
      <c r="KV68" s="32" t="s">
        <v>34</v>
      </c>
      <c r="KW68" s="32" t="s">
        <v>34</v>
      </c>
      <c r="KX68" s="32" t="s">
        <v>34</v>
      </c>
      <c r="KY68" s="32" t="s">
        <v>34</v>
      </c>
      <c r="KZ68" s="32" t="s">
        <v>34</v>
      </c>
      <c r="LA68" s="32" t="s">
        <v>34</v>
      </c>
      <c r="LB68" s="32" t="s">
        <v>34</v>
      </c>
      <c r="LC68" s="32" t="s">
        <v>34</v>
      </c>
      <c r="LD68" s="32" t="s">
        <v>34</v>
      </c>
      <c r="LE68" s="32" t="s">
        <v>34</v>
      </c>
      <c r="LF68" s="32" t="s">
        <v>34</v>
      </c>
      <c r="LG68" s="32" t="s">
        <v>34</v>
      </c>
      <c r="LH68" s="69"/>
      <c r="LI68" s="32" t="s">
        <v>34</v>
      </c>
      <c r="LJ68" s="32" t="s">
        <v>34</v>
      </c>
      <c r="LK68" s="32" t="s">
        <v>34</v>
      </c>
      <c r="LL68" s="32" t="s">
        <v>34</v>
      </c>
      <c r="LM68" s="32" t="s">
        <v>34</v>
      </c>
      <c r="LN68" s="69"/>
      <c r="LO68" s="32">
        <v>1416.3675529999998</v>
      </c>
      <c r="LP68" s="32">
        <v>20.828934602941175</v>
      </c>
      <c r="LQ68" s="32">
        <v>2.4E-2</v>
      </c>
      <c r="LR68" s="32">
        <v>1871.4482460000002</v>
      </c>
      <c r="LS68" s="32">
        <v>27.521297735294119</v>
      </c>
      <c r="LT68" s="32">
        <v>7.2999999999999995E-2</v>
      </c>
      <c r="LU68" s="32">
        <v>1091.6057153532608</v>
      </c>
      <c r="LV68" s="32">
        <v>16.053025225783248</v>
      </c>
      <c r="LW68" s="32">
        <v>74.353768076086951</v>
      </c>
      <c r="LX68" s="32">
        <v>1.093437765824808</v>
      </c>
      <c r="LY68" s="32">
        <v>582.97974171467388</v>
      </c>
      <c r="LZ68" s="32">
        <v>8.573231495804027</v>
      </c>
      <c r="MA68" s="32">
        <v>179.15496903389828</v>
      </c>
      <c r="MB68" s="32">
        <v>2.6346318975573277</v>
      </c>
      <c r="MC68" s="32">
        <v>996.35403819491512</v>
      </c>
      <c r="MD68" s="32">
        <v>14.652265267572281</v>
      </c>
      <c r="ME68" s="32">
        <v>0.112</v>
      </c>
      <c r="MF68" s="32">
        <v>-113.01807606060606</v>
      </c>
      <c r="MG68" s="8">
        <v>-1.6620305303030303</v>
      </c>
      <c r="MH68" s="32">
        <v>1261.9041684545455</v>
      </c>
      <c r="MI68" s="32">
        <v>1.6129883346702318</v>
      </c>
      <c r="MJ68" s="32">
        <v>7.0999999999999994E-2</v>
      </c>
      <c r="MK68" s="32">
        <v>82335.803585999995</v>
      </c>
      <c r="ML68" s="32">
        <v>116907.56967899999</v>
      </c>
      <c r="MM68" s="32">
        <v>0.183</v>
      </c>
      <c r="MN68" s="32">
        <v>0.11600000000000001</v>
      </c>
      <c r="MO68" s="32">
        <v>61.202185792349731</v>
      </c>
      <c r="MP68" s="32">
        <v>8.201612917361782</v>
      </c>
      <c r="MQ68" s="32">
        <v>5.3957813295312143</v>
      </c>
      <c r="MR68" s="32">
        <v>13.001103535420514</v>
      </c>
      <c r="MS68" s="32">
        <v>79.216775296247619</v>
      </c>
      <c r="MT68" s="32">
        <v>8.201612917361782</v>
      </c>
      <c r="MU68" s="32">
        <v>24.303662577348391</v>
      </c>
      <c r="MV68" s="32">
        <v>13.001103535420514</v>
      </c>
      <c r="MW68" s="32">
        <v>19.014145594509742</v>
      </c>
      <c r="MX68" s="32" t="s">
        <v>34</v>
      </c>
      <c r="MY68" s="32" t="s">
        <v>34</v>
      </c>
      <c r="MZ68" s="32" t="s">
        <v>34</v>
      </c>
      <c r="NA68" s="32" t="s">
        <v>34</v>
      </c>
      <c r="NB68" s="17" t="s">
        <v>34</v>
      </c>
      <c r="NC68" s="69"/>
      <c r="ND68" s="32">
        <v>1668.027975</v>
      </c>
      <c r="NE68" s="32">
        <v>24.529823161764707</v>
      </c>
      <c r="NF68" s="32">
        <v>3.4000000000000002E-2</v>
      </c>
      <c r="NG68" s="32">
        <v>1898.643024</v>
      </c>
      <c r="NH68" s="32">
        <v>27.921220941176472</v>
      </c>
      <c r="NI68" s="32">
        <v>7.9000000000000001E-2</v>
      </c>
      <c r="NJ68" s="32">
        <v>1177.9972993315789</v>
      </c>
      <c r="NK68" s="32">
        <v>17.323489696052633</v>
      </c>
      <c r="NL68" s="32">
        <v>44.564144163157899</v>
      </c>
      <c r="NM68" s="32">
        <v>0.65535506122291032</v>
      </c>
      <c r="NN68" s="32">
        <v>611.28072174736837</v>
      </c>
      <c r="NO68" s="32">
        <v>8.9894223786377694</v>
      </c>
      <c r="NP68" s="32">
        <v>185.84400375213676</v>
      </c>
      <c r="NQ68" s="32">
        <v>2.7330000551784819</v>
      </c>
      <c r="NR68" s="32">
        <v>1038.0173830000001</v>
      </c>
      <c r="NS68" s="32">
        <v>15.264961514705885</v>
      </c>
      <c r="NT68" s="32">
        <v>0.11</v>
      </c>
      <c r="NU68" s="32">
        <v>-181.87069928767121</v>
      </c>
      <c r="NV68" s="8">
        <v>-2.6745691071716355</v>
      </c>
      <c r="NW68" s="32">
        <v>1402.3486720821918</v>
      </c>
      <c r="NX68" s="32">
        <v>-0.27880318049959707</v>
      </c>
      <c r="NY68" s="32">
        <v>7.8E-2</v>
      </c>
      <c r="NZ68" s="32">
        <v>101419.12895099999</v>
      </c>
      <c r="OA68" s="32">
        <v>121449.02566549997</v>
      </c>
      <c r="OB68" s="32">
        <v>0.189</v>
      </c>
      <c r="OC68" s="32">
        <v>0.11600000000000001</v>
      </c>
      <c r="OD68" s="32">
        <v>58.201058201058196</v>
      </c>
      <c r="OE68" s="32">
        <v>3.2712077161518289</v>
      </c>
      <c r="OF68" s="32">
        <v>13.350123648141452</v>
      </c>
      <c r="OG68" s="32">
        <v>13.64178198618097</v>
      </c>
      <c r="OH68" s="32">
        <v>86.470276217381581</v>
      </c>
      <c r="OI68" s="32">
        <v>3.2712077161518289</v>
      </c>
      <c r="OJ68" s="32">
        <v>13.350123648141452</v>
      </c>
      <c r="OK68" s="32">
        <v>13.64178198618097</v>
      </c>
      <c r="OL68" s="32">
        <v>0.36202332618060212</v>
      </c>
      <c r="OM68" s="32">
        <v>5.2445322903111116</v>
      </c>
      <c r="ON68" s="69"/>
      <c r="OO68" s="32">
        <v>7.6129246761962488</v>
      </c>
      <c r="OP68" s="32">
        <v>46.697350989875439</v>
      </c>
      <c r="OQ68" s="32">
        <v>3.6652348181591368</v>
      </c>
      <c r="OR68" s="32">
        <v>1.4426588669828047</v>
      </c>
      <c r="OS68" s="32">
        <v>7.8947368421052708</v>
      </c>
      <c r="OT68" s="32">
        <v>16.318297683642612</v>
      </c>
      <c r="OU68" s="32">
        <v>3.2258064516129057</v>
      </c>
      <c r="OV68" s="32">
        <v>92.682140123596966</v>
      </c>
      <c r="OW68" s="32">
        <v>49.026798169027764</v>
      </c>
      <c r="OX68" s="32">
        <v>47.778152030872803</v>
      </c>
      <c r="OY68" s="32">
        <v>4.8093773494692043</v>
      </c>
    </row>
    <row r="69" spans="1:415" ht="15.75" x14ac:dyDescent="0.25">
      <c r="A69" s="10">
        <v>68</v>
      </c>
      <c r="B69" s="3" t="s">
        <v>388</v>
      </c>
      <c r="C69" s="3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9"/>
      <c r="K69" s="32">
        <v>991.20481699999993</v>
      </c>
      <c r="L69" s="32">
        <v>13.578148178082191</v>
      </c>
      <c r="M69" s="32">
        <v>0.34</v>
      </c>
      <c r="N69" s="32">
        <v>589.88243303118043</v>
      </c>
      <c r="O69" s="32">
        <v>8.0805812743997318</v>
      </c>
      <c r="P69" s="32">
        <v>265.20883077951004</v>
      </c>
      <c r="Q69" s="32">
        <v>3.6329976819110965</v>
      </c>
      <c r="R69" s="32">
        <v>427.5456319053452</v>
      </c>
      <c r="S69" s="32">
        <v>5.856789478155414</v>
      </c>
      <c r="T69" s="32">
        <v>0.44800000000000001</v>
      </c>
      <c r="U69" s="32">
        <v>3.3000000000000002E-2</v>
      </c>
      <c r="V69" s="32">
        <v>27.567182015633456</v>
      </c>
      <c r="W69" s="32">
        <v>67.713741641406713</v>
      </c>
      <c r="X69" s="32">
        <v>48.176304421473468</v>
      </c>
      <c r="Y69" s="32">
        <v>97.561423113738769</v>
      </c>
      <c r="Z69" s="32">
        <v>0.69414001757023636</v>
      </c>
      <c r="AA69" s="32">
        <v>1.4279609184175945</v>
      </c>
      <c r="AB69" s="69"/>
      <c r="AC69" s="32">
        <v>909.34979099999998</v>
      </c>
      <c r="AD69" s="32">
        <v>12.456846452054794</v>
      </c>
      <c r="AE69" s="32">
        <v>1.6E-2</v>
      </c>
      <c r="AF69" s="32">
        <v>1226.2200650000002</v>
      </c>
      <c r="AG69" s="32">
        <v>16.797535136986305</v>
      </c>
      <c r="AH69" s="32">
        <v>0.13100000000000001</v>
      </c>
      <c r="AI69" s="32">
        <v>863.69028792125994</v>
      </c>
      <c r="AJ69" s="32">
        <v>11.831373807140547</v>
      </c>
      <c r="AK69" s="32">
        <v>259.78268420866135</v>
      </c>
      <c r="AL69" s="32">
        <v>3.5586669069679635</v>
      </c>
      <c r="AM69" s="32">
        <v>561.73648606496067</v>
      </c>
      <c r="AN69" s="32">
        <v>7.6950203570542559</v>
      </c>
      <c r="AO69" s="32">
        <v>0.253</v>
      </c>
      <c r="AP69" s="32">
        <v>3.3000000000000002E-2</v>
      </c>
      <c r="AQ69" s="32">
        <v>29.146075164858605</v>
      </c>
      <c r="AR69" s="32">
        <v>70.853924835141413</v>
      </c>
      <c r="AS69" s="32">
        <v>97.176080529875108</v>
      </c>
      <c r="AT69" s="32">
        <v>96.726152378969687</v>
      </c>
      <c r="AU69" s="32">
        <v>0.4108503544962353</v>
      </c>
      <c r="AV69" s="32">
        <v>2.9845905001190314</v>
      </c>
      <c r="AW69" s="69"/>
      <c r="AX69" s="32">
        <v>37.673774547814773</v>
      </c>
      <c r="AY69" s="32">
        <v>21.19713275590458</v>
      </c>
      <c r="AZ69" s="32">
        <v>-88.747346072186843</v>
      </c>
      <c r="BA69" s="32">
        <v>-55.634807417974322</v>
      </c>
      <c r="BB69" s="32">
        <v>5.5679861384094451</v>
      </c>
      <c r="BC69" s="69"/>
      <c r="BD69" s="32">
        <v>1139.9648690000001</v>
      </c>
      <c r="BE69" s="32">
        <v>15.615957109589043</v>
      </c>
      <c r="BF69" s="32">
        <v>1.6E-2</v>
      </c>
      <c r="BG69" s="32">
        <v>1891.0147639999998</v>
      </c>
      <c r="BH69" s="32">
        <v>25.904311835616436</v>
      </c>
      <c r="BI69" s="32">
        <v>6.2E-2</v>
      </c>
      <c r="BJ69" s="32">
        <v>1217.9232462380955</v>
      </c>
      <c r="BK69" s="32">
        <v>16.683880085453364</v>
      </c>
      <c r="BL69" s="32">
        <v>140.36826276870747</v>
      </c>
      <c r="BM69" s="32">
        <v>1.9228529146398283</v>
      </c>
      <c r="BN69" s="32">
        <v>679.14575450340146</v>
      </c>
      <c r="BO69" s="32">
        <v>9.3033665000465948</v>
      </c>
      <c r="BP69" s="32">
        <v>229.16663687610625</v>
      </c>
      <c r="BQ69" s="32">
        <v>3.1392689983028252</v>
      </c>
      <c r="BR69" s="32">
        <v>1214.1537941061949</v>
      </c>
      <c r="BS69" s="32">
        <v>16.632243754879383</v>
      </c>
      <c r="BT69" s="32">
        <v>9.9000000000000005E-2</v>
      </c>
      <c r="BU69" s="32">
        <v>-154.7557452941177</v>
      </c>
      <c r="BV69" s="8">
        <v>-2.119941716357777</v>
      </c>
      <c r="BW69" s="32">
        <v>1230.4511312647057</v>
      </c>
      <c r="BX69" s="32" t="s">
        <v>34</v>
      </c>
      <c r="BY69" s="32">
        <v>4.7E-2</v>
      </c>
      <c r="BZ69" s="32">
        <v>40896.070745500001</v>
      </c>
      <c r="CA69" s="32">
        <v>136636.21303450002</v>
      </c>
      <c r="CB69" s="32">
        <v>0.14599999999999999</v>
      </c>
      <c r="CC69" s="32">
        <v>9.8000000000000004E-2</v>
      </c>
      <c r="CD69" s="32">
        <v>67.808219178082197</v>
      </c>
      <c r="CE69" s="32">
        <v>10.753969050220201</v>
      </c>
      <c r="CF69" s="32">
        <v>9.7541836044857586</v>
      </c>
      <c r="CG69" s="32">
        <v>15.924778208556582</v>
      </c>
      <c r="CH69" s="32">
        <v>84.63342585889788</v>
      </c>
      <c r="CI69" s="32">
        <v>10.753969050220201</v>
      </c>
      <c r="CJ69" s="32">
        <v>30.296434225124731</v>
      </c>
      <c r="CK69" s="32">
        <v>15.924778208556582</v>
      </c>
      <c r="CL69" s="32">
        <v>22.128534283162608</v>
      </c>
      <c r="CM69" s="32" t="s">
        <v>34</v>
      </c>
      <c r="CN69" s="32" t="s">
        <v>34</v>
      </c>
      <c r="CO69" s="32" t="s">
        <v>34</v>
      </c>
      <c r="CP69" s="32" t="s">
        <v>34</v>
      </c>
      <c r="CQ69" s="17" t="s">
        <v>34</v>
      </c>
      <c r="CR69" s="69"/>
      <c r="CS69" s="32">
        <v>1250.5656349999999</v>
      </c>
      <c r="CT69" s="32">
        <v>17.131036095890408</v>
      </c>
      <c r="CU69" s="32">
        <v>1.4E-2</v>
      </c>
      <c r="CV69" s="32">
        <v>1853.270209</v>
      </c>
      <c r="CW69" s="32">
        <v>25.387263136986302</v>
      </c>
      <c r="CX69" s="32">
        <v>0.04</v>
      </c>
      <c r="CY69" s="32">
        <v>1208.3052768917196</v>
      </c>
      <c r="CZ69" s="32">
        <v>16.552127080708487</v>
      </c>
      <c r="DA69" s="32">
        <v>95.870415961783436</v>
      </c>
      <c r="DB69" s="32">
        <v>1.313293369339499</v>
      </c>
      <c r="DC69" s="32">
        <v>652.08784642675153</v>
      </c>
      <c r="DD69" s="32">
        <v>8.9327102250239943</v>
      </c>
      <c r="DE69" s="32">
        <v>227.52875984905657</v>
      </c>
      <c r="DF69" s="32">
        <v>3.1168323266994049</v>
      </c>
      <c r="DG69" s="32">
        <v>1106.1843296132074</v>
      </c>
      <c r="DH69" s="32">
        <v>15.153209994701472</v>
      </c>
      <c r="DI69" s="32">
        <v>9.4E-2</v>
      </c>
      <c r="DJ69" s="32">
        <v>-177.77241643137256</v>
      </c>
      <c r="DK69" s="8">
        <v>-2.4352385812516788</v>
      </c>
      <c r="DL69" s="32">
        <v>1420.5566575098037</v>
      </c>
      <c r="DM69" s="32">
        <v>-0.81400182594681703</v>
      </c>
      <c r="DN69" s="32">
        <v>6.0999999999999999E-2</v>
      </c>
      <c r="DO69" s="32">
        <v>71546.884407999998</v>
      </c>
      <c r="DP69" s="32">
        <v>117259.32601800001</v>
      </c>
      <c r="DQ69" s="32">
        <v>0.156</v>
      </c>
      <c r="DR69" s="32">
        <v>9.8000000000000004E-2</v>
      </c>
      <c r="DS69" s="32">
        <v>60.256410256410255</v>
      </c>
      <c r="DT69" s="32">
        <v>6.7530016433102258</v>
      </c>
      <c r="DU69" s="32">
        <v>12.522084193051169</v>
      </c>
      <c r="DV69" s="32">
        <v>16.026863696653916</v>
      </c>
      <c r="DW69" s="32">
        <v>85.111631556108776</v>
      </c>
      <c r="DX69" s="32">
        <v>6.7530016433102258</v>
      </c>
      <c r="DY69" s="32">
        <v>12.522084193051169</v>
      </c>
      <c r="DZ69" s="32">
        <v>16.026863696653916</v>
      </c>
      <c r="EA69" s="32">
        <v>0.23438389403939922</v>
      </c>
      <c r="EB69" s="32">
        <v>7.9069861715347685</v>
      </c>
      <c r="EC69" s="69"/>
      <c r="ED69" s="32">
        <v>-0.79283293017830447</v>
      </c>
      <c r="EE69" s="32">
        <v>13.843441721038749</v>
      </c>
      <c r="EF69" s="32">
        <v>-0.7172732805254658</v>
      </c>
      <c r="EG69" s="32">
        <v>-2.016115507883367</v>
      </c>
      <c r="EH69" s="32">
        <v>-43.13725490196078</v>
      </c>
      <c r="EI69" s="32">
        <v>9.2532403008399164</v>
      </c>
      <c r="EJ69" s="32">
        <v>6.622516556291397</v>
      </c>
      <c r="EK69" s="32">
        <v>116.89526491081115</v>
      </c>
      <c r="EL69" s="32">
        <v>36.362128565513565</v>
      </c>
      <c r="EM69" s="32">
        <v>15.192568296277583</v>
      </c>
      <c r="EN69" s="32">
        <v>0.63899995123997888</v>
      </c>
      <c r="EO69" s="69"/>
      <c r="EP69" s="32">
        <v>1033.2774260000001</v>
      </c>
      <c r="EQ69" s="32">
        <v>14.154485287671234</v>
      </c>
      <c r="ER69" s="32">
        <v>0.29899999999999999</v>
      </c>
      <c r="ES69" s="32">
        <v>622.17600239750004</v>
      </c>
      <c r="ET69" s="32">
        <v>8.5229589369520546</v>
      </c>
      <c r="EU69" s="32">
        <v>240.75371651250001</v>
      </c>
      <c r="EV69" s="32">
        <v>3.297996116609589</v>
      </c>
      <c r="EW69" s="32">
        <v>431.46485945500001</v>
      </c>
      <c r="EX69" s="32">
        <v>5.9104775267808218</v>
      </c>
      <c r="EY69" s="32">
        <v>0.39900000000000002</v>
      </c>
      <c r="EZ69" s="32">
        <v>0.05</v>
      </c>
      <c r="FA69" s="32">
        <v>30.154212911280734</v>
      </c>
      <c r="FB69" s="32">
        <v>49.8083646133652</v>
      </c>
      <c r="FC69" s="32">
        <v>67.938916757022625</v>
      </c>
      <c r="FD69" s="32">
        <v>95.666059168544578</v>
      </c>
      <c r="FE69" s="32">
        <v>0.60259993184664928</v>
      </c>
      <c r="FF69" s="32">
        <v>1.7146988763067939</v>
      </c>
      <c r="FG69" s="69"/>
      <c r="FH69" s="32" t="s">
        <v>34</v>
      </c>
      <c r="FI69" s="32" t="s">
        <v>34</v>
      </c>
      <c r="FJ69" s="32" t="s">
        <v>34</v>
      </c>
      <c r="FK69" s="32" t="s">
        <v>34</v>
      </c>
      <c r="FL69" s="32" t="s">
        <v>34</v>
      </c>
      <c r="FM69" s="32" t="s">
        <v>34</v>
      </c>
      <c r="FN69" s="32" t="s">
        <v>34</v>
      </c>
      <c r="FO69" s="32" t="s">
        <v>34</v>
      </c>
      <c r="FP69" s="32" t="s">
        <v>34</v>
      </c>
      <c r="FQ69" s="32" t="s">
        <v>34</v>
      </c>
      <c r="FR69" s="32" t="s">
        <v>34</v>
      </c>
      <c r="FS69" s="32" t="s">
        <v>34</v>
      </c>
      <c r="FT69" s="32" t="s">
        <v>34</v>
      </c>
      <c r="FU69" s="32" t="s">
        <v>34</v>
      </c>
      <c r="FV69" s="32" t="s">
        <v>34</v>
      </c>
      <c r="FW69" s="32" t="s">
        <v>34</v>
      </c>
      <c r="FX69" s="32" t="s">
        <v>34</v>
      </c>
      <c r="FY69" s="32" t="s">
        <v>34</v>
      </c>
      <c r="FZ69" s="32" t="s">
        <v>34</v>
      </c>
      <c r="GA69" s="32" t="s">
        <v>34</v>
      </c>
      <c r="GB69" s="69"/>
      <c r="GC69" s="32" t="s">
        <v>34</v>
      </c>
      <c r="GD69" s="32" t="s">
        <v>34</v>
      </c>
      <c r="GE69" s="32" t="s">
        <v>34</v>
      </c>
      <c r="GF69" s="32" t="s">
        <v>34</v>
      </c>
      <c r="GG69" s="32" t="s">
        <v>34</v>
      </c>
      <c r="GH69" s="69"/>
      <c r="GI69" s="32">
        <v>1733.995208</v>
      </c>
      <c r="GJ69" s="32">
        <v>23.753359013698631</v>
      </c>
      <c r="GK69" s="32">
        <v>3.5999999999999997E-2</v>
      </c>
      <c r="GL69" s="32">
        <v>1777.348346</v>
      </c>
      <c r="GM69" s="32">
        <v>24.347237616438356</v>
      </c>
      <c r="GN69" s="32">
        <v>7.5999999999999998E-2</v>
      </c>
      <c r="GO69" s="32">
        <v>1185.4162681454548</v>
      </c>
      <c r="GP69" s="32">
        <v>16.238579015691162</v>
      </c>
      <c r="GQ69" s="32">
        <v>95.618334151515157</v>
      </c>
      <c r="GR69" s="32">
        <v>1.309840193856372</v>
      </c>
      <c r="GS69" s="32">
        <v>640.51730114848499</v>
      </c>
      <c r="GT69" s="32">
        <v>8.7742096047737661</v>
      </c>
      <c r="GU69" s="32">
        <v>216.92652466964287</v>
      </c>
      <c r="GV69" s="32">
        <v>2.971596228351272</v>
      </c>
      <c r="GW69" s="32">
        <v>1072.4424777053571</v>
      </c>
      <c r="GX69" s="32">
        <v>14.690992845278863</v>
      </c>
      <c r="GY69" s="32">
        <v>0.1</v>
      </c>
      <c r="GZ69" s="32">
        <v>-160.73104958490566</v>
      </c>
      <c r="HA69" s="8">
        <v>-2.2017951997932284</v>
      </c>
      <c r="HB69" s="32">
        <v>1424.1533347358491</v>
      </c>
      <c r="HC69" s="32">
        <v>0.57451510286895835</v>
      </c>
      <c r="HD69" s="32">
        <v>6.4000000000000001E-2</v>
      </c>
      <c r="HE69" s="32">
        <v>74575.808358999988</v>
      </c>
      <c r="HF69" s="32">
        <v>119425.67068000001</v>
      </c>
      <c r="HG69" s="32">
        <v>0.16400000000000001</v>
      </c>
      <c r="HH69" s="32" t="s">
        <v>34</v>
      </c>
      <c r="HI69" s="32">
        <v>60.975609756097562</v>
      </c>
      <c r="HJ69" s="32">
        <v>11.526077726841086</v>
      </c>
      <c r="HK69" s="32">
        <v>6.8568229622568584</v>
      </c>
      <c r="HL69" s="32">
        <v>15.555874181204995</v>
      </c>
      <c r="HM69" s="32">
        <v>85.006600035227535</v>
      </c>
      <c r="HN69" s="32">
        <v>11.526077726841086</v>
      </c>
      <c r="HO69" s="32">
        <v>28.349605061022075</v>
      </c>
      <c r="HP69" s="32">
        <v>15.555874181204995</v>
      </c>
      <c r="HQ69" s="32">
        <v>20.115561913928584</v>
      </c>
      <c r="HR69" s="32">
        <v>60.975609756097562</v>
      </c>
      <c r="HS69" s="32" t="s">
        <v>34</v>
      </c>
      <c r="HT69" s="32" t="s">
        <v>34</v>
      </c>
      <c r="HU69" s="32" t="s">
        <v>34</v>
      </c>
      <c r="HV69" s="32" t="s">
        <v>34</v>
      </c>
      <c r="HW69" s="17" t="s">
        <v>34</v>
      </c>
      <c r="HX69" s="69"/>
      <c r="HY69" s="32" t="s">
        <v>34</v>
      </c>
      <c r="HZ69" s="32" t="s">
        <v>34</v>
      </c>
      <c r="IA69" s="32" t="s">
        <v>34</v>
      </c>
      <c r="IB69" s="32" t="s">
        <v>34</v>
      </c>
      <c r="IC69" s="32" t="s">
        <v>34</v>
      </c>
      <c r="ID69" s="32" t="s">
        <v>34</v>
      </c>
      <c r="IE69" s="32" t="s">
        <v>34</v>
      </c>
      <c r="IF69" s="32" t="s">
        <v>34</v>
      </c>
      <c r="IG69" s="32" t="s">
        <v>34</v>
      </c>
      <c r="IH69" s="32" t="s">
        <v>34</v>
      </c>
      <c r="II69" s="32" t="s">
        <v>34</v>
      </c>
      <c r="IJ69" s="32" t="s">
        <v>34</v>
      </c>
      <c r="IK69" s="32" t="s">
        <v>34</v>
      </c>
      <c r="IL69" s="32" t="s">
        <v>34</v>
      </c>
      <c r="IM69" s="32" t="s">
        <v>34</v>
      </c>
      <c r="IN69" s="32" t="s">
        <v>34</v>
      </c>
      <c r="IO69" s="32" t="s">
        <v>34</v>
      </c>
      <c r="IP69" s="32" t="s">
        <v>34</v>
      </c>
      <c r="IQ69" s="8" t="s">
        <v>34</v>
      </c>
      <c r="IR69" s="32" t="s">
        <v>34</v>
      </c>
      <c r="IS69" s="32" t="s">
        <v>34</v>
      </c>
      <c r="IT69" s="32" t="s">
        <v>34</v>
      </c>
      <c r="IU69" s="32" t="s">
        <v>34</v>
      </c>
      <c r="IV69" s="32" t="s">
        <v>34</v>
      </c>
      <c r="IW69" s="32" t="s">
        <v>34</v>
      </c>
      <c r="IX69" s="32" t="s">
        <v>34</v>
      </c>
      <c r="IY69" s="32" t="s">
        <v>34</v>
      </c>
      <c r="IZ69" s="32" t="s">
        <v>34</v>
      </c>
      <c r="JA69" s="32" t="s">
        <v>34</v>
      </c>
      <c r="JB69" s="32" t="s">
        <v>34</v>
      </c>
      <c r="JC69" s="32" t="s">
        <v>34</v>
      </c>
      <c r="JD69" s="32" t="s">
        <v>34</v>
      </c>
      <c r="JE69" s="32" t="s">
        <v>34</v>
      </c>
      <c r="JF69" s="32" t="s">
        <v>34</v>
      </c>
      <c r="JG69" s="32" t="s">
        <v>34</v>
      </c>
      <c r="JH69" s="32" t="s">
        <v>34</v>
      </c>
      <c r="JI69" s="69"/>
      <c r="JJ69" s="32" t="s">
        <v>34</v>
      </c>
      <c r="JK69" s="32" t="s">
        <v>34</v>
      </c>
      <c r="JL69" s="32" t="s">
        <v>34</v>
      </c>
      <c r="JM69" s="32" t="s">
        <v>34</v>
      </c>
      <c r="JN69" s="32" t="s">
        <v>34</v>
      </c>
      <c r="JO69" s="32" t="s">
        <v>34</v>
      </c>
      <c r="JP69" s="32" t="s">
        <v>34</v>
      </c>
      <c r="JQ69" s="32" t="s">
        <v>34</v>
      </c>
      <c r="JR69" s="32" t="s">
        <v>34</v>
      </c>
      <c r="JS69" s="32" t="s">
        <v>34</v>
      </c>
      <c r="JT69" s="32" t="s">
        <v>34</v>
      </c>
      <c r="JU69" s="69"/>
      <c r="JV69" s="32">
        <v>1130.1545279999998</v>
      </c>
      <c r="JW69" s="32">
        <v>15.481568876712325</v>
      </c>
      <c r="JX69" s="32">
        <v>0.27500000000000002</v>
      </c>
      <c r="JY69" s="32">
        <v>654.41133594845371</v>
      </c>
      <c r="JZ69" s="32">
        <v>8.9645388486089548</v>
      </c>
      <c r="KA69" s="32">
        <v>250.82830718814429</v>
      </c>
      <c r="KB69" s="32">
        <v>3.436004208056771</v>
      </c>
      <c r="KC69" s="32">
        <v>452.61982156829902</v>
      </c>
      <c r="KD69" s="32">
        <v>6.2002715283328635</v>
      </c>
      <c r="KE69" s="32">
        <v>0.38700000000000001</v>
      </c>
      <c r="KF69" s="32">
        <v>0.06</v>
      </c>
      <c r="KG69" s="32">
        <v>30.039600654426568</v>
      </c>
      <c r="KH69" s="32">
        <v>69.960399345573435</v>
      </c>
      <c r="KI69" s="32">
        <v>89.473675676867629</v>
      </c>
      <c r="KJ69" s="32">
        <v>80.479474345998909</v>
      </c>
      <c r="KK69" s="32">
        <v>0.60851210361332453</v>
      </c>
      <c r="KL69" s="32">
        <v>1.8572424793018576</v>
      </c>
      <c r="KM69" s="69"/>
      <c r="KN69" s="32" t="s">
        <v>34</v>
      </c>
      <c r="KO69" s="32" t="s">
        <v>34</v>
      </c>
      <c r="KP69" s="32" t="s">
        <v>34</v>
      </c>
      <c r="KQ69" s="32" t="s">
        <v>34</v>
      </c>
      <c r="KR69" s="32" t="s">
        <v>34</v>
      </c>
      <c r="KS69" s="32" t="s">
        <v>34</v>
      </c>
      <c r="KT69" s="32" t="s">
        <v>34</v>
      </c>
      <c r="KU69" s="32" t="s">
        <v>34</v>
      </c>
      <c r="KV69" s="32" t="s">
        <v>34</v>
      </c>
      <c r="KW69" s="32" t="s">
        <v>34</v>
      </c>
      <c r="KX69" s="32" t="s">
        <v>34</v>
      </c>
      <c r="KY69" s="32" t="s">
        <v>34</v>
      </c>
      <c r="KZ69" s="32" t="s">
        <v>34</v>
      </c>
      <c r="LA69" s="32" t="s">
        <v>34</v>
      </c>
      <c r="LB69" s="32" t="s">
        <v>34</v>
      </c>
      <c r="LC69" s="32" t="s">
        <v>34</v>
      </c>
      <c r="LD69" s="32" t="s">
        <v>34</v>
      </c>
      <c r="LE69" s="32" t="s">
        <v>34</v>
      </c>
      <c r="LF69" s="32" t="s">
        <v>34</v>
      </c>
      <c r="LG69" s="32" t="s">
        <v>34</v>
      </c>
      <c r="LH69" s="69"/>
      <c r="LI69" s="32" t="s">
        <v>34</v>
      </c>
      <c r="LJ69" s="32" t="s">
        <v>34</v>
      </c>
      <c r="LK69" s="32" t="s">
        <v>34</v>
      </c>
      <c r="LL69" s="32" t="s">
        <v>34</v>
      </c>
      <c r="LM69" s="32" t="s">
        <v>34</v>
      </c>
      <c r="LN69" s="69"/>
      <c r="LO69" s="32">
        <v>1901.167741</v>
      </c>
      <c r="LP69" s="32">
        <v>26.043393712328768</v>
      </c>
      <c r="LQ69" s="32">
        <v>3.7999999999999999E-2</v>
      </c>
      <c r="LR69" s="32">
        <v>1958.2624580000002</v>
      </c>
      <c r="LS69" s="32">
        <v>26.825513123287674</v>
      </c>
      <c r="LT69" s="32">
        <v>6.9000000000000006E-2</v>
      </c>
      <c r="LU69" s="32">
        <v>1266.3152000683233</v>
      </c>
      <c r="LV69" s="32">
        <v>17.34678356257977</v>
      </c>
      <c r="LW69" s="32">
        <v>101.57806056521738</v>
      </c>
      <c r="LX69" s="32">
        <v>1.3914802817153067</v>
      </c>
      <c r="LY69" s="32">
        <v>683.94663031677032</v>
      </c>
      <c r="LZ69" s="32">
        <v>9.3691319221475382</v>
      </c>
      <c r="MA69" s="32">
        <v>217.21994275471701</v>
      </c>
      <c r="MB69" s="32">
        <v>2.9756156541742058</v>
      </c>
      <c r="MC69" s="32">
        <v>1138.8818286792455</v>
      </c>
      <c r="MD69" s="32">
        <v>15.601120940811581</v>
      </c>
      <c r="ME69" s="32">
        <v>9.7000000000000003E-2</v>
      </c>
      <c r="MF69" s="32">
        <v>-121.29538510909092</v>
      </c>
      <c r="MG69" s="8">
        <v>-1.6615806179327524</v>
      </c>
      <c r="MH69" s="32">
        <v>1511.9140612909089</v>
      </c>
      <c r="MI69" s="32">
        <v>-0.31227737858032378</v>
      </c>
      <c r="MJ69" s="32">
        <v>6.3E-2</v>
      </c>
      <c r="MK69" s="32">
        <v>82169.036848500007</v>
      </c>
      <c r="ML69" s="32">
        <v>120022.1355855</v>
      </c>
      <c r="MM69" s="32">
        <v>0.16</v>
      </c>
      <c r="MN69" s="32" t="s">
        <v>34</v>
      </c>
      <c r="MO69" s="32">
        <v>60.624999999999993</v>
      </c>
      <c r="MP69" s="32">
        <v>8.5371618421728677</v>
      </c>
      <c r="MQ69" s="32">
        <v>7.1493927149772816</v>
      </c>
      <c r="MR69" s="32">
        <v>15.288642721045756</v>
      </c>
      <c r="MS69" s="32">
        <v>89.12736289566007</v>
      </c>
      <c r="MT69" s="32">
        <v>8.5371618421728677</v>
      </c>
      <c r="MU69" s="32">
        <v>27.826224265983335</v>
      </c>
      <c r="MV69" s="32">
        <v>15.288642721045756</v>
      </c>
      <c r="MW69" s="32">
        <v>19.482308890542921</v>
      </c>
      <c r="MX69" s="32" t="s">
        <v>34</v>
      </c>
      <c r="MY69" s="32" t="s">
        <v>34</v>
      </c>
      <c r="MZ69" s="32" t="s">
        <v>34</v>
      </c>
      <c r="NA69" s="32" t="s">
        <v>34</v>
      </c>
      <c r="NB69" s="17" t="s">
        <v>34</v>
      </c>
      <c r="NC69" s="69"/>
      <c r="ND69" s="32" t="s">
        <v>34</v>
      </c>
      <c r="NE69" s="32" t="s">
        <v>34</v>
      </c>
      <c r="NF69" s="32" t="s">
        <v>34</v>
      </c>
      <c r="NG69" s="32" t="s">
        <v>34</v>
      </c>
      <c r="NH69" s="32" t="s">
        <v>34</v>
      </c>
      <c r="NI69" s="32" t="s">
        <v>34</v>
      </c>
      <c r="NJ69" s="32" t="s">
        <v>34</v>
      </c>
      <c r="NK69" s="32" t="s">
        <v>34</v>
      </c>
      <c r="NL69" s="32" t="s">
        <v>34</v>
      </c>
      <c r="NM69" s="32" t="s">
        <v>34</v>
      </c>
      <c r="NN69" s="32" t="s">
        <v>34</v>
      </c>
      <c r="NO69" s="32" t="s">
        <v>34</v>
      </c>
      <c r="NP69" s="32" t="s">
        <v>34</v>
      </c>
      <c r="NQ69" s="32" t="s">
        <v>34</v>
      </c>
      <c r="NR69" s="32" t="s">
        <v>34</v>
      </c>
      <c r="NS69" s="32" t="s">
        <v>34</v>
      </c>
      <c r="NT69" s="32" t="s">
        <v>34</v>
      </c>
      <c r="NU69" s="32" t="s">
        <v>34</v>
      </c>
      <c r="NV69" s="8" t="s">
        <v>34</v>
      </c>
      <c r="NW69" s="32" t="s">
        <v>34</v>
      </c>
      <c r="NX69" s="32" t="s">
        <v>34</v>
      </c>
      <c r="NY69" s="32" t="s">
        <v>34</v>
      </c>
      <c r="NZ69" s="32" t="s">
        <v>34</v>
      </c>
      <c r="OA69" s="32" t="s">
        <v>34</v>
      </c>
      <c r="OB69" s="32" t="s">
        <v>34</v>
      </c>
      <c r="OC69" s="32" t="s">
        <v>34</v>
      </c>
      <c r="OD69" s="32" t="s">
        <v>34</v>
      </c>
      <c r="OE69" s="32" t="s">
        <v>34</v>
      </c>
      <c r="OF69" s="32" t="s">
        <v>34</v>
      </c>
      <c r="OG69" s="32" t="s">
        <v>34</v>
      </c>
      <c r="OH69" s="32" t="s">
        <v>34</v>
      </c>
      <c r="OI69" s="32" t="s">
        <v>34</v>
      </c>
      <c r="OJ69" s="32" t="s">
        <v>34</v>
      </c>
      <c r="OK69" s="32" t="s">
        <v>34</v>
      </c>
      <c r="OL69" s="32" t="s">
        <v>34</v>
      </c>
      <c r="OM69" s="32" t="s">
        <v>34</v>
      </c>
      <c r="ON69" s="69"/>
      <c r="OO69" s="32" t="s">
        <v>34</v>
      </c>
      <c r="OP69" s="32" t="s">
        <v>34</v>
      </c>
      <c r="OQ69" s="32" t="s">
        <v>34</v>
      </c>
      <c r="OR69" s="32" t="s">
        <v>34</v>
      </c>
      <c r="OS69" s="32" t="s">
        <v>34</v>
      </c>
      <c r="OT69" s="32" t="s">
        <v>34</v>
      </c>
      <c r="OU69" s="32" t="s">
        <v>34</v>
      </c>
      <c r="OV69" s="32" t="s">
        <v>34</v>
      </c>
      <c r="OW69" s="32" t="s">
        <v>34</v>
      </c>
      <c r="OX69" s="32" t="s">
        <v>34</v>
      </c>
      <c r="OY69" s="32" t="s">
        <v>34</v>
      </c>
    </row>
    <row r="70" spans="1:415" ht="15.75" x14ac:dyDescent="0.25">
      <c r="A70" s="10">
        <v>69</v>
      </c>
      <c r="B70" s="3" t="s">
        <v>390</v>
      </c>
      <c r="C70" s="3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9"/>
      <c r="K70" s="32">
        <v>1326.5056179999999</v>
      </c>
      <c r="L70" s="32">
        <v>20.407778738461538</v>
      </c>
      <c r="M70" s="32">
        <v>0.186</v>
      </c>
      <c r="N70" s="32">
        <v>740.07446711003865</v>
      </c>
      <c r="O70" s="32">
        <v>11.385761032462133</v>
      </c>
      <c r="P70" s="32">
        <v>428.33534221428567</v>
      </c>
      <c r="Q70" s="32">
        <v>6.5897744956043951</v>
      </c>
      <c r="R70" s="32">
        <v>584.20490466216211</v>
      </c>
      <c r="S70" s="32">
        <v>8.9877677640332632</v>
      </c>
      <c r="T70" s="32">
        <v>0.51700000000000002</v>
      </c>
      <c r="U70" s="32">
        <v>0.04</v>
      </c>
      <c r="V70" s="32">
        <v>36.385275067294195</v>
      </c>
      <c r="W70" s="32">
        <v>43.614724932705798</v>
      </c>
      <c r="X70" s="32">
        <v>92.187489169587508</v>
      </c>
      <c r="Y70" s="32">
        <v>71.965630477279817</v>
      </c>
      <c r="Z70" s="32">
        <v>1.5547538584224645</v>
      </c>
      <c r="AA70" s="32">
        <v>0.85319332755729116</v>
      </c>
      <c r="AB70" s="69"/>
      <c r="AC70" s="32" t="s">
        <v>34</v>
      </c>
      <c r="AD70" s="32" t="s">
        <v>34</v>
      </c>
      <c r="AE70" s="32" t="s">
        <v>34</v>
      </c>
      <c r="AF70" s="32" t="s">
        <v>34</v>
      </c>
      <c r="AG70" s="32" t="s">
        <v>34</v>
      </c>
      <c r="AH70" s="32" t="s">
        <v>34</v>
      </c>
      <c r="AI70" s="32" t="s">
        <v>34</v>
      </c>
      <c r="AJ70" s="32" t="s">
        <v>34</v>
      </c>
      <c r="AK70" s="32" t="s">
        <v>34</v>
      </c>
      <c r="AL70" s="32" t="s">
        <v>34</v>
      </c>
      <c r="AM70" s="32" t="s">
        <v>34</v>
      </c>
      <c r="AN70" s="32" t="s">
        <v>34</v>
      </c>
      <c r="AO70" s="32" t="s">
        <v>34</v>
      </c>
      <c r="AP70" s="32" t="s">
        <v>34</v>
      </c>
      <c r="AQ70" s="32" t="s">
        <v>34</v>
      </c>
      <c r="AR70" s="32" t="s">
        <v>34</v>
      </c>
      <c r="AS70" s="32" t="s">
        <v>34</v>
      </c>
      <c r="AT70" s="32" t="s">
        <v>34</v>
      </c>
      <c r="AU70" s="32" t="s">
        <v>34</v>
      </c>
      <c r="AV70" s="32" t="s">
        <v>34</v>
      </c>
      <c r="AW70" s="69"/>
      <c r="AX70" s="32" t="s">
        <v>34</v>
      </c>
      <c r="AY70" s="32" t="s">
        <v>34</v>
      </c>
      <c r="AZ70" s="32" t="s">
        <v>34</v>
      </c>
      <c r="BA70" s="32" t="s">
        <v>34</v>
      </c>
      <c r="BB70" s="32" t="s">
        <v>34</v>
      </c>
      <c r="BC70" s="69"/>
      <c r="BD70" s="32">
        <v>791.53555700000004</v>
      </c>
      <c r="BE70" s="32">
        <v>12.177470107692308</v>
      </c>
      <c r="BF70" s="32">
        <v>0.01</v>
      </c>
      <c r="BG70" s="32">
        <v>1950.0571579999998</v>
      </c>
      <c r="BH70" s="32">
        <v>30.000879353846152</v>
      </c>
      <c r="BI70" s="32">
        <v>5.8999999999999997E-2</v>
      </c>
      <c r="BJ70" s="32">
        <v>1191.8398250479452</v>
      </c>
      <c r="BK70" s="32">
        <v>18.335997308429924</v>
      </c>
      <c r="BL70" s="32">
        <v>147.83923836986298</v>
      </c>
      <c r="BM70" s="32">
        <v>2.274449821074815</v>
      </c>
      <c r="BN70" s="32">
        <v>669.83953170890413</v>
      </c>
      <c r="BO70" s="32">
        <v>10.305223564752371</v>
      </c>
      <c r="BP70" s="32">
        <v>253.9542684339622</v>
      </c>
      <c r="BQ70" s="32">
        <v>3.90698874513788</v>
      </c>
      <c r="BR70" s="32">
        <v>1201.3614860283019</v>
      </c>
      <c r="BS70" s="32">
        <v>18.482484400435414</v>
      </c>
      <c r="BT70" s="32">
        <v>0.10299999999999999</v>
      </c>
      <c r="BU70" s="32">
        <v>-133.36559129999998</v>
      </c>
      <c r="BV70" s="8">
        <v>-2.0517783276923072</v>
      </c>
      <c r="BW70" s="32">
        <v>1166.6074234499999</v>
      </c>
      <c r="BX70" s="32" t="s">
        <v>34</v>
      </c>
      <c r="BY70" s="32">
        <v>4.2000000000000003E-2</v>
      </c>
      <c r="BZ70" s="32">
        <v>45715.615596500007</v>
      </c>
      <c r="CA70" s="32">
        <v>126720.33312850002</v>
      </c>
      <c r="CB70" s="32">
        <v>0.14499999999999999</v>
      </c>
      <c r="CC70" s="32">
        <v>0.13</v>
      </c>
      <c r="CD70" s="32">
        <v>71.034482758620683</v>
      </c>
      <c r="CE70" s="32">
        <v>9.6494545786861483</v>
      </c>
      <c r="CF70" s="32">
        <v>10.696672220262165</v>
      </c>
      <c r="CG70" s="32">
        <v>18.374455917978509</v>
      </c>
      <c r="CH70" s="32">
        <v>86.233669005368071</v>
      </c>
      <c r="CI70" s="32">
        <v>9.6494545786861483</v>
      </c>
      <c r="CJ70" s="32">
        <v>34.908626298902973</v>
      </c>
      <c r="CK70" s="32">
        <v>18.374455917978509</v>
      </c>
      <c r="CL70" s="32">
        <v>24.880437016321121</v>
      </c>
      <c r="CM70" s="32" t="s">
        <v>34</v>
      </c>
      <c r="CN70" s="32" t="s">
        <v>34</v>
      </c>
      <c r="CO70" s="32" t="s">
        <v>34</v>
      </c>
      <c r="CP70" s="32" t="s">
        <v>34</v>
      </c>
      <c r="CQ70" s="17" t="s">
        <v>34</v>
      </c>
      <c r="CR70" s="69"/>
      <c r="CS70" s="32">
        <v>1182.434223</v>
      </c>
      <c r="CT70" s="32">
        <v>18.191295738461537</v>
      </c>
      <c r="CU70" s="32">
        <v>1.6E-2</v>
      </c>
      <c r="CV70" s="32">
        <v>2020.911574</v>
      </c>
      <c r="CW70" s="32">
        <v>31.090947292307693</v>
      </c>
      <c r="CX70" s="32">
        <v>3.9E-2</v>
      </c>
      <c r="CY70" s="32">
        <v>1223.8269169300697</v>
      </c>
      <c r="CZ70" s="32">
        <v>18.828106414308763</v>
      </c>
      <c r="DA70" s="32">
        <v>137.39946213286711</v>
      </c>
      <c r="DB70" s="32">
        <v>2.1138378789671863</v>
      </c>
      <c r="DC70" s="32">
        <v>680.61318953146838</v>
      </c>
      <c r="DD70" s="32">
        <v>10.470972146637974</v>
      </c>
      <c r="DE70" s="32">
        <v>252.05163502040816</v>
      </c>
      <c r="DF70" s="32">
        <v>3.8777174618524333</v>
      </c>
      <c r="DG70" s="32">
        <v>1139.5918656530612</v>
      </c>
      <c r="DH70" s="32">
        <v>17.532182548508633</v>
      </c>
      <c r="DI70" s="32">
        <v>1E-3</v>
      </c>
      <c r="DJ70" s="32">
        <v>-112.28749215555557</v>
      </c>
      <c r="DK70" s="8">
        <v>-1.7274998793162395</v>
      </c>
      <c r="DL70" s="32">
        <v>1407.2721397111111</v>
      </c>
      <c r="DM70" s="32">
        <v>1.5480999367521369</v>
      </c>
      <c r="DN70" s="32">
        <v>0.13900000000000001</v>
      </c>
      <c r="DO70" s="32">
        <v>63248.3037215</v>
      </c>
      <c r="DP70" s="32">
        <v>111682.25704749998</v>
      </c>
      <c r="DQ70" s="32">
        <v>0.14199999999999999</v>
      </c>
      <c r="DR70" s="32">
        <v>0.13</v>
      </c>
      <c r="DS70" s="32">
        <v>0.70422535211267612</v>
      </c>
      <c r="DT70" s="32">
        <v>9.5956258427055428</v>
      </c>
      <c r="DU70" s="32">
        <v>7.8418703014901059</v>
      </c>
      <c r="DV70" s="32">
        <v>17.602639378305586</v>
      </c>
      <c r="DW70" s="32">
        <v>85.468931310202805</v>
      </c>
      <c r="DX70" s="32">
        <v>9.5956258427055428</v>
      </c>
      <c r="DY70" s="32">
        <v>7.8418703014901059</v>
      </c>
      <c r="DZ70" s="32">
        <v>17.602639378305586</v>
      </c>
      <c r="EA70" s="32">
        <v>0.2268710629553233</v>
      </c>
      <c r="EB70" s="32">
        <v>8.9077538037452086</v>
      </c>
      <c r="EC70" s="69"/>
      <c r="ED70" s="32">
        <v>-2.6483033711788107</v>
      </c>
      <c r="EE70" s="32">
        <v>17.160866737712198</v>
      </c>
      <c r="EF70" s="32">
        <v>0.75202024346564345</v>
      </c>
      <c r="EG70" s="32">
        <v>-3.56862119960909</v>
      </c>
      <c r="EH70" s="32">
        <v>40.816326530612237</v>
      </c>
      <c r="EI70" s="32">
        <v>-39.605334383589188</v>
      </c>
      <c r="EJ70" s="32">
        <v>2.0905923344947754</v>
      </c>
      <c r="EK70" s="32">
        <v>-129.30027343579928</v>
      </c>
      <c r="EL70" s="32">
        <v>10.851864822210251</v>
      </c>
      <c r="EM70" s="32">
        <v>20.668351763846811</v>
      </c>
      <c r="EN70" s="32">
        <v>4.2905995234842651</v>
      </c>
      <c r="EO70" s="69"/>
      <c r="EP70" s="32">
        <v>1095.998691</v>
      </c>
      <c r="EQ70" s="32">
        <v>16.861518323076922</v>
      </c>
      <c r="ER70" s="32">
        <v>0.30199999999999999</v>
      </c>
      <c r="ES70" s="32">
        <v>517.84813138265304</v>
      </c>
      <c r="ET70" s="32">
        <v>7.9668943289638925</v>
      </c>
      <c r="EU70" s="32">
        <v>258.75391806377553</v>
      </c>
      <c r="EV70" s="32">
        <v>3.9808295086734695</v>
      </c>
      <c r="EW70" s="32">
        <v>388.30102472321425</v>
      </c>
      <c r="EX70" s="32">
        <v>5.973861918818681</v>
      </c>
      <c r="EY70" s="32">
        <v>0.39100000000000001</v>
      </c>
      <c r="EZ70" s="32">
        <v>5.7000000000000002E-2</v>
      </c>
      <c r="FA70" s="32">
        <v>34.492982821203405</v>
      </c>
      <c r="FB70" s="32">
        <v>65.284522150559553</v>
      </c>
      <c r="FC70" s="32">
        <v>56.170207042556953</v>
      </c>
      <c r="FD70" s="32">
        <v>75.511450849218562</v>
      </c>
      <c r="FE70" s="32">
        <v>0.48491994867136884</v>
      </c>
      <c r="FF70" s="32">
        <v>2.2601641652460875</v>
      </c>
      <c r="FG70" s="69"/>
      <c r="FH70" s="32">
        <v>503.42903699999999</v>
      </c>
      <c r="FI70" s="32">
        <v>7.7450621076923074</v>
      </c>
      <c r="FJ70" s="32">
        <v>2.1000000000000001E-2</v>
      </c>
      <c r="FK70" s="32">
        <v>1303.5125600000001</v>
      </c>
      <c r="FL70" s="32">
        <v>20.054039384615386</v>
      </c>
      <c r="FM70" s="32">
        <v>0.13300000000000001</v>
      </c>
      <c r="FN70" s="32">
        <v>824.18453898253279</v>
      </c>
      <c r="FO70" s="32">
        <v>12.679762138192812</v>
      </c>
      <c r="FP70" s="32">
        <v>278.5476507816594</v>
      </c>
      <c r="FQ70" s="32">
        <v>4.2853484735639906</v>
      </c>
      <c r="FR70" s="32">
        <v>551.36609488209615</v>
      </c>
      <c r="FS70" s="32">
        <v>8.4825553058784031</v>
      </c>
      <c r="FT70" s="32">
        <v>0.22800000000000001</v>
      </c>
      <c r="FU70" s="32">
        <v>5.7000000000000002E-2</v>
      </c>
      <c r="FV70" s="32">
        <v>27.040219671209389</v>
      </c>
      <c r="FW70" s="32">
        <v>72.9597803287906</v>
      </c>
      <c r="FX70" s="32">
        <v>50.833300986486393</v>
      </c>
      <c r="FY70" s="32">
        <v>99.904750540917703</v>
      </c>
      <c r="FZ70" s="32">
        <v>0.3452280231914101</v>
      </c>
      <c r="GA70" s="32">
        <v>3.7758017091134968</v>
      </c>
      <c r="GB70" s="69"/>
      <c r="GC70" s="32">
        <v>-45.65260062059761</v>
      </c>
      <c r="GD70" s="32">
        <v>-17.296344737997657</v>
      </c>
      <c r="GE70" s="32">
        <v>77.701149425287355</v>
      </c>
      <c r="GF70" s="32">
        <v>52.665589660743137</v>
      </c>
      <c r="GG70" s="32">
        <v>24.223550369942021</v>
      </c>
      <c r="GH70" s="69"/>
      <c r="GI70" s="32">
        <v>1025.7393630000001</v>
      </c>
      <c r="GJ70" s="32">
        <v>15.780605584615387</v>
      </c>
      <c r="GK70" s="32">
        <v>2.1000000000000001E-2</v>
      </c>
      <c r="GL70" s="32">
        <v>1760.847428</v>
      </c>
      <c r="GM70" s="32">
        <v>27.089960430769231</v>
      </c>
      <c r="GN70" s="32">
        <v>7.0999999999999994E-2</v>
      </c>
      <c r="GO70" s="32">
        <v>1090.8821605714288</v>
      </c>
      <c r="GP70" s="32">
        <v>16.782802470329674</v>
      </c>
      <c r="GQ70" s="32">
        <v>124.75945569047619</v>
      </c>
      <c r="GR70" s="32">
        <v>1.9193762413919413</v>
      </c>
      <c r="GS70" s="32">
        <v>607.82080813095251</v>
      </c>
      <c r="GT70" s="32">
        <v>9.3510893558608075</v>
      </c>
      <c r="GU70" s="32">
        <v>239.80529650420164</v>
      </c>
      <c r="GV70" s="32">
        <v>3.6893122539107943</v>
      </c>
      <c r="GW70" s="32">
        <v>1080.5069732521008</v>
      </c>
      <c r="GX70" s="32">
        <v>16.623184203878473</v>
      </c>
      <c r="GY70" s="32">
        <v>0.113</v>
      </c>
      <c r="GZ70" s="32">
        <v>-154.63758628571429</v>
      </c>
      <c r="HA70" s="8">
        <v>-2.3790397890109891</v>
      </c>
      <c r="HB70" s="32">
        <v>1116.0790440612243</v>
      </c>
      <c r="HC70" s="32">
        <v>-0.9623999211930927</v>
      </c>
      <c r="HD70" s="32">
        <v>5.3999999999999999E-2</v>
      </c>
      <c r="HE70" s="32">
        <v>53864.039185000001</v>
      </c>
      <c r="HF70" s="32">
        <v>128076.0081205</v>
      </c>
      <c r="HG70" s="32">
        <v>0.16700000000000001</v>
      </c>
      <c r="HH70" s="32">
        <v>0.107</v>
      </c>
      <c r="HI70" s="32">
        <v>67.664670658682638</v>
      </c>
      <c r="HJ70" s="32">
        <v>11.954484636799071</v>
      </c>
      <c r="HK70" s="32">
        <v>9.6447120791938641</v>
      </c>
      <c r="HL70" s="32">
        <v>18.538498962249779</v>
      </c>
      <c r="HM70" s="32">
        <v>84.332239931722654</v>
      </c>
      <c r="HN70" s="32">
        <v>11.954484636799071</v>
      </c>
      <c r="HO70" s="32">
        <v>36.007390435890393</v>
      </c>
      <c r="HP70" s="32">
        <v>18.538498962249779</v>
      </c>
      <c r="HQ70" s="32">
        <v>18.599018780636644</v>
      </c>
      <c r="HR70" s="32">
        <v>67.664670658682638</v>
      </c>
      <c r="HS70" s="32" t="s">
        <v>34</v>
      </c>
      <c r="HT70" s="32" t="s">
        <v>34</v>
      </c>
      <c r="HU70" s="32" t="s">
        <v>34</v>
      </c>
      <c r="HV70" s="32" t="s">
        <v>34</v>
      </c>
      <c r="HW70" s="17" t="s">
        <v>34</v>
      </c>
      <c r="HX70" s="69"/>
      <c r="HY70" s="32">
        <v>1515.011919</v>
      </c>
      <c r="HZ70" s="32">
        <v>23.307875676923079</v>
      </c>
      <c r="IA70" s="32">
        <v>1.4999999999999999E-2</v>
      </c>
      <c r="IB70" s="32">
        <v>1603.5573890000001</v>
      </c>
      <c r="IC70" s="32">
        <v>24.670113676923076</v>
      </c>
      <c r="ID70" s="32">
        <v>0.08</v>
      </c>
      <c r="IE70" s="32">
        <v>1016.2108827403318</v>
      </c>
      <c r="IF70" s="32">
        <v>15.63401358062049</v>
      </c>
      <c r="IG70" s="32">
        <v>73.463652309392273</v>
      </c>
      <c r="IH70" s="32">
        <v>1.1302100355291118</v>
      </c>
      <c r="II70" s="32">
        <v>544.837267524862</v>
      </c>
      <c r="IJ70" s="32">
        <v>8.3821118080748001</v>
      </c>
      <c r="IK70" s="32">
        <v>212.93424096396396</v>
      </c>
      <c r="IL70" s="32">
        <v>3.2759113994455995</v>
      </c>
      <c r="IM70" s="32">
        <v>963.00853145945939</v>
      </c>
      <c r="IN70" s="32">
        <v>14.815515868607067</v>
      </c>
      <c r="IO70" s="32">
        <v>0.104</v>
      </c>
      <c r="IP70" s="32">
        <v>-147.69685255714282</v>
      </c>
      <c r="IQ70" s="8">
        <v>-2.2722592701098896</v>
      </c>
      <c r="IR70" s="32">
        <v>1100.5746111999999</v>
      </c>
      <c r="IS70" s="32">
        <v>0.88243102593406597</v>
      </c>
      <c r="IT70" s="32">
        <v>0.17899999999999999</v>
      </c>
      <c r="IU70" s="32">
        <v>77032.495339000001</v>
      </c>
      <c r="IV70" s="32">
        <v>106894.1183125</v>
      </c>
      <c r="IW70" s="32">
        <v>0.18</v>
      </c>
      <c r="IX70" s="32">
        <v>0.107</v>
      </c>
      <c r="IY70" s="32">
        <v>57.777777777777771</v>
      </c>
      <c r="IZ70" s="32">
        <v>6.1020620593417609</v>
      </c>
      <c r="JA70" s="32">
        <v>12.268044562738281</v>
      </c>
      <c r="JB70" s="32">
        <v>17.686813983176023</v>
      </c>
      <c r="JC70" s="32">
        <v>84.408842698761177</v>
      </c>
      <c r="JD70" s="32">
        <v>6.1020620593417609</v>
      </c>
      <c r="JE70" s="32">
        <v>12.268044562738281</v>
      </c>
      <c r="JF70" s="32">
        <v>17.686813983176023</v>
      </c>
      <c r="JG70" s="32">
        <v>0.309504727140337</v>
      </c>
      <c r="JH70" s="32">
        <v>5.1810432875001222</v>
      </c>
      <c r="JI70" s="69"/>
      <c r="JJ70" s="32">
        <v>7.0876108739588091</v>
      </c>
      <c r="JK70" s="32">
        <v>4.5914277944227342</v>
      </c>
      <c r="JL70" s="32">
        <v>11.870425848163135</v>
      </c>
      <c r="JM70" s="32">
        <v>9.3502445487670922</v>
      </c>
      <c r="JN70" s="32">
        <v>-11.920529801324514</v>
      </c>
      <c r="JO70" s="32">
        <v>-38.514006425285338</v>
      </c>
      <c r="JP70" s="32">
        <v>-7.4927953890489825</v>
      </c>
      <c r="JQ70" s="32">
        <v>-88.223889226439979</v>
      </c>
      <c r="JR70" s="32">
        <v>44.995247771827792</v>
      </c>
      <c r="JS70" s="32">
        <v>-2.5889941001305381</v>
      </c>
      <c r="JT70" s="32">
        <v>4.7021538798399751</v>
      </c>
      <c r="JU70" s="69"/>
      <c r="JV70" s="32">
        <v>1547.4185299999999</v>
      </c>
      <c r="JW70" s="32">
        <v>23.806438923076922</v>
      </c>
      <c r="JX70" s="32">
        <v>0.182</v>
      </c>
      <c r="JY70" s="32">
        <v>750.51810567015718</v>
      </c>
      <c r="JZ70" s="32">
        <v>11.546432394925494</v>
      </c>
      <c r="KA70" s="32">
        <v>347.57743380104711</v>
      </c>
      <c r="KB70" s="32">
        <v>5.3473451354007251</v>
      </c>
      <c r="KC70" s="32">
        <v>549.04776973560217</v>
      </c>
      <c r="KD70" s="32">
        <v>8.446888765163111</v>
      </c>
      <c r="KE70" s="32">
        <v>0.57199999999999995</v>
      </c>
      <c r="KF70" s="32">
        <v>0.06</v>
      </c>
      <c r="KG70" s="32">
        <v>31.082681895131035</v>
      </c>
      <c r="KH70" s="32">
        <v>68.91731810486894</v>
      </c>
      <c r="KI70" s="32">
        <v>94.012040667718807</v>
      </c>
      <c r="KJ70" s="32">
        <v>79.04952420929645</v>
      </c>
      <c r="KK70" s="32">
        <v>1.9250761275799615</v>
      </c>
      <c r="KL70" s="32">
        <v>0.80382199323477155</v>
      </c>
      <c r="KM70" s="69"/>
      <c r="KN70" s="32" t="s">
        <v>34</v>
      </c>
      <c r="KO70" s="32" t="s">
        <v>34</v>
      </c>
      <c r="KP70" s="32" t="s">
        <v>34</v>
      </c>
      <c r="KQ70" s="32" t="s">
        <v>34</v>
      </c>
      <c r="KR70" s="32" t="s">
        <v>34</v>
      </c>
      <c r="KS70" s="32" t="s">
        <v>34</v>
      </c>
      <c r="KT70" s="32" t="s">
        <v>34</v>
      </c>
      <c r="KU70" s="32" t="s">
        <v>34</v>
      </c>
      <c r="KV70" s="32" t="s">
        <v>34</v>
      </c>
      <c r="KW70" s="32" t="s">
        <v>34</v>
      </c>
      <c r="KX70" s="32" t="s">
        <v>34</v>
      </c>
      <c r="KY70" s="32" t="s">
        <v>34</v>
      </c>
      <c r="KZ70" s="32" t="s">
        <v>34</v>
      </c>
      <c r="LA70" s="32" t="s">
        <v>34</v>
      </c>
      <c r="LB70" s="32" t="s">
        <v>34</v>
      </c>
      <c r="LC70" s="32" t="s">
        <v>34</v>
      </c>
      <c r="LD70" s="32" t="s">
        <v>34</v>
      </c>
      <c r="LE70" s="32" t="s">
        <v>34</v>
      </c>
      <c r="LF70" s="32" t="s">
        <v>34</v>
      </c>
      <c r="LG70" s="32" t="s">
        <v>34</v>
      </c>
      <c r="LH70" s="69"/>
      <c r="LI70" s="32" t="s">
        <v>34</v>
      </c>
      <c r="LJ70" s="32" t="s">
        <v>34</v>
      </c>
      <c r="LK70" s="32" t="s">
        <v>34</v>
      </c>
      <c r="LL70" s="32" t="s">
        <v>34</v>
      </c>
      <c r="LM70" s="32" t="s">
        <v>34</v>
      </c>
      <c r="LN70" s="69"/>
      <c r="LO70" s="32">
        <v>697.65206000000001</v>
      </c>
      <c r="LP70" s="32">
        <v>10.733108615384616</v>
      </c>
      <c r="LQ70" s="32">
        <v>8.0000000000000002E-3</v>
      </c>
      <c r="LR70" s="32">
        <v>1923.9623650000003</v>
      </c>
      <c r="LS70" s="32">
        <v>29.599421000000007</v>
      </c>
      <c r="LT70" s="32">
        <v>4.1000000000000002E-2</v>
      </c>
      <c r="LU70" s="32">
        <v>1179.6651580000002</v>
      </c>
      <c r="LV70" s="32">
        <v>18.148694738461543</v>
      </c>
      <c r="LW70" s="32">
        <v>111.06087124848484</v>
      </c>
      <c r="LX70" s="32">
        <v>1.7086287884382283</v>
      </c>
      <c r="LY70" s="32">
        <v>645.36301462424251</v>
      </c>
      <c r="LZ70" s="32">
        <v>9.9286617634498846</v>
      </c>
      <c r="MA70" s="32">
        <v>239.55366933962256</v>
      </c>
      <c r="MB70" s="32">
        <v>3.6854410667634241</v>
      </c>
      <c r="MC70" s="32">
        <v>1075.4115095</v>
      </c>
      <c r="MD70" s="32">
        <v>16.544792453846153</v>
      </c>
      <c r="ME70" s="32">
        <v>0.106</v>
      </c>
      <c r="MF70" s="32">
        <v>-119.79059650847456</v>
      </c>
      <c r="MG70" s="8">
        <v>-1.8429322539765318</v>
      </c>
      <c r="MH70" s="32">
        <v>1366.968323101695</v>
      </c>
      <c r="MI70" s="32">
        <v>-0.55638813298565837</v>
      </c>
      <c r="MJ70" s="32">
        <v>5.8000000000000003E-2</v>
      </c>
      <c r="MK70" s="32">
        <v>79724.243482999998</v>
      </c>
      <c r="ML70" s="32">
        <v>113069.27516550002</v>
      </c>
      <c r="MM70" s="32">
        <v>0.16400000000000001</v>
      </c>
      <c r="MN70" s="32">
        <v>0.13200000000000001</v>
      </c>
      <c r="MO70" s="32">
        <v>64.634146341463406</v>
      </c>
      <c r="MP70" s="32">
        <v>8.8218706483127818</v>
      </c>
      <c r="MQ70" s="32">
        <v>8.1789778897523089</v>
      </c>
      <c r="MR70" s="32">
        <v>17.641714340184759</v>
      </c>
      <c r="MS70" s="32">
        <v>86.875378665146158</v>
      </c>
      <c r="MT70" s="32">
        <v>8.8218706483127818</v>
      </c>
      <c r="MU70" s="32">
        <v>31.576341801267958</v>
      </c>
      <c r="MV70" s="32">
        <v>17.641714340184759</v>
      </c>
      <c r="MW70" s="32">
        <v>21.082381311807257</v>
      </c>
      <c r="MX70" s="32" t="s">
        <v>34</v>
      </c>
      <c r="MY70" s="32" t="s">
        <v>34</v>
      </c>
      <c r="MZ70" s="32" t="s">
        <v>34</v>
      </c>
      <c r="NA70" s="32" t="s">
        <v>34</v>
      </c>
      <c r="NB70" s="17" t="s">
        <v>34</v>
      </c>
      <c r="NC70" s="69"/>
      <c r="ND70" s="32">
        <v>1734.3559769999999</v>
      </c>
      <c r="NE70" s="32">
        <v>26.682399646153844</v>
      </c>
      <c r="NF70" s="32">
        <v>3.4000000000000002E-2</v>
      </c>
      <c r="NG70" s="32">
        <v>1794.9491539999999</v>
      </c>
      <c r="NH70" s="32">
        <v>27.614602369230766</v>
      </c>
      <c r="NI70" s="32">
        <v>7.4999999999999997E-2</v>
      </c>
      <c r="NJ70" s="32">
        <v>1168.4558213475611</v>
      </c>
      <c r="NK70" s="32">
        <v>17.976243405347095</v>
      </c>
      <c r="NL70" s="32">
        <v>79.152699646341446</v>
      </c>
      <c r="NM70" s="32">
        <v>1.2177338407129454</v>
      </c>
      <c r="NN70" s="32">
        <v>623.80426049695131</v>
      </c>
      <c r="NO70" s="32">
        <v>9.5969886230300201</v>
      </c>
      <c r="NP70" s="32">
        <v>213.62891265686275</v>
      </c>
      <c r="NQ70" s="32">
        <v>3.2865986562594269</v>
      </c>
      <c r="NR70" s="32">
        <v>1034.2717756078432</v>
      </c>
      <c r="NS70" s="32">
        <v>15.911873470889896</v>
      </c>
      <c r="NT70" s="32">
        <v>0.1</v>
      </c>
      <c r="NU70" s="32">
        <v>-142.08236046774192</v>
      </c>
      <c r="NV70" s="8">
        <v>-2.1858824687344911</v>
      </c>
      <c r="NW70" s="32">
        <v>1389.2102191774193</v>
      </c>
      <c r="NX70" s="32">
        <v>-0.42325519925558314</v>
      </c>
      <c r="NY70" s="32">
        <v>6.3E-2</v>
      </c>
      <c r="NZ70" s="32">
        <v>85257.03888349999</v>
      </c>
      <c r="OA70" s="32">
        <v>104792.126921</v>
      </c>
      <c r="OB70" s="32">
        <v>0.16300000000000001</v>
      </c>
      <c r="OC70" s="32">
        <v>0.13200000000000001</v>
      </c>
      <c r="OD70" s="32">
        <v>61.349693251533743</v>
      </c>
      <c r="OE70" s="32">
        <v>5.8413696640477246</v>
      </c>
      <c r="OF70" s="32">
        <v>10.485499470527827</v>
      </c>
      <c r="OG70" s="32">
        <v>15.76554502035836</v>
      </c>
      <c r="OH70" s="32">
        <v>86.230569760675124</v>
      </c>
      <c r="OI70" s="32">
        <v>5.8413696640477246</v>
      </c>
      <c r="OJ70" s="32">
        <v>10.485499470527827</v>
      </c>
      <c r="OK70" s="32">
        <v>15.76554502035836</v>
      </c>
      <c r="OL70" s="32">
        <v>0.28356646763757348</v>
      </c>
      <c r="OM70" s="32">
        <v>6.3299062436893125</v>
      </c>
      <c r="ON70" s="69"/>
      <c r="OO70" s="32">
        <v>0.95474949979397428</v>
      </c>
      <c r="OP70" s="32">
        <v>-17.024869017912312</v>
      </c>
      <c r="OQ70" s="32">
        <v>11.441197306634733</v>
      </c>
      <c r="OR70" s="32">
        <v>6.9382242809956143</v>
      </c>
      <c r="OS70" s="32">
        <v>-58.620689655172406</v>
      </c>
      <c r="OT70" s="32">
        <v>-85.254974591187988</v>
      </c>
      <c r="OU70" s="32">
        <v>0.61162079510703415</v>
      </c>
      <c r="OV70" s="32">
        <v>-104.74751748966813</v>
      </c>
      <c r="OW70" s="32">
        <v>33.345938347598327</v>
      </c>
      <c r="OX70" s="32">
        <v>-17.233096086883791</v>
      </c>
      <c r="OY70" s="32">
        <v>11.232105570697119</v>
      </c>
    </row>
    <row r="71" spans="1:415" ht="15.75" x14ac:dyDescent="0.25">
      <c r="A71" s="10">
        <v>70</v>
      </c>
      <c r="B71" s="3" t="s">
        <v>392</v>
      </c>
      <c r="C71" s="3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9"/>
      <c r="K71" s="32">
        <v>960.43930299999977</v>
      </c>
      <c r="L71" s="32">
        <v>15.006864109374996</v>
      </c>
      <c r="M71" s="32">
        <v>0.39300000000000002</v>
      </c>
      <c r="N71" s="32">
        <v>454.71499876907222</v>
      </c>
      <c r="O71" s="32">
        <v>7.1049218557667535</v>
      </c>
      <c r="P71" s="32">
        <v>247.92687796288658</v>
      </c>
      <c r="Q71" s="32">
        <v>3.8738574681701028</v>
      </c>
      <c r="R71" s="32">
        <v>351.32093836597937</v>
      </c>
      <c r="S71" s="32">
        <v>5.4893896619684277</v>
      </c>
      <c r="T71" s="32">
        <v>0.48399999999999999</v>
      </c>
      <c r="U71" s="32">
        <v>6.6000000000000003E-2</v>
      </c>
      <c r="V71" s="32">
        <v>34.006736234339421</v>
      </c>
      <c r="W71" s="32">
        <v>65.993263765660572</v>
      </c>
      <c r="X71" s="32">
        <v>88.659770829855674</v>
      </c>
      <c r="Y71" s="32">
        <v>90.810181050318079</v>
      </c>
      <c r="Z71" s="32">
        <v>0.60961679786060397</v>
      </c>
      <c r="AA71" s="32">
        <v>1.5754803777890902</v>
      </c>
      <c r="AB71" s="69"/>
      <c r="AC71" s="32">
        <v>433.02543399999996</v>
      </c>
      <c r="AD71" s="32">
        <v>6.7660224062499994</v>
      </c>
      <c r="AE71" s="32">
        <v>1.6E-2</v>
      </c>
      <c r="AF71" s="32">
        <v>1269.6633280000001</v>
      </c>
      <c r="AG71" s="32">
        <v>19.838489500000001</v>
      </c>
      <c r="AH71" s="32">
        <v>0.111</v>
      </c>
      <c r="AI71" s="32">
        <v>820.56000688744587</v>
      </c>
      <c r="AJ71" s="32">
        <v>12.821250107616342</v>
      </c>
      <c r="AK71" s="32">
        <v>265.56659044155845</v>
      </c>
      <c r="AL71" s="32">
        <v>4.1494779756493507</v>
      </c>
      <c r="AM71" s="32">
        <v>543.0632986645021</v>
      </c>
      <c r="AN71" s="32">
        <v>8.4853640416328453</v>
      </c>
      <c r="AO71" s="32">
        <v>0.23</v>
      </c>
      <c r="AP71" s="32">
        <v>6.6000000000000003E-2</v>
      </c>
      <c r="AQ71" s="32">
        <v>26.253527022480689</v>
      </c>
      <c r="AR71" s="32">
        <v>73.746472977519289</v>
      </c>
      <c r="AS71" s="32">
        <v>80.423305105755858</v>
      </c>
      <c r="AT71" s="32">
        <v>98.994260588925826</v>
      </c>
      <c r="AU71" s="32">
        <v>0.35681238773586477</v>
      </c>
      <c r="AV71" s="32">
        <v>3.5583499105975149</v>
      </c>
      <c r="AW71" s="69"/>
      <c r="AX71" s="32">
        <v>-57.375076982714766</v>
      </c>
      <c r="AY71" s="32">
        <v>-27.731820114605334</v>
      </c>
      <c r="AZ71" s="32">
        <v>111.90476190476191</v>
      </c>
      <c r="BA71" s="32">
        <v>71.148459383753504</v>
      </c>
      <c r="BB71" s="32">
        <v>25.732410689331804</v>
      </c>
      <c r="BC71" s="69"/>
      <c r="BD71" s="32">
        <v>350.97206200000005</v>
      </c>
      <c r="BE71" s="32">
        <v>5.4839384687500008</v>
      </c>
      <c r="BF71" s="32">
        <v>1.2999999999999999E-2</v>
      </c>
      <c r="BG71" s="32">
        <v>734.11625499999991</v>
      </c>
      <c r="BH71" s="32">
        <v>11.470566484374999</v>
      </c>
      <c r="BI71" s="32">
        <v>0.06</v>
      </c>
      <c r="BJ71" s="32">
        <v>469.99034495774657</v>
      </c>
      <c r="BK71" s="32">
        <v>7.3435991399647902</v>
      </c>
      <c r="BL71" s="32">
        <v>-85.216007492957743</v>
      </c>
      <c r="BM71" s="32">
        <v>-1.3315001170774647</v>
      </c>
      <c r="BN71" s="32">
        <v>192.3871687323944</v>
      </c>
      <c r="BO71" s="32">
        <v>3.0060495114436625</v>
      </c>
      <c r="BP71" s="32">
        <v>75.25888978723404</v>
      </c>
      <c r="BQ71" s="32">
        <v>1.1759201529255319</v>
      </c>
      <c r="BR71" s="32">
        <v>305.15530353191491</v>
      </c>
      <c r="BS71" s="32">
        <v>4.7680516176861705</v>
      </c>
      <c r="BT71" s="32">
        <v>4.7E-2</v>
      </c>
      <c r="BU71" s="32">
        <v>-164.60885141052628</v>
      </c>
      <c r="BV71" s="8">
        <v>-2.5720133032894732</v>
      </c>
      <c r="BW71" s="32">
        <v>551.54031282105268</v>
      </c>
      <c r="BX71" s="32" t="s">
        <v>34</v>
      </c>
      <c r="BY71" s="32">
        <v>9.4E-2</v>
      </c>
      <c r="BZ71" s="32">
        <v>52096.257815500008</v>
      </c>
      <c r="CA71" s="32">
        <v>14050.477776000002</v>
      </c>
      <c r="CB71" s="32">
        <v>0.14099999999999999</v>
      </c>
      <c r="CC71" s="32">
        <v>0.13100000000000001</v>
      </c>
      <c r="CD71" s="32">
        <v>33.333333333333336</v>
      </c>
      <c r="CE71" s="32">
        <v>25.415498526671904</v>
      </c>
      <c r="CF71" s="32">
        <v>13.1572955787457</v>
      </c>
      <c r="CG71" s="32">
        <v>11.619923145785922</v>
      </c>
      <c r="CH71" s="32">
        <v>72.566200526077992</v>
      </c>
      <c r="CI71" s="32">
        <v>25.415498526671904</v>
      </c>
      <c r="CJ71" s="32">
        <v>20.326067965244164</v>
      </c>
      <c r="CK71" s="32">
        <v>11.619923145785922</v>
      </c>
      <c r="CL71" s="32">
        <v>22.054711075805361</v>
      </c>
      <c r="CM71" s="32" t="s">
        <v>34</v>
      </c>
      <c r="CN71" s="32" t="s">
        <v>34</v>
      </c>
      <c r="CO71" s="32" t="s">
        <v>34</v>
      </c>
      <c r="CP71" s="32" t="s">
        <v>34</v>
      </c>
      <c r="CQ71" s="17" t="s">
        <v>34</v>
      </c>
      <c r="CR71" s="69"/>
      <c r="CS71" s="32">
        <v>1008.2106</v>
      </c>
      <c r="CT71" s="32">
        <v>15.753290625</v>
      </c>
      <c r="CU71" s="32">
        <v>1.0999999999999999E-2</v>
      </c>
      <c r="CV71" s="32">
        <v>2226.5860790000002</v>
      </c>
      <c r="CW71" s="32">
        <v>34.790407484375002</v>
      </c>
      <c r="CX71" s="32">
        <v>3.5000000000000003E-2</v>
      </c>
      <c r="CY71" s="32">
        <v>1273.672341</v>
      </c>
      <c r="CZ71" s="32">
        <v>19.901130328124999</v>
      </c>
      <c r="DA71" s="32">
        <v>111.24579193846155</v>
      </c>
      <c r="DB71" s="32">
        <v>1.7382154990384617</v>
      </c>
      <c r="DC71" s="32">
        <v>692.45906646923072</v>
      </c>
      <c r="DD71" s="32">
        <v>10.81967291358173</v>
      </c>
      <c r="DE71" s="32">
        <v>263.9608901647058</v>
      </c>
      <c r="DF71" s="32">
        <v>4.1243889088235282</v>
      </c>
      <c r="DG71" s="32">
        <v>1168.7014808470587</v>
      </c>
      <c r="DH71" s="32">
        <v>18.260960638235293</v>
      </c>
      <c r="DI71" s="32">
        <v>8.4000000000000005E-2</v>
      </c>
      <c r="DJ71" s="32">
        <v>-177.21606026666669</v>
      </c>
      <c r="DK71" s="8">
        <v>-2.769000941666667</v>
      </c>
      <c r="DL71" s="32">
        <v>1471.9506323999997</v>
      </c>
      <c r="DM71" s="32">
        <v>3.4514511805555502E-2</v>
      </c>
      <c r="DN71" s="32">
        <v>4.3999999999999997E-2</v>
      </c>
      <c r="DO71" s="32">
        <v>65192.923342500006</v>
      </c>
      <c r="DP71" s="32">
        <v>99344.50399100002</v>
      </c>
      <c r="DQ71" s="32">
        <v>0.129</v>
      </c>
      <c r="DR71" s="32">
        <v>0.13100000000000001</v>
      </c>
      <c r="DS71" s="32">
        <v>65.116279069767444</v>
      </c>
      <c r="DT71" s="32">
        <v>7.3789689779850178</v>
      </c>
      <c r="DU71" s="32">
        <v>11.754797986712422</v>
      </c>
      <c r="DV71" s="32">
        <v>17.508610312236598</v>
      </c>
      <c r="DW71" s="32">
        <v>84.483093954290993</v>
      </c>
      <c r="DX71" s="32">
        <v>7.3789689779850178</v>
      </c>
      <c r="DY71" s="32">
        <v>11.754797986712422</v>
      </c>
      <c r="DZ71" s="32">
        <v>17.508610312236598</v>
      </c>
      <c r="EA71" s="32">
        <v>0.19432149810930596</v>
      </c>
      <c r="EB71" s="32">
        <v>11.45825912554227</v>
      </c>
      <c r="EC71" s="69"/>
      <c r="ED71" s="32">
        <v>-92.183196040673735</v>
      </c>
      <c r="EE71" s="32">
        <v>-7.3764131433733491</v>
      </c>
      <c r="EF71" s="32">
        <v>-111.25648416151132</v>
      </c>
      <c r="EG71" s="32">
        <v>-100.81863393430892</v>
      </c>
      <c r="EH71" s="32">
        <v>52.631578947368411</v>
      </c>
      <c r="EI71" s="32">
        <v>-96.710847831577169</v>
      </c>
      <c r="EJ71" s="32">
        <v>8.8888888888888751</v>
      </c>
      <c r="EK71" s="32">
        <v>-171.85848203202386</v>
      </c>
      <c r="EL71" s="32">
        <v>710.80317800060561</v>
      </c>
      <c r="EM71" s="32">
        <v>73.503317548411374</v>
      </c>
      <c r="EN71" s="32">
        <v>-40.432431484660455</v>
      </c>
      <c r="EO71" s="69"/>
      <c r="EP71" s="32">
        <v>1066.5315809999995</v>
      </c>
      <c r="EQ71" s="32">
        <v>16.664555953124992</v>
      </c>
      <c r="ER71" s="32">
        <v>0.26200000000000001</v>
      </c>
      <c r="ES71" s="32">
        <v>582.86994536974794</v>
      </c>
      <c r="ET71" s="32">
        <v>9.1073428964023115</v>
      </c>
      <c r="EU71" s="32">
        <v>245.55153289355738</v>
      </c>
      <c r="EV71" s="32">
        <v>3.836742701461834</v>
      </c>
      <c r="EW71" s="32">
        <v>414.21073913165264</v>
      </c>
      <c r="EX71" s="32">
        <v>6.4720427989320726</v>
      </c>
      <c r="EY71" s="32">
        <v>0.35599999999999998</v>
      </c>
      <c r="EZ71" s="32">
        <v>0.05</v>
      </c>
      <c r="FA71" s="32">
        <v>28.440283950266966</v>
      </c>
      <c r="FB71" s="32">
        <v>49.739487835240297</v>
      </c>
      <c r="FC71" s="32">
        <v>52.500040433539972</v>
      </c>
      <c r="FD71" s="32">
        <v>99.043046967322766</v>
      </c>
      <c r="FE71" s="32">
        <v>0.49684976839280559</v>
      </c>
      <c r="FF71" s="32">
        <v>2.1465876585793389</v>
      </c>
      <c r="FG71" s="69"/>
      <c r="FH71" s="32" t="s">
        <v>34</v>
      </c>
      <c r="FI71" s="32" t="s">
        <v>34</v>
      </c>
      <c r="FJ71" s="32" t="s">
        <v>34</v>
      </c>
      <c r="FK71" s="32" t="s">
        <v>34</v>
      </c>
      <c r="FL71" s="32" t="s">
        <v>34</v>
      </c>
      <c r="FM71" s="32" t="s">
        <v>34</v>
      </c>
      <c r="FN71" s="32" t="s">
        <v>34</v>
      </c>
      <c r="FO71" s="32" t="s">
        <v>34</v>
      </c>
      <c r="FP71" s="32" t="s">
        <v>34</v>
      </c>
      <c r="FQ71" s="32" t="s">
        <v>34</v>
      </c>
      <c r="FR71" s="32" t="s">
        <v>34</v>
      </c>
      <c r="FS71" s="32" t="s">
        <v>34</v>
      </c>
      <c r="FT71" s="32" t="s">
        <v>34</v>
      </c>
      <c r="FU71" s="32" t="s">
        <v>34</v>
      </c>
      <c r="FV71" s="32" t="s">
        <v>34</v>
      </c>
      <c r="FW71" s="32" t="s">
        <v>34</v>
      </c>
      <c r="FX71" s="32" t="s">
        <v>34</v>
      </c>
      <c r="FY71" s="32" t="s">
        <v>34</v>
      </c>
      <c r="FZ71" s="32" t="s">
        <v>34</v>
      </c>
      <c r="GA71" s="32" t="s">
        <v>34</v>
      </c>
      <c r="GB71" s="69"/>
      <c r="GC71" s="32" t="s">
        <v>34</v>
      </c>
      <c r="GD71" s="32" t="s">
        <v>34</v>
      </c>
      <c r="GE71" s="32" t="s">
        <v>34</v>
      </c>
      <c r="GF71" s="32" t="s">
        <v>34</v>
      </c>
      <c r="GG71" s="32" t="s">
        <v>34</v>
      </c>
      <c r="GH71" s="69"/>
      <c r="GI71" s="32">
        <v>833.95085600000004</v>
      </c>
      <c r="GJ71" s="32">
        <v>13.030482125000001</v>
      </c>
      <c r="GK71" s="32">
        <v>1.2999999999999999E-2</v>
      </c>
      <c r="GL71" s="32">
        <v>2029.1529979999998</v>
      </c>
      <c r="GM71" s="32">
        <v>31.705515593749997</v>
      </c>
      <c r="GN71" s="32">
        <v>5.8999999999999997E-2</v>
      </c>
      <c r="GO71" s="32">
        <v>1203.9481078255035</v>
      </c>
      <c r="GP71" s="32">
        <v>18.811689184773492</v>
      </c>
      <c r="GQ71" s="32">
        <v>89.744209879194614</v>
      </c>
      <c r="GR71" s="32">
        <v>1.4022532793624158</v>
      </c>
      <c r="GS71" s="32">
        <v>646.84615885234905</v>
      </c>
      <c r="GT71" s="32">
        <v>10.106971232067954</v>
      </c>
      <c r="GU71" s="32">
        <v>271.13391816091956</v>
      </c>
      <c r="GV71" s="32">
        <v>4.2364674712643682</v>
      </c>
      <c r="GW71" s="32">
        <v>1122.9516169080462</v>
      </c>
      <c r="GX71" s="32">
        <v>17.546119014188221</v>
      </c>
      <c r="GY71" s="32">
        <v>8.6999999999999994E-2</v>
      </c>
      <c r="GZ71" s="32">
        <v>-164.78650980645159</v>
      </c>
      <c r="HA71" s="8">
        <v>-2.5747892157258061</v>
      </c>
      <c r="HB71" s="32">
        <v>1317.6044741129031</v>
      </c>
      <c r="HC71" s="32">
        <v>0.42856873739919366</v>
      </c>
      <c r="HD71" s="32">
        <v>6.0999999999999999E-2</v>
      </c>
      <c r="HE71" s="32">
        <v>80680.354383999991</v>
      </c>
      <c r="HF71" s="32">
        <v>96693.070478500013</v>
      </c>
      <c r="HG71" s="32">
        <v>0.14799999999999999</v>
      </c>
      <c r="HH71" s="32">
        <v>4.9000000000000002E-2</v>
      </c>
      <c r="HI71" s="32">
        <v>58.783783783783782</v>
      </c>
      <c r="HJ71" s="32">
        <v>11.235735696463783</v>
      </c>
      <c r="HK71" s="32">
        <v>6.1190823428140044</v>
      </c>
      <c r="HL71" s="32">
        <v>18.486883704138407</v>
      </c>
      <c r="HM71" s="32">
        <v>82.089503246796895</v>
      </c>
      <c r="HN71" s="32">
        <v>11.235735696463783</v>
      </c>
      <c r="HO71" s="32">
        <v>33.127964151441276</v>
      </c>
      <c r="HP71" s="32">
        <v>18.486883704138407</v>
      </c>
      <c r="HQ71" s="32">
        <v>21.743045172290476</v>
      </c>
      <c r="HR71" s="32">
        <v>58.783783783783782</v>
      </c>
      <c r="HS71" s="32" t="s">
        <v>34</v>
      </c>
      <c r="HT71" s="32" t="s">
        <v>34</v>
      </c>
      <c r="HU71" s="32" t="s">
        <v>34</v>
      </c>
      <c r="HV71" s="32" t="s">
        <v>34</v>
      </c>
      <c r="HW71" s="17" t="s">
        <v>34</v>
      </c>
      <c r="HX71" s="69"/>
      <c r="HY71" s="32">
        <v>1075.332046</v>
      </c>
      <c r="HZ71" s="32">
        <v>16.80206321875</v>
      </c>
      <c r="IA71" s="32">
        <v>1.7000000000000001E-2</v>
      </c>
      <c r="IB71" s="32">
        <v>1884.6848789999999</v>
      </c>
      <c r="IC71" s="32">
        <v>29.448201234374999</v>
      </c>
      <c r="ID71" s="32">
        <v>5.6000000000000001E-2</v>
      </c>
      <c r="IE71" s="32">
        <v>925.71232356185567</v>
      </c>
      <c r="IF71" s="32">
        <v>14.464255055653995</v>
      </c>
      <c r="IG71" s="32">
        <v>47.366932902061833</v>
      </c>
      <c r="IH71" s="32">
        <v>0.74010832659471615</v>
      </c>
      <c r="II71" s="32">
        <v>486.53962823195877</v>
      </c>
      <c r="IJ71" s="32">
        <v>7.6021816911243558</v>
      </c>
      <c r="IK71" s="32">
        <v>192.95543712598422</v>
      </c>
      <c r="IL71" s="32">
        <v>3.0149287050935034</v>
      </c>
      <c r="IM71" s="32">
        <v>672.61078595275603</v>
      </c>
      <c r="IN71" s="32">
        <v>10.509543530511813</v>
      </c>
      <c r="IO71" s="32">
        <v>0.126</v>
      </c>
      <c r="IP71" s="32">
        <v>-228.59933629850747</v>
      </c>
      <c r="IQ71" s="8">
        <v>-3.5718646296641792</v>
      </c>
      <c r="IR71" s="32">
        <v>1405.4719545522387</v>
      </c>
      <c r="IS71" s="32">
        <v>-1.8357710335820894</v>
      </c>
      <c r="IT71" s="32">
        <v>6.6000000000000003E-2</v>
      </c>
      <c r="IU71" s="32">
        <v>93219.761016999997</v>
      </c>
      <c r="IV71" s="32">
        <v>85422.273132000002</v>
      </c>
      <c r="IW71" s="32">
        <v>0.193</v>
      </c>
      <c r="IX71" s="32">
        <v>4.9000000000000002E-2</v>
      </c>
      <c r="IY71" s="32">
        <v>65.284974093264253</v>
      </c>
      <c r="IZ71" s="32">
        <v>4.1881400571992113</v>
      </c>
      <c r="JA71" s="32">
        <v>20.212540241533304</v>
      </c>
      <c r="JB71" s="32">
        <v>17.060939899837624</v>
      </c>
      <c r="JC71" s="32">
        <v>81.85062080689633</v>
      </c>
      <c r="JD71" s="32">
        <v>4.1881400571992113</v>
      </c>
      <c r="JE71" s="32">
        <v>20.212540241533304</v>
      </c>
      <c r="JF71" s="32">
        <v>17.060939899837624</v>
      </c>
      <c r="JG71" s="32">
        <v>0.34999218724724346</v>
      </c>
      <c r="JH71" s="32">
        <v>5.384934143311634</v>
      </c>
      <c r="JI71" s="69"/>
      <c r="JJ71" s="32">
        <v>26.129591381137899</v>
      </c>
      <c r="JK71" s="32">
        <v>-32.44286855965327</v>
      </c>
      <c r="JL71" s="32">
        <v>33.691133030450473</v>
      </c>
      <c r="JM71" s="32">
        <v>7.3824273534158911</v>
      </c>
      <c r="JN71" s="32">
        <v>5.2173913043478191</v>
      </c>
      <c r="JO71" s="32">
        <v>-25.285010382395384</v>
      </c>
      <c r="JP71" s="32">
        <v>-26.392961876832853</v>
      </c>
      <c r="JQ71" s="32">
        <v>-81.601366980812116</v>
      </c>
      <c r="JR71" s="32">
        <v>37.467752429836324</v>
      </c>
      <c r="JS71" s="32">
        <v>-57.08932701282604</v>
      </c>
      <c r="JT71" s="32">
        <v>8.0226785199940664</v>
      </c>
      <c r="JU71" s="69"/>
      <c r="JV71" s="32">
        <v>1216.1933660000004</v>
      </c>
      <c r="JW71" s="32">
        <v>19.003021343750007</v>
      </c>
      <c r="JX71" s="32">
        <v>0.28299999999999997</v>
      </c>
      <c r="JY71" s="32">
        <v>584.60855988717947</v>
      </c>
      <c r="JZ71" s="32">
        <v>9.1345087482371792</v>
      </c>
      <c r="KA71" s="32">
        <v>247.8637170589744</v>
      </c>
      <c r="KB71" s="32">
        <v>3.872870579046475</v>
      </c>
      <c r="KC71" s="32">
        <v>416.23613847307695</v>
      </c>
      <c r="KD71" s="32">
        <v>6.5036896636418273</v>
      </c>
      <c r="KE71" s="32">
        <v>0.38900000000000001</v>
      </c>
      <c r="KF71" s="32">
        <v>0.1</v>
      </c>
      <c r="KG71" s="32">
        <v>29.947898028147076</v>
      </c>
      <c r="KH71" s="32">
        <v>69.981481287107215</v>
      </c>
      <c r="KI71" s="32">
        <v>97.22225431233332</v>
      </c>
      <c r="KJ71" s="32">
        <v>99.46799202710811</v>
      </c>
      <c r="KK71" s="32">
        <v>0.5648900105506548</v>
      </c>
      <c r="KL71" s="32">
        <v>2.1529737529159969</v>
      </c>
      <c r="KM71" s="69"/>
      <c r="KN71" s="32">
        <v>1555.7139670000004</v>
      </c>
      <c r="KO71" s="32">
        <v>24.308030734375006</v>
      </c>
      <c r="KP71" s="32">
        <v>0.108</v>
      </c>
      <c r="KQ71" s="32">
        <v>1555.7139670000004</v>
      </c>
      <c r="KR71" s="32">
        <v>24.308030734375006</v>
      </c>
      <c r="KS71" s="32">
        <v>0.108</v>
      </c>
      <c r="KT71" s="32">
        <v>921.70188464351861</v>
      </c>
      <c r="KU71" s="32">
        <v>14.401591947554978</v>
      </c>
      <c r="KV71" s="32">
        <v>227.50250750925923</v>
      </c>
      <c r="KW71" s="32">
        <v>3.5547266798321755</v>
      </c>
      <c r="KX71" s="32">
        <v>574.60219607638896</v>
      </c>
      <c r="KY71" s="32">
        <v>8.9781593136935776</v>
      </c>
      <c r="KZ71" s="32">
        <v>0.215</v>
      </c>
      <c r="LA71" s="32">
        <v>0.1</v>
      </c>
      <c r="LB71" s="32">
        <v>22.445416873477672</v>
      </c>
      <c r="LC71" s="32">
        <v>77.554583126522331</v>
      </c>
      <c r="LD71" s="32">
        <v>79.444454028689478</v>
      </c>
      <c r="LE71" s="32">
        <v>97.91944717075549</v>
      </c>
      <c r="LF71" s="32">
        <v>0.35332659882969658</v>
      </c>
      <c r="LG71" s="32">
        <v>4.4030479792715935</v>
      </c>
      <c r="LH71" s="69"/>
      <c r="LI71" s="32">
        <v>-44.7574835559695</v>
      </c>
      <c r="LJ71" s="32">
        <v>-24.497254793329688</v>
      </c>
      <c r="LK71" s="32">
        <v>89.514066496163693</v>
      </c>
      <c r="LL71" s="32">
        <v>57.615894039735103</v>
      </c>
      <c r="LM71" s="32">
        <v>28.639077976861309</v>
      </c>
      <c r="LN71" s="69"/>
      <c r="LO71" s="32">
        <v>911.117073</v>
      </c>
      <c r="LP71" s="32">
        <v>14.236204265625</v>
      </c>
      <c r="LQ71" s="32">
        <v>0.01</v>
      </c>
      <c r="LR71" s="32">
        <v>2272.4096589999999</v>
      </c>
      <c r="LS71" s="32">
        <v>35.506400921874999</v>
      </c>
      <c r="LT71" s="32">
        <v>3.4000000000000002E-2</v>
      </c>
      <c r="LU71" s="32">
        <v>1293.7122755563378</v>
      </c>
      <c r="LV71" s="32">
        <v>20.214254305567778</v>
      </c>
      <c r="LW71" s="32">
        <v>82.498378746478878</v>
      </c>
      <c r="LX71" s="32">
        <v>1.2890371679137325</v>
      </c>
      <c r="LY71" s="32">
        <v>688.10532715140835</v>
      </c>
      <c r="LZ71" s="32">
        <v>10.751645736740755</v>
      </c>
      <c r="MA71" s="32">
        <v>241.25909250602416</v>
      </c>
      <c r="MB71" s="32">
        <v>3.7696733204066275</v>
      </c>
      <c r="MC71" s="32">
        <v>1060.6806429759035</v>
      </c>
      <c r="MD71" s="32">
        <v>16.573135046498493</v>
      </c>
      <c r="ME71" s="32">
        <v>8.3000000000000004E-2</v>
      </c>
      <c r="MF71" s="32">
        <v>-140.84296433898305</v>
      </c>
      <c r="MG71" s="8">
        <v>-2.2006713177966102</v>
      </c>
      <c r="MH71" s="32">
        <v>1621.5364366440676</v>
      </c>
      <c r="MI71" s="32">
        <v>-1.2157948577860169</v>
      </c>
      <c r="MJ71" s="32">
        <v>5.8000000000000003E-2</v>
      </c>
      <c r="MK71" s="32">
        <v>94634.441874000011</v>
      </c>
      <c r="ML71" s="32">
        <v>87023.927638000008</v>
      </c>
      <c r="MM71" s="32">
        <v>0.14099999999999999</v>
      </c>
      <c r="MN71" s="32" t="s">
        <v>34</v>
      </c>
      <c r="MO71" s="32">
        <v>58.865248226950364</v>
      </c>
      <c r="MP71" s="32">
        <v>9.8931537761981332</v>
      </c>
      <c r="MQ71" s="32">
        <v>5.7948875973781879</v>
      </c>
      <c r="MR71" s="32">
        <v>16.946627850884251</v>
      </c>
      <c r="MS71" s="32">
        <v>90.873509687210841</v>
      </c>
      <c r="MT71" s="32">
        <v>9.8931537761981332</v>
      </c>
      <c r="MU71" s="32">
        <v>29.695993658833032</v>
      </c>
      <c r="MV71" s="32">
        <v>16.946627850884251</v>
      </c>
      <c r="MW71" s="32">
        <v>19.738607349695094</v>
      </c>
      <c r="MX71" s="32" t="s">
        <v>34</v>
      </c>
      <c r="MY71" s="32" t="s">
        <v>34</v>
      </c>
      <c r="MZ71" s="32" t="s">
        <v>34</v>
      </c>
      <c r="NA71" s="32" t="s">
        <v>34</v>
      </c>
      <c r="NB71" s="17" t="s">
        <v>34</v>
      </c>
      <c r="NC71" s="69"/>
      <c r="ND71" s="32" t="s">
        <v>34</v>
      </c>
      <c r="NE71" s="32" t="s">
        <v>34</v>
      </c>
      <c r="NF71" s="32" t="s">
        <v>34</v>
      </c>
      <c r="NG71" s="32" t="s">
        <v>34</v>
      </c>
      <c r="NH71" s="32" t="s">
        <v>34</v>
      </c>
      <c r="NI71" s="32" t="s">
        <v>34</v>
      </c>
      <c r="NJ71" s="32" t="s">
        <v>34</v>
      </c>
      <c r="NK71" s="32" t="s">
        <v>34</v>
      </c>
      <c r="NL71" s="32" t="s">
        <v>34</v>
      </c>
      <c r="NM71" s="32" t="s">
        <v>34</v>
      </c>
      <c r="NN71" s="32" t="s">
        <v>34</v>
      </c>
      <c r="NO71" s="32" t="s">
        <v>34</v>
      </c>
      <c r="NP71" s="32" t="s">
        <v>34</v>
      </c>
      <c r="NQ71" s="32" t="s">
        <v>34</v>
      </c>
      <c r="NR71" s="32" t="s">
        <v>34</v>
      </c>
      <c r="NS71" s="32" t="s">
        <v>34</v>
      </c>
      <c r="NT71" s="32" t="s">
        <v>34</v>
      </c>
      <c r="NU71" s="32" t="s">
        <v>34</v>
      </c>
      <c r="NV71" s="8" t="s">
        <v>34</v>
      </c>
      <c r="NW71" s="32" t="s">
        <v>34</v>
      </c>
      <c r="NX71" s="32" t="s">
        <v>34</v>
      </c>
      <c r="NY71" s="32" t="s">
        <v>34</v>
      </c>
      <c r="NZ71" s="32" t="s">
        <v>34</v>
      </c>
      <c r="OA71" s="32" t="s">
        <v>34</v>
      </c>
      <c r="OB71" s="32" t="s">
        <v>34</v>
      </c>
      <c r="OC71" s="32" t="s">
        <v>34</v>
      </c>
      <c r="OD71" s="32" t="s">
        <v>34</v>
      </c>
      <c r="OE71" s="32" t="s">
        <v>34</v>
      </c>
      <c r="OF71" s="32" t="s">
        <v>34</v>
      </c>
      <c r="OG71" s="32" t="s">
        <v>34</v>
      </c>
      <c r="OH71" s="32" t="s">
        <v>34</v>
      </c>
      <c r="OI71" s="32" t="s">
        <v>34</v>
      </c>
      <c r="OJ71" s="32" t="s">
        <v>34</v>
      </c>
      <c r="OK71" s="32" t="s">
        <v>34</v>
      </c>
      <c r="OL71" s="32" t="s">
        <v>34</v>
      </c>
      <c r="OM71" s="32" t="s">
        <v>34</v>
      </c>
      <c r="ON71" s="69"/>
      <c r="OO71" s="32" t="s">
        <v>34</v>
      </c>
      <c r="OP71" s="32" t="s">
        <v>34</v>
      </c>
      <c r="OQ71" s="32" t="s">
        <v>34</v>
      </c>
      <c r="OR71" s="32" t="s">
        <v>34</v>
      </c>
      <c r="OS71" s="32" t="s">
        <v>34</v>
      </c>
      <c r="OT71" s="32" t="s">
        <v>34</v>
      </c>
      <c r="OU71" s="32" t="s">
        <v>34</v>
      </c>
      <c r="OV71" s="32" t="s">
        <v>34</v>
      </c>
      <c r="OW71" s="32" t="s">
        <v>34</v>
      </c>
      <c r="OX71" s="32" t="s">
        <v>34</v>
      </c>
      <c r="OY71" s="32" t="s">
        <v>34</v>
      </c>
    </row>
    <row r="72" spans="1:415" ht="15.75" x14ac:dyDescent="0.25">
      <c r="A72" s="10">
        <v>71</v>
      </c>
      <c r="B72" s="3" t="s">
        <v>394</v>
      </c>
      <c r="C72" s="3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9"/>
      <c r="K72" s="32">
        <v>974.9564009999998</v>
      </c>
      <c r="L72" s="32">
        <v>16.249273349999996</v>
      </c>
      <c r="M72" s="32">
        <v>0.26500000000000001</v>
      </c>
      <c r="N72" s="32">
        <v>500.55056161318055</v>
      </c>
      <c r="O72" s="32">
        <v>8.342509360219676</v>
      </c>
      <c r="P72" s="32">
        <v>243.85104290544407</v>
      </c>
      <c r="Q72" s="32">
        <v>4.0641840484240683</v>
      </c>
      <c r="R72" s="32">
        <v>372.2008022593123</v>
      </c>
      <c r="S72" s="32">
        <v>6.2033467043218717</v>
      </c>
      <c r="T72" s="32">
        <v>0.34799999999999998</v>
      </c>
      <c r="U72" s="32">
        <v>8.7999999999999995E-2</v>
      </c>
      <c r="V72" s="32">
        <v>34.296542429160183</v>
      </c>
      <c r="W72" s="32">
        <v>65.703457570839817</v>
      </c>
      <c r="X72" s="32">
        <v>57.115750593804094</v>
      </c>
      <c r="Y72" s="32">
        <v>75.354464705107048</v>
      </c>
      <c r="Z72" s="32">
        <v>0.420010627659053</v>
      </c>
      <c r="AA72" s="32">
        <v>2.3212660270859344</v>
      </c>
      <c r="AB72" s="69"/>
      <c r="AC72" s="32">
        <v>700.5194190000002</v>
      </c>
      <c r="AD72" s="32">
        <v>11.675323650000003</v>
      </c>
      <c r="AE72" s="32">
        <v>0.01</v>
      </c>
      <c r="AF72" s="32">
        <v>1411.786973</v>
      </c>
      <c r="AG72" s="32">
        <v>23.529782883333333</v>
      </c>
      <c r="AH72" s="32">
        <v>8.6999999999999994E-2</v>
      </c>
      <c r="AI72" s="32">
        <v>896.48102008426963</v>
      </c>
      <c r="AJ72" s="32">
        <v>14.941350334737827</v>
      </c>
      <c r="AK72" s="32">
        <v>297.8570023089888</v>
      </c>
      <c r="AL72" s="32">
        <v>4.9642833718164798</v>
      </c>
      <c r="AM72" s="32">
        <v>597.16901119662919</v>
      </c>
      <c r="AN72" s="32">
        <v>9.9528168532771524</v>
      </c>
      <c r="AO72" s="32">
        <v>0.17699999999999999</v>
      </c>
      <c r="AP72" s="32">
        <v>8.7999999999999995E-2</v>
      </c>
      <c r="AQ72" s="32">
        <v>29.186714894949066</v>
      </c>
      <c r="AR72" s="32">
        <v>70.813285105050937</v>
      </c>
      <c r="AS72" s="32">
        <v>69.680849024242136</v>
      </c>
      <c r="AT72" s="32">
        <v>99.895207120964173</v>
      </c>
      <c r="AU72" s="32">
        <v>0.26229488312745958</v>
      </c>
      <c r="AV72" s="32">
        <v>5.3824419148655531</v>
      </c>
      <c r="AW72" s="69"/>
      <c r="AX72" s="32">
        <v>56.681676156528603</v>
      </c>
      <c r="AY72" s="32">
        <v>36.604737380534168</v>
      </c>
      <c r="AZ72" s="32">
        <v>-101.13636363636364</v>
      </c>
      <c r="BA72" s="32">
        <v>-65.142857142857153</v>
      </c>
      <c r="BB72" s="32">
        <v>-16.098189505693625</v>
      </c>
      <c r="BC72" s="69"/>
      <c r="BD72" s="32">
        <v>1590.2125000000001</v>
      </c>
      <c r="BE72" s="32">
        <v>26.503541666666667</v>
      </c>
      <c r="BF72" s="32">
        <v>1.6E-2</v>
      </c>
      <c r="BG72" s="32">
        <v>1590.2125000000001</v>
      </c>
      <c r="BH72" s="32">
        <v>26.503541666666667</v>
      </c>
      <c r="BI72" s="32">
        <v>1.6E-2</v>
      </c>
      <c r="BJ72" s="32">
        <v>941.58927013636367</v>
      </c>
      <c r="BK72" s="32">
        <v>15.693154502272728</v>
      </c>
      <c r="BL72" s="32">
        <v>111.06036445454546</v>
      </c>
      <c r="BM72" s="32">
        <v>1.8510060742424244</v>
      </c>
      <c r="BN72" s="32">
        <v>526.32481729545452</v>
      </c>
      <c r="BO72" s="32">
        <v>8.772080288257575</v>
      </c>
      <c r="BP72" s="32">
        <v>211.51854536111111</v>
      </c>
      <c r="BQ72" s="32">
        <v>3.5253090893518517</v>
      </c>
      <c r="BR72" s="32">
        <v>899.29567295370362</v>
      </c>
      <c r="BS72" s="32">
        <v>14.98826121589506</v>
      </c>
      <c r="BT72" s="32">
        <v>9.2999999999999999E-2</v>
      </c>
      <c r="BU72" s="32">
        <v>-124.79797332608696</v>
      </c>
      <c r="BV72" s="8">
        <v>-2.0799662221014494</v>
      </c>
      <c r="BW72" s="32">
        <v>1040.8872809130435</v>
      </c>
      <c r="BX72" s="32" t="s">
        <v>34</v>
      </c>
      <c r="BY72" s="32">
        <v>0.06</v>
      </c>
      <c r="BZ72" s="32">
        <v>47260.752869000004</v>
      </c>
      <c r="CA72" s="32">
        <v>97120.596443499991</v>
      </c>
      <c r="CB72" s="32">
        <v>0.153</v>
      </c>
      <c r="CC72" s="32">
        <v>7.9000000000000001E-2</v>
      </c>
      <c r="CD72" s="32">
        <v>60.7843137254902</v>
      </c>
      <c r="CE72" s="32">
        <v>10.739143524519447</v>
      </c>
      <c r="CF72" s="32">
        <v>9.5569916880492229</v>
      </c>
      <c r="CG72" s="32">
        <v>18.201641871180321</v>
      </c>
      <c r="CH72" s="32">
        <v>81.025853574724692</v>
      </c>
      <c r="CI72" s="32">
        <v>10.739143524519447</v>
      </c>
      <c r="CJ72" s="32">
        <v>34.616913281380349</v>
      </c>
      <c r="CK72" s="32">
        <v>18.201641871180321</v>
      </c>
      <c r="CL72" s="32">
        <v>23.350472463469806</v>
      </c>
      <c r="CM72" s="32" t="s">
        <v>34</v>
      </c>
      <c r="CN72" s="32" t="s">
        <v>34</v>
      </c>
      <c r="CO72" s="32" t="s">
        <v>34</v>
      </c>
      <c r="CP72" s="32" t="s">
        <v>34</v>
      </c>
      <c r="CQ72" s="17" t="s">
        <v>34</v>
      </c>
      <c r="CR72" s="69"/>
      <c r="CS72" s="32">
        <v>2663.3443800000005</v>
      </c>
      <c r="CT72" s="32">
        <v>44.38907300000001</v>
      </c>
      <c r="CU72" s="32">
        <v>1.7999999999999999E-2</v>
      </c>
      <c r="CV72" s="32">
        <v>2663.3443800000005</v>
      </c>
      <c r="CW72" s="32">
        <v>44.38907300000001</v>
      </c>
      <c r="CX72" s="32">
        <v>1.7999999999999999E-2</v>
      </c>
      <c r="CY72" s="32">
        <v>906.83837574999984</v>
      </c>
      <c r="CZ72" s="32">
        <v>15.113972929166664</v>
      </c>
      <c r="DA72" s="32">
        <v>73.528505087500008</v>
      </c>
      <c r="DB72" s="32">
        <v>1.2254750847916669</v>
      </c>
      <c r="DC72" s="32">
        <v>490.18344041874991</v>
      </c>
      <c r="DD72" s="32">
        <v>8.1697240069791643</v>
      </c>
      <c r="DE72" s="32">
        <v>211.52946148453606</v>
      </c>
      <c r="DF72" s="32">
        <v>3.5254910247422675</v>
      </c>
      <c r="DG72" s="32">
        <v>772.50684706185564</v>
      </c>
      <c r="DH72" s="32">
        <v>12.875114117697594</v>
      </c>
      <c r="DI72" s="32">
        <v>8.7999999999999995E-2</v>
      </c>
      <c r="DJ72" s="32">
        <v>-138.94915793650793</v>
      </c>
      <c r="DK72" s="8">
        <v>-2.3158192989417987</v>
      </c>
      <c r="DL72" s="32">
        <v>1113.666285</v>
      </c>
      <c r="DM72" s="32">
        <v>-2.173386391798942</v>
      </c>
      <c r="DN72" s="32">
        <v>7.0000000000000007E-2</v>
      </c>
      <c r="DO72" s="32">
        <v>69573.059007999997</v>
      </c>
      <c r="DP72" s="32">
        <v>74939.3226765</v>
      </c>
      <c r="DQ72" s="32">
        <v>0.159</v>
      </c>
      <c r="DR72" s="32">
        <v>7.9000000000000001E-2</v>
      </c>
      <c r="DS72" s="32">
        <v>55.345911949685537</v>
      </c>
      <c r="DT72" s="32">
        <v>6.7470383683957316</v>
      </c>
      <c r="DU72" s="32">
        <v>12.750093296990928</v>
      </c>
      <c r="DV72" s="32">
        <v>19.410123883028302</v>
      </c>
      <c r="DW72" s="32">
        <v>83.212263160223941</v>
      </c>
      <c r="DX72" s="32">
        <v>6.7470383683957316</v>
      </c>
      <c r="DY72" s="32">
        <v>12.750093296990928</v>
      </c>
      <c r="DZ72" s="32">
        <v>19.410123883028302</v>
      </c>
      <c r="EA72" s="32">
        <v>0.23103719205833517</v>
      </c>
      <c r="EB72" s="32">
        <v>11.527773326328889</v>
      </c>
      <c r="EC72" s="69"/>
      <c r="ED72" s="32">
        <v>-3.7600491924800195</v>
      </c>
      <c r="EE72" s="32">
        <v>10.730872819489822</v>
      </c>
      <c r="EF72" s="32">
        <v>5.1607019762800847E-3</v>
      </c>
      <c r="EG72" s="32">
        <v>50.458094732237377</v>
      </c>
      <c r="EH72" s="32">
        <v>11.76470588235293</v>
      </c>
      <c r="EI72" s="32">
        <v>50.458094732237377</v>
      </c>
      <c r="EJ72" s="32">
        <v>3.8461538461538498</v>
      </c>
      <c r="EK72" s="32">
        <v>151.7539146481918</v>
      </c>
      <c r="EL72" s="32">
        <v>34.469432525889168</v>
      </c>
      <c r="EM72" s="32">
        <v>17.122308295942119</v>
      </c>
      <c r="EN72" s="32">
        <v>6.4260849636539898</v>
      </c>
      <c r="EO72" s="69"/>
      <c r="EP72" s="32">
        <v>1015.189634</v>
      </c>
      <c r="EQ72" s="32">
        <v>16.919827233333333</v>
      </c>
      <c r="ER72" s="32">
        <v>0.253</v>
      </c>
      <c r="ES72" s="32">
        <v>506.64419113031158</v>
      </c>
      <c r="ET72" s="32">
        <v>8.4440698521718591</v>
      </c>
      <c r="EU72" s="32">
        <v>227.98940829178463</v>
      </c>
      <c r="EV72" s="32">
        <v>3.7998234715297436</v>
      </c>
      <c r="EW72" s="32">
        <v>367.31679971104813</v>
      </c>
      <c r="EX72" s="32">
        <v>6.1219466618508021</v>
      </c>
      <c r="EY72" s="32">
        <v>0.35199999999999998</v>
      </c>
      <c r="EZ72" s="32">
        <v>7.0999999999999994E-2</v>
      </c>
      <c r="FA72" s="32">
        <v>33.354174959930951</v>
      </c>
      <c r="FB72" s="32">
        <v>66.645825040069056</v>
      </c>
      <c r="FC72" s="32">
        <v>74.846627540891802</v>
      </c>
      <c r="FD72" s="32">
        <v>74.940081706274611</v>
      </c>
      <c r="FE72" s="32">
        <v>0.4366544495577469</v>
      </c>
      <c r="FF72" s="32">
        <v>2.3249268043145008</v>
      </c>
      <c r="FG72" s="69"/>
      <c r="FH72" s="32">
        <v>525.57443600000011</v>
      </c>
      <c r="FI72" s="32">
        <v>8.7595739333333356</v>
      </c>
      <c r="FJ72" s="32">
        <v>2.1000000000000001E-2</v>
      </c>
      <c r="FK72" s="32">
        <v>1213.8670200000001</v>
      </c>
      <c r="FL72" s="32">
        <v>20.231117000000001</v>
      </c>
      <c r="FM72" s="32">
        <v>0.12</v>
      </c>
      <c r="FN72" s="32">
        <v>806.23378255454566</v>
      </c>
      <c r="FO72" s="32">
        <v>13.437229709242427</v>
      </c>
      <c r="FP72" s="32">
        <v>253.77388322272728</v>
      </c>
      <c r="FQ72" s="32">
        <v>4.2295647203787876</v>
      </c>
      <c r="FR72" s="32">
        <v>530.00383288863645</v>
      </c>
      <c r="FS72" s="32">
        <v>8.8333972148106081</v>
      </c>
      <c r="FT72" s="32">
        <v>0.219</v>
      </c>
      <c r="FU72" s="32">
        <v>7.0999999999999994E-2</v>
      </c>
      <c r="FV72" s="32">
        <v>26.710563567566613</v>
      </c>
      <c r="FW72" s="32">
        <v>73.289436432433391</v>
      </c>
      <c r="FX72" s="32">
        <v>67.741938368976733</v>
      </c>
      <c r="FY72" s="32">
        <v>99.157411724595505</v>
      </c>
      <c r="FZ72" s="32">
        <v>0.34699706518962503</v>
      </c>
      <c r="GA72" s="32">
        <v>3.4982054368000282</v>
      </c>
      <c r="GB72" s="69"/>
      <c r="GC72" s="32">
        <v>45.638604261655082</v>
      </c>
      <c r="GD72" s="32">
        <v>17.82614054635869</v>
      </c>
      <c r="GE72" s="32">
        <v>-71.31367292225201</v>
      </c>
      <c r="GF72" s="32">
        <v>-46.584938704028019</v>
      </c>
      <c r="GG72" s="32">
        <v>-22.121502749314061</v>
      </c>
      <c r="GH72" s="69"/>
      <c r="GI72" s="32">
        <v>1794.5344500000001</v>
      </c>
      <c r="GJ72" s="32">
        <v>29.908907500000002</v>
      </c>
      <c r="GK72" s="32">
        <v>2.3E-2</v>
      </c>
      <c r="GL72" s="32">
        <v>1794.5344500000001</v>
      </c>
      <c r="GM72" s="32">
        <v>29.908907500000002</v>
      </c>
      <c r="GN72" s="32">
        <v>2.3E-2</v>
      </c>
      <c r="GO72" s="32">
        <v>946.25051318539317</v>
      </c>
      <c r="GP72" s="32">
        <v>15.77084188642322</v>
      </c>
      <c r="GQ72" s="32">
        <v>70.563472898876412</v>
      </c>
      <c r="GR72" s="32">
        <v>1.1760578816479401</v>
      </c>
      <c r="GS72" s="32">
        <v>508.40699304213479</v>
      </c>
      <c r="GT72" s="32">
        <v>8.4734498840355794</v>
      </c>
      <c r="GU72" s="32">
        <v>188.31901370370372</v>
      </c>
      <c r="GV72" s="32">
        <v>3.1386502283950621</v>
      </c>
      <c r="GW72" s="32">
        <v>798.8390580925925</v>
      </c>
      <c r="GX72" s="32">
        <v>13.313984301543208</v>
      </c>
      <c r="GY72" s="32">
        <v>9.7000000000000003E-2</v>
      </c>
      <c r="GZ72" s="32">
        <v>-111.11650434285714</v>
      </c>
      <c r="HA72" s="8">
        <v>-1.8519417390476189</v>
      </c>
      <c r="HB72" s="32">
        <v>1173.6853296142858</v>
      </c>
      <c r="HC72" s="32">
        <v>-0.24672261523809522</v>
      </c>
      <c r="HD72" s="32">
        <v>0.08</v>
      </c>
      <c r="HE72" s="32">
        <v>81443.40537600001</v>
      </c>
      <c r="HF72" s="32">
        <v>86213.033155500016</v>
      </c>
      <c r="HG72" s="32">
        <v>0.17699999999999999</v>
      </c>
      <c r="HH72" s="32">
        <v>9.7000000000000003E-2</v>
      </c>
      <c r="HI72" s="32">
        <v>54.802259887005654</v>
      </c>
      <c r="HJ72" s="32">
        <v>10.427381444763808</v>
      </c>
      <c r="HK72" s="32">
        <v>6.621808815308869</v>
      </c>
      <c r="HL72" s="32">
        <v>17.672209909800422</v>
      </c>
      <c r="HM72" s="32">
        <v>88.797925219484938</v>
      </c>
      <c r="HN72" s="32">
        <v>10.427381444763808</v>
      </c>
      <c r="HO72" s="32">
        <v>33.673725706962536</v>
      </c>
      <c r="HP72" s="32">
        <v>17.672209909800422</v>
      </c>
      <c r="HQ72" s="32">
        <v>20.857355889411199</v>
      </c>
      <c r="HR72" s="32">
        <v>54.802259887005654</v>
      </c>
      <c r="HS72" s="32" t="s">
        <v>34</v>
      </c>
      <c r="HT72" s="32" t="s">
        <v>34</v>
      </c>
      <c r="HU72" s="32" t="s">
        <v>34</v>
      </c>
      <c r="HV72" s="32" t="s">
        <v>34</v>
      </c>
      <c r="HW72" s="17" t="s">
        <v>34</v>
      </c>
      <c r="HX72" s="69"/>
      <c r="HY72" s="32">
        <v>2042.696283</v>
      </c>
      <c r="HZ72" s="32">
        <v>34.044938049999999</v>
      </c>
      <c r="IA72" s="32">
        <v>0.02</v>
      </c>
      <c r="IB72" s="32">
        <v>2042.696283</v>
      </c>
      <c r="IC72" s="32">
        <v>34.044938049999999</v>
      </c>
      <c r="ID72" s="32">
        <v>0.02</v>
      </c>
      <c r="IE72" s="32">
        <v>836.4561199631579</v>
      </c>
      <c r="IF72" s="32">
        <v>13.940935332719299</v>
      </c>
      <c r="IG72" s="32">
        <v>63.182049984210529</v>
      </c>
      <c r="IH72" s="32">
        <v>1.0530341664035088</v>
      </c>
      <c r="II72" s="32">
        <v>449.8190849736842</v>
      </c>
      <c r="IJ72" s="32">
        <v>7.4969847495614035</v>
      </c>
      <c r="IK72" s="32">
        <v>186.99169126315789</v>
      </c>
      <c r="IL72" s="32">
        <v>3.1165281877192981</v>
      </c>
      <c r="IM72" s="32">
        <v>705.18289534210521</v>
      </c>
      <c r="IN72" s="32">
        <v>11.753048255701753</v>
      </c>
      <c r="IO72" s="32">
        <v>5.0000000000000001E-3</v>
      </c>
      <c r="IP72" s="32">
        <v>-122.53241193421053</v>
      </c>
      <c r="IQ72" s="8">
        <v>-2.0422068655701753</v>
      </c>
      <c r="IR72" s="32">
        <v>1033.3659568947364</v>
      </c>
      <c r="IS72" s="32">
        <v>0.13344153947368423</v>
      </c>
      <c r="IT72" s="32">
        <v>0.183</v>
      </c>
      <c r="IU72" s="32">
        <v>78525.181852499998</v>
      </c>
      <c r="IV72" s="32">
        <v>80394.817485500011</v>
      </c>
      <c r="IW72" s="32">
        <v>0.189</v>
      </c>
      <c r="IX72" s="32">
        <v>9.7000000000000003E-2</v>
      </c>
      <c r="IY72" s="32">
        <v>2.6455026455026456</v>
      </c>
      <c r="IZ72" s="32">
        <v>6.3329982522382871</v>
      </c>
      <c r="JA72" s="32">
        <v>12.281930561224625</v>
      </c>
      <c r="JB72" s="32">
        <v>18.742950794546893</v>
      </c>
      <c r="JC72" s="32">
        <v>83.841457298782018</v>
      </c>
      <c r="JD72" s="32">
        <v>6.3329982522382871</v>
      </c>
      <c r="JE72" s="32">
        <v>12.281930561224625</v>
      </c>
      <c r="JF72" s="32">
        <v>18.742950794546893</v>
      </c>
      <c r="JG72" s="32">
        <v>0.3164891849790204</v>
      </c>
      <c r="JH72" s="32">
        <v>6.454237237633909</v>
      </c>
      <c r="JI72" s="69"/>
      <c r="JJ72" s="32">
        <v>-12.317718594934538</v>
      </c>
      <c r="JK72" s="32">
        <v>9.7718472426519405</v>
      </c>
      <c r="JL72" s="32">
        <v>-0.70731925467621548</v>
      </c>
      <c r="JM72" s="32">
        <v>12.934423299898024</v>
      </c>
      <c r="JN72" s="32">
        <v>-13.95348837209302</v>
      </c>
      <c r="JO72" s="32">
        <v>12.934423299898024</v>
      </c>
      <c r="JP72" s="32">
        <v>6.5573770491803334</v>
      </c>
      <c r="JQ72" s="32">
        <v>115.10072693634991</v>
      </c>
      <c r="JR72" s="32">
        <v>4.4587397027945848</v>
      </c>
      <c r="JS72" s="32">
        <v>16.332939685462712</v>
      </c>
      <c r="JT72" s="32">
        <v>5.8807423283931488</v>
      </c>
      <c r="JU72" s="69"/>
      <c r="JV72" s="32">
        <v>954.99314400000003</v>
      </c>
      <c r="JW72" s="32">
        <v>15.9165524</v>
      </c>
      <c r="JX72" s="32">
        <v>0.318</v>
      </c>
      <c r="JY72" s="32">
        <v>471.23923678787878</v>
      </c>
      <c r="JZ72" s="32">
        <v>7.8539872797979795</v>
      </c>
      <c r="KA72" s="32">
        <v>192.20487132167827</v>
      </c>
      <c r="KB72" s="32">
        <v>3.2034145220279711</v>
      </c>
      <c r="KC72" s="32">
        <v>331.72205405477854</v>
      </c>
      <c r="KD72" s="32">
        <v>5.5287009009129759</v>
      </c>
      <c r="KE72" s="32">
        <v>0.42799999999999999</v>
      </c>
      <c r="KF72" s="32">
        <v>6.8000000000000005E-2</v>
      </c>
      <c r="KG72" s="32">
        <v>31.557960220502093</v>
      </c>
      <c r="KH72" s="32">
        <v>68.442039779497904</v>
      </c>
      <c r="KI72" s="32">
        <v>82.835816417634049</v>
      </c>
      <c r="KJ72" s="32">
        <v>78.126842267065271</v>
      </c>
      <c r="KK72" s="32">
        <v>0.56699619500428322</v>
      </c>
      <c r="KL72" s="32">
        <v>1.684302562194065</v>
      </c>
      <c r="KM72" s="69"/>
      <c r="KN72" s="32">
        <v>267.602215</v>
      </c>
      <c r="KO72" s="32">
        <v>4.4600369166666667</v>
      </c>
      <c r="KP72" s="32">
        <v>1.0999999999999999E-2</v>
      </c>
      <c r="KQ72" s="32">
        <v>1284.3788170000003</v>
      </c>
      <c r="KR72" s="32">
        <v>21.406313616666672</v>
      </c>
      <c r="KS72" s="32">
        <v>0.13</v>
      </c>
      <c r="KT72" s="32">
        <v>792.43022822881358</v>
      </c>
      <c r="KU72" s="32">
        <v>13.207170470480227</v>
      </c>
      <c r="KV72" s="32">
        <v>212.2712781313559</v>
      </c>
      <c r="KW72" s="32">
        <v>3.5378546355225984</v>
      </c>
      <c r="KX72" s="32">
        <v>502.35075318008472</v>
      </c>
      <c r="KY72" s="32">
        <v>8.3725125530014122</v>
      </c>
      <c r="KZ72" s="32">
        <v>0.23499999999999999</v>
      </c>
      <c r="LA72" s="32">
        <v>6.8000000000000005E-2</v>
      </c>
      <c r="LB72" s="32">
        <v>23.989460941544774</v>
      </c>
      <c r="LC72" s="32">
        <v>76.010539058455223</v>
      </c>
      <c r="LD72" s="32">
        <v>76.344122566161928</v>
      </c>
      <c r="LE72" s="32">
        <v>98.316648125810985</v>
      </c>
      <c r="LF72" s="32">
        <v>0.38153100536404633</v>
      </c>
      <c r="LG72" s="32">
        <v>3.3663812349260622</v>
      </c>
      <c r="LH72" s="69"/>
      <c r="LI72" s="32">
        <v>50.83465262598429</v>
      </c>
      <c r="LJ72" s="32">
        <v>29.417683059040517</v>
      </c>
      <c r="LK72" s="32">
        <v>-83.928571428571431</v>
      </c>
      <c r="LL72" s="32">
        <v>-58.220211161387624</v>
      </c>
      <c r="LM72" s="32">
        <v>-27.250587410270434</v>
      </c>
      <c r="LN72" s="69"/>
      <c r="LO72" s="32">
        <v>1647.090768</v>
      </c>
      <c r="LP72" s="32">
        <v>27.4515128</v>
      </c>
      <c r="LQ72" s="32">
        <v>2.5999999999999999E-2</v>
      </c>
      <c r="LR72" s="32">
        <v>1647.090768</v>
      </c>
      <c r="LS72" s="32">
        <v>27.4515128</v>
      </c>
      <c r="LT72" s="32">
        <v>2.5999999999999999E-2</v>
      </c>
      <c r="LU72" s="32">
        <v>954.18229366850835</v>
      </c>
      <c r="LV72" s="32">
        <v>15.903038227808473</v>
      </c>
      <c r="LW72" s="32">
        <v>76.158047917127078</v>
      </c>
      <c r="LX72" s="32">
        <v>1.2693007986187845</v>
      </c>
      <c r="LY72" s="32">
        <v>515.17017079281777</v>
      </c>
      <c r="LZ72" s="32">
        <v>8.5861695132136298</v>
      </c>
      <c r="MA72" s="32">
        <v>190.06371481651377</v>
      </c>
      <c r="MB72" s="32">
        <v>3.1677285802752295</v>
      </c>
      <c r="MC72" s="32">
        <v>871.13868217431195</v>
      </c>
      <c r="MD72" s="32">
        <v>14.518978036238533</v>
      </c>
      <c r="ME72" s="32">
        <v>0.104</v>
      </c>
      <c r="MF72" s="32">
        <v>-96.282475583333337</v>
      </c>
      <c r="MG72" s="8">
        <v>-1.604707926388889</v>
      </c>
      <c r="MH72" s="32">
        <v>1079.9010944027777</v>
      </c>
      <c r="MI72" s="32">
        <v>-0.11621307777777774</v>
      </c>
      <c r="MJ72" s="32">
        <v>7.5999999999999998E-2</v>
      </c>
      <c r="MK72" s="32">
        <v>77013.677075999993</v>
      </c>
      <c r="ML72" s="32">
        <v>94309.0956305</v>
      </c>
      <c r="MM72" s="32">
        <v>0.18</v>
      </c>
      <c r="MN72" s="32">
        <v>0.107</v>
      </c>
      <c r="MO72" s="32">
        <v>57.777777777777771</v>
      </c>
      <c r="MP72" s="32">
        <v>8.8910384222824135</v>
      </c>
      <c r="MQ72" s="32">
        <v>7.0326830100161377</v>
      </c>
      <c r="MR72" s="32">
        <v>17.55110450658032</v>
      </c>
      <c r="MS72" s="32">
        <v>88.112311025131206</v>
      </c>
      <c r="MT72" s="32">
        <v>8.8910384222824135</v>
      </c>
      <c r="MU72" s="32">
        <v>32.296667467710009</v>
      </c>
      <c r="MV72" s="32">
        <v>17.55110450658032</v>
      </c>
      <c r="MW72" s="32">
        <v>19.594326613122668</v>
      </c>
      <c r="MX72" s="32" t="s">
        <v>34</v>
      </c>
      <c r="MY72" s="32" t="s">
        <v>34</v>
      </c>
      <c r="MZ72" s="32" t="s">
        <v>34</v>
      </c>
      <c r="NA72" s="32" t="s">
        <v>34</v>
      </c>
      <c r="NB72" s="17" t="s">
        <v>34</v>
      </c>
      <c r="NC72" s="69"/>
      <c r="ND72" s="32">
        <v>2162.9630200000001</v>
      </c>
      <c r="NE72" s="32">
        <v>36.049383666666671</v>
      </c>
      <c r="NF72" s="32">
        <v>0.02</v>
      </c>
      <c r="NG72" s="32">
        <v>2162.9630200000001</v>
      </c>
      <c r="NH72" s="32">
        <v>36.049383666666671</v>
      </c>
      <c r="NI72" s="32">
        <v>0.02</v>
      </c>
      <c r="NJ72" s="32">
        <v>892.55751813368977</v>
      </c>
      <c r="NK72" s="32">
        <v>14.875958635561496</v>
      </c>
      <c r="NL72" s="32">
        <v>55.342850411764715</v>
      </c>
      <c r="NM72" s="32">
        <v>0.92238084019607858</v>
      </c>
      <c r="NN72" s="32">
        <v>473.95018427272726</v>
      </c>
      <c r="NO72" s="32">
        <v>7.899169737878788</v>
      </c>
      <c r="NP72" s="32">
        <v>188.80780835779814</v>
      </c>
      <c r="NQ72" s="32">
        <v>3.1467968059633025</v>
      </c>
      <c r="NR72" s="32">
        <v>755.41206497247697</v>
      </c>
      <c r="NS72" s="32">
        <v>12.590201082874616</v>
      </c>
      <c r="NT72" s="32">
        <v>1E-3</v>
      </c>
      <c r="NU72" s="32">
        <v>-131.16587287179485</v>
      </c>
      <c r="NV72" s="8">
        <v>-2.1860978811965808</v>
      </c>
      <c r="NW72" s="32">
        <v>1084.2094975512821</v>
      </c>
      <c r="NX72" s="32">
        <v>-0.7807632747863249</v>
      </c>
      <c r="NY72" s="32">
        <v>0.186</v>
      </c>
      <c r="NZ72" s="32">
        <v>84572.362325999973</v>
      </c>
      <c r="OA72" s="32">
        <v>81594.635979000013</v>
      </c>
      <c r="OB72" s="32">
        <v>0.186</v>
      </c>
      <c r="OC72" s="32">
        <v>0.107</v>
      </c>
      <c r="OD72" s="32">
        <v>0.53763440860215062</v>
      </c>
      <c r="OE72" s="32">
        <v>5.2342466827134357</v>
      </c>
      <c r="OF72" s="32">
        <v>12.405478392534288</v>
      </c>
      <c r="OG72" s="32">
        <v>17.857169213624648</v>
      </c>
      <c r="OH72" s="32">
        <v>84.416798080733926</v>
      </c>
      <c r="OI72" s="32">
        <v>5.2342466827134357</v>
      </c>
      <c r="OJ72" s="32">
        <v>12.405478392534288</v>
      </c>
      <c r="OK72" s="32">
        <v>17.857169213624648</v>
      </c>
      <c r="OL72" s="32">
        <v>0.31574194567965286</v>
      </c>
      <c r="OM72" s="32">
        <v>6.850413920596127</v>
      </c>
      <c r="ON72" s="69"/>
      <c r="OO72" s="32">
        <v>-6.673899066992024</v>
      </c>
      <c r="OP72" s="32">
        <v>30.67368703742725</v>
      </c>
      <c r="OQ72" s="32">
        <v>-0.6629722118955923</v>
      </c>
      <c r="OR72" s="32">
        <v>27.079525943952376</v>
      </c>
      <c r="OS72" s="32">
        <v>-26.086956521739125</v>
      </c>
      <c r="OT72" s="32">
        <v>27.079525943952376</v>
      </c>
      <c r="OU72" s="32">
        <v>3.2786885245901667</v>
      </c>
      <c r="OV72" s="32">
        <v>121.65959420469474</v>
      </c>
      <c r="OW72" s="32">
        <v>29.321702697433878</v>
      </c>
      <c r="OX72" s="32">
        <v>33.004833614920173</v>
      </c>
      <c r="OY72" s="32">
        <v>1.7287750849580608</v>
      </c>
    </row>
    <row r="73" spans="1:415" ht="15.75" x14ac:dyDescent="0.25">
      <c r="A73" s="10">
        <v>72</v>
      </c>
      <c r="B73" s="3" t="s">
        <v>396</v>
      </c>
      <c r="C73" s="3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9"/>
      <c r="K73" s="32">
        <v>911.00889900000016</v>
      </c>
      <c r="L73" s="32">
        <v>18.293351385542174</v>
      </c>
      <c r="M73" s="32">
        <v>0.187</v>
      </c>
      <c r="N73" s="32">
        <v>523.81916538062274</v>
      </c>
      <c r="O73" s="32">
        <v>10.518457136157084</v>
      </c>
      <c r="P73" s="32">
        <v>234.405273532872</v>
      </c>
      <c r="Q73" s="32">
        <v>4.7069332034713254</v>
      </c>
      <c r="R73" s="32">
        <v>379.11221945674737</v>
      </c>
      <c r="S73" s="32">
        <v>7.6126951698142049</v>
      </c>
      <c r="T73" s="32">
        <v>0.28799999999999998</v>
      </c>
      <c r="U73" s="32">
        <v>5.8999999999999997E-2</v>
      </c>
      <c r="V73" s="32">
        <v>28.600985475098867</v>
      </c>
      <c r="W73" s="32">
        <v>70.586236534690215</v>
      </c>
      <c r="X73" s="32">
        <v>68.085076259834807</v>
      </c>
      <c r="Y73" s="32">
        <v>99.287787558779655</v>
      </c>
      <c r="Z73" s="32">
        <v>0.42005476530246877</v>
      </c>
      <c r="AA73" s="32">
        <v>2.1687860113764219</v>
      </c>
      <c r="AB73" s="69"/>
      <c r="AC73" s="32">
        <v>476.648979</v>
      </c>
      <c r="AD73" s="32">
        <v>9.5712646385542168</v>
      </c>
      <c r="AE73" s="32">
        <v>2.1000000000000001E-2</v>
      </c>
      <c r="AF73" s="32">
        <v>1122.634468</v>
      </c>
      <c r="AG73" s="32">
        <v>22.542860803212854</v>
      </c>
      <c r="AH73" s="32">
        <v>8.6999999999999994E-2</v>
      </c>
      <c r="AI73" s="32">
        <v>681.76488664804458</v>
      </c>
      <c r="AJ73" s="32">
        <v>13.690057964820173</v>
      </c>
      <c r="AK73" s="32">
        <v>254.85530283798883</v>
      </c>
      <c r="AL73" s="32">
        <v>5.1175763622086112</v>
      </c>
      <c r="AM73" s="32">
        <v>468.31009474301669</v>
      </c>
      <c r="AN73" s="32">
        <v>9.4038171635143915</v>
      </c>
      <c r="AO73" s="32">
        <v>0.17799999999999999</v>
      </c>
      <c r="AP73" s="32">
        <v>5.8999999999999997E-2</v>
      </c>
      <c r="AQ73" s="32">
        <v>30.380968197851814</v>
      </c>
      <c r="AR73" s="32">
        <v>69.619031802148172</v>
      </c>
      <c r="AS73" s="32">
        <v>52.950556803194296</v>
      </c>
      <c r="AT73" s="32">
        <v>98.963285387526128</v>
      </c>
      <c r="AU73" s="32">
        <v>0.23966408063708156</v>
      </c>
      <c r="AV73" s="32">
        <v>4.6841999227242672</v>
      </c>
      <c r="AW73" s="69"/>
      <c r="AX73" s="32">
        <v>26.202357438561418</v>
      </c>
      <c r="AY73" s="32">
        <v>20.812456346481895</v>
      </c>
      <c r="AZ73" s="32">
        <v>-72.992700729927009</v>
      </c>
      <c r="BA73" s="32">
        <v>-47.210300429184549</v>
      </c>
      <c r="BB73" s="32">
        <v>6.0356858730817304</v>
      </c>
      <c r="BC73" s="69"/>
      <c r="BD73" s="32">
        <v>1433.1750030000003</v>
      </c>
      <c r="BE73" s="32">
        <v>28.778614518072295</v>
      </c>
      <c r="BF73" s="32">
        <v>1.4999999999999999E-2</v>
      </c>
      <c r="BG73" s="32">
        <v>1433.1750030000003</v>
      </c>
      <c r="BH73" s="32">
        <v>28.778614518072295</v>
      </c>
      <c r="BI73" s="32">
        <v>1.4999999999999999E-2</v>
      </c>
      <c r="BJ73" s="32">
        <v>912.06808679856124</v>
      </c>
      <c r="BK73" s="32">
        <v>18.314620216838581</v>
      </c>
      <c r="BL73" s="32">
        <v>96.431045302158253</v>
      </c>
      <c r="BM73" s="32">
        <v>1.9363663715292823</v>
      </c>
      <c r="BN73" s="32">
        <v>504.24956605035976</v>
      </c>
      <c r="BO73" s="32">
        <v>10.125493294183931</v>
      </c>
      <c r="BP73" s="32">
        <v>185.17859365306126</v>
      </c>
      <c r="BQ73" s="32">
        <v>3.7184456556839613</v>
      </c>
      <c r="BR73" s="32">
        <v>853.73954070408172</v>
      </c>
      <c r="BS73" s="32">
        <v>17.143364271166302</v>
      </c>
      <c r="BT73" s="32">
        <v>8.8999999999999996E-2</v>
      </c>
      <c r="BU73" s="32">
        <v>-115.69724099999996</v>
      </c>
      <c r="BV73" s="8">
        <v>-2.3232377710843366</v>
      </c>
      <c r="BW73" s="32">
        <v>1051.4875384390245</v>
      </c>
      <c r="BX73" s="32" t="s">
        <v>34</v>
      </c>
      <c r="BY73" s="32">
        <v>4.9000000000000002E-2</v>
      </c>
      <c r="BZ73" s="32">
        <v>42477.059108499991</v>
      </c>
      <c r="CA73" s="32">
        <v>83013.429285499995</v>
      </c>
      <c r="CB73" s="32">
        <v>0.13800000000000001</v>
      </c>
      <c r="CC73" s="32">
        <v>9.7000000000000003E-2</v>
      </c>
      <c r="CD73" s="32">
        <v>64.492753623188392</v>
      </c>
      <c r="CE73" s="32">
        <v>10.112544122029071</v>
      </c>
      <c r="CF73" s="32">
        <v>8.4285778288477946</v>
      </c>
      <c r="CG73" s="32">
        <v>16.185577828704449</v>
      </c>
      <c r="CH73" s="32">
        <v>79.71952217983393</v>
      </c>
      <c r="CI73" s="32">
        <v>10.112544122029071</v>
      </c>
      <c r="CJ73" s="32">
        <v>30.98573586374685</v>
      </c>
      <c r="CK73" s="32">
        <v>16.185577828704449</v>
      </c>
      <c r="CL73" s="32">
        <v>24.080730313649827</v>
      </c>
      <c r="CM73" s="32" t="s">
        <v>34</v>
      </c>
      <c r="CN73" s="32" t="s">
        <v>34</v>
      </c>
      <c r="CO73" s="32" t="s">
        <v>34</v>
      </c>
      <c r="CP73" s="32" t="s">
        <v>34</v>
      </c>
      <c r="CQ73" s="17" t="s">
        <v>34</v>
      </c>
      <c r="CR73" s="69"/>
      <c r="CS73" s="32">
        <v>1235.218959</v>
      </c>
      <c r="CT73" s="32">
        <v>24.803593554216871</v>
      </c>
      <c r="CU73" s="32">
        <v>3.5999999999999997E-2</v>
      </c>
      <c r="CV73" s="32">
        <v>1307.0832030000001</v>
      </c>
      <c r="CW73" s="32">
        <v>26.246650662650605</v>
      </c>
      <c r="CX73" s="32">
        <v>5.7000000000000002E-2</v>
      </c>
      <c r="CY73" s="32">
        <v>833.44535486821712</v>
      </c>
      <c r="CZ73" s="32">
        <v>16.735850499361792</v>
      </c>
      <c r="DA73" s="32">
        <v>103.35090835658913</v>
      </c>
      <c r="DB73" s="32">
        <v>2.0753194449114285</v>
      </c>
      <c r="DC73" s="32">
        <v>468.39813161240312</v>
      </c>
      <c r="DD73" s="32">
        <v>9.4055849721366087</v>
      </c>
      <c r="DE73" s="32">
        <v>182.72515696666665</v>
      </c>
      <c r="DF73" s="32">
        <v>3.6691798587684068</v>
      </c>
      <c r="DG73" s="32">
        <v>788.70408111111124</v>
      </c>
      <c r="DH73" s="32">
        <v>15.837431347612677</v>
      </c>
      <c r="DI73" s="32">
        <v>8.2000000000000003E-2</v>
      </c>
      <c r="DJ73" s="32">
        <v>-79.820434589743584</v>
      </c>
      <c r="DK73" s="8">
        <v>-1.6028199716815981</v>
      </c>
      <c r="DL73" s="32">
        <v>936.69444815384611</v>
      </c>
      <c r="DM73" s="32">
        <v>-1.4464479827000316</v>
      </c>
      <c r="DN73" s="32">
        <v>4.4999999999999998E-2</v>
      </c>
      <c r="DO73" s="32">
        <v>35883.799549999989</v>
      </c>
      <c r="DP73" s="32">
        <v>70987.76752400001</v>
      </c>
      <c r="DQ73" s="32">
        <v>0.128</v>
      </c>
      <c r="DR73" s="32">
        <v>9.7000000000000003E-2</v>
      </c>
      <c r="DS73" s="32">
        <v>64.0625</v>
      </c>
      <c r="DT73" s="32">
        <v>10.491841232851067</v>
      </c>
      <c r="DU73" s="32">
        <v>8.1031056249963846</v>
      </c>
      <c r="DV73" s="32">
        <v>18.549651537918297</v>
      </c>
      <c r="DW73" s="32">
        <v>84.608606528779006</v>
      </c>
      <c r="DX73" s="32">
        <v>10.491841232851067</v>
      </c>
      <c r="DY73" s="32">
        <v>8.1031056249963846</v>
      </c>
      <c r="DZ73" s="32">
        <v>18.549651537918297</v>
      </c>
      <c r="EA73" s="32">
        <v>0.16005602883093928</v>
      </c>
      <c r="EB73" s="32">
        <v>8.1664103036107392</v>
      </c>
      <c r="EC73" s="69"/>
      <c r="ED73" s="32">
        <v>-9.008550728233617</v>
      </c>
      <c r="EE73" s="32">
        <v>-36.699297188390268</v>
      </c>
      <c r="EF73" s="32">
        <v>-1.3337383390421196</v>
      </c>
      <c r="EG73" s="32">
        <v>-9.2029137782645964</v>
      </c>
      <c r="EH73" s="32">
        <v>116.66666666666666</v>
      </c>
      <c r="EI73" s="32">
        <v>-14.837092784577379</v>
      </c>
      <c r="EJ73" s="32">
        <v>-7.5187969924812093</v>
      </c>
      <c r="EK73" s="32">
        <v>136.78366297413186</v>
      </c>
      <c r="EL73" s="32">
        <v>-21.809912320388243</v>
      </c>
      <c r="EM73" s="32">
        <v>-22.062770474172297</v>
      </c>
      <c r="EN73" s="32">
        <v>13.611965444428579</v>
      </c>
      <c r="EO73" s="69"/>
      <c r="EP73" s="32">
        <v>951.65689199999997</v>
      </c>
      <c r="EQ73" s="32">
        <v>19.109576144578313</v>
      </c>
      <c r="ER73" s="32">
        <v>0.17799999999999999</v>
      </c>
      <c r="ES73" s="32">
        <v>517.2853792313432</v>
      </c>
      <c r="ET73" s="32">
        <v>10.38725661107115</v>
      </c>
      <c r="EU73" s="32">
        <v>250.31501821268657</v>
      </c>
      <c r="EV73" s="32">
        <v>5.0264059882065579</v>
      </c>
      <c r="EW73" s="32">
        <v>383.8001987220149</v>
      </c>
      <c r="EX73" s="32">
        <v>7.7068312996388535</v>
      </c>
      <c r="EY73" s="32">
        <v>0.26700000000000002</v>
      </c>
      <c r="EZ73" s="32">
        <v>4.8000000000000001E-2</v>
      </c>
      <c r="FA73" s="32">
        <v>34.39931365269733</v>
      </c>
      <c r="FB73" s="32">
        <v>65.60068634730267</v>
      </c>
      <c r="FC73" s="32">
        <v>83.208970433266231</v>
      </c>
      <c r="FD73" s="32">
        <v>75.977323360653216</v>
      </c>
      <c r="FE73" s="32">
        <v>0.34803553307130553</v>
      </c>
      <c r="FF73" s="32">
        <v>2.7343670446575481</v>
      </c>
      <c r="FG73" s="69"/>
      <c r="FH73" s="32">
        <v>1039.9859769999998</v>
      </c>
      <c r="FI73" s="32">
        <v>20.883252550200801</v>
      </c>
      <c r="FJ73" s="32">
        <v>0.114</v>
      </c>
      <c r="FK73" s="32">
        <v>1039.9859769999998</v>
      </c>
      <c r="FL73" s="32">
        <v>20.883252550200801</v>
      </c>
      <c r="FM73" s="32">
        <v>0.114</v>
      </c>
      <c r="FN73" s="32">
        <v>644.81980236915899</v>
      </c>
      <c r="FO73" s="32">
        <v>12.948188802593554</v>
      </c>
      <c r="FP73" s="32">
        <v>219.96338933644856</v>
      </c>
      <c r="FQ73" s="32">
        <v>4.4169355288443484</v>
      </c>
      <c r="FR73" s="32">
        <v>432.39159585280379</v>
      </c>
      <c r="FS73" s="32">
        <v>8.6825621657189522</v>
      </c>
      <c r="FT73" s="32">
        <v>0.21299999999999999</v>
      </c>
      <c r="FU73" s="32">
        <v>4.8000000000000001E-2</v>
      </c>
      <c r="FV73" s="32">
        <v>27.987635077267218</v>
      </c>
      <c r="FW73" s="32">
        <v>72.0123649227328</v>
      </c>
      <c r="FX73" s="32">
        <v>71.563983284587479</v>
      </c>
      <c r="FY73" s="32">
        <v>98.705418665353946</v>
      </c>
      <c r="FZ73" s="32">
        <v>0.3110027507457685</v>
      </c>
      <c r="GA73" s="32">
        <v>3.3439767799679174</v>
      </c>
      <c r="GB73" s="69"/>
      <c r="GC73" s="32">
        <v>21.948860594902399</v>
      </c>
      <c r="GD73" s="32">
        <v>8.8699722600718793</v>
      </c>
      <c r="GE73" s="32">
        <v>-43.835616438356155</v>
      </c>
      <c r="GF73" s="32">
        <v>-22.500000000000007</v>
      </c>
      <c r="GG73" s="32">
        <v>-20.554550930780092</v>
      </c>
      <c r="GH73" s="69"/>
      <c r="GI73" s="32">
        <v>1399.361748</v>
      </c>
      <c r="GJ73" s="32">
        <v>28.099633493975904</v>
      </c>
      <c r="GK73" s="32">
        <v>3.1E-2</v>
      </c>
      <c r="GL73" s="32">
        <v>1437.1243140000001</v>
      </c>
      <c r="GM73" s="32">
        <v>28.857917951807234</v>
      </c>
      <c r="GN73" s="32">
        <v>5.1999999999999998E-2</v>
      </c>
      <c r="GO73" s="32">
        <v>920.47750830434779</v>
      </c>
      <c r="GP73" s="32">
        <v>18.483484102496945</v>
      </c>
      <c r="GQ73" s="32">
        <v>92.600483999999994</v>
      </c>
      <c r="GR73" s="32">
        <v>1.859447469879518</v>
      </c>
      <c r="GS73" s="32">
        <v>506.53899615217392</v>
      </c>
      <c r="GT73" s="32">
        <v>10.171465786188232</v>
      </c>
      <c r="GU73" s="32">
        <v>163.8253202121212</v>
      </c>
      <c r="GV73" s="32">
        <v>3.2896650645004257</v>
      </c>
      <c r="GW73" s="32">
        <v>865.33843473737352</v>
      </c>
      <c r="GX73" s="32">
        <v>17.376273789907099</v>
      </c>
      <c r="GY73" s="32">
        <v>9.0999999999999998E-2</v>
      </c>
      <c r="GZ73" s="32">
        <v>-88.20102330769231</v>
      </c>
      <c r="HA73" s="8">
        <v>-1.7711048856966329</v>
      </c>
      <c r="HB73" s="32">
        <v>1060.4459258205127</v>
      </c>
      <c r="HC73" s="32">
        <v>0.28719114406343305</v>
      </c>
      <c r="HD73" s="32">
        <v>4.5999999999999999E-2</v>
      </c>
      <c r="HE73" s="32">
        <v>40638.774847999994</v>
      </c>
      <c r="HF73" s="32">
        <v>85111.452778000006</v>
      </c>
      <c r="HG73" s="32">
        <v>0.13700000000000001</v>
      </c>
      <c r="HH73" s="32">
        <v>0.111</v>
      </c>
      <c r="HI73" s="32">
        <v>66.423357664233578</v>
      </c>
      <c r="HJ73" s="32">
        <v>8.3746581495740831</v>
      </c>
      <c r="HK73" s="32">
        <v>8.7923854951178413</v>
      </c>
      <c r="HL73" s="32">
        <v>15.555160264238898</v>
      </c>
      <c r="HM73" s="32">
        <v>87.399036624877269</v>
      </c>
      <c r="HN73" s="32">
        <v>8.3746581495740831</v>
      </c>
      <c r="HO73" s="32">
        <v>29.576467231236975</v>
      </c>
      <c r="HP73" s="32">
        <v>15.555160264238898</v>
      </c>
      <c r="HQ73" s="32">
        <v>21.969317077627732</v>
      </c>
      <c r="HR73" s="32">
        <v>66.423357664233578</v>
      </c>
      <c r="HS73" s="32" t="s">
        <v>34</v>
      </c>
      <c r="HT73" s="32" t="s">
        <v>34</v>
      </c>
      <c r="HU73" s="32" t="s">
        <v>34</v>
      </c>
      <c r="HV73" s="32" t="s">
        <v>34</v>
      </c>
      <c r="HW73" s="17" t="s">
        <v>34</v>
      </c>
      <c r="HX73" s="69"/>
      <c r="HY73" s="32">
        <v>1434.9783419999999</v>
      </c>
      <c r="HZ73" s="32">
        <v>28.814826144578312</v>
      </c>
      <c r="IA73" s="32">
        <v>3.6999999999999998E-2</v>
      </c>
      <c r="IB73" s="32">
        <v>1526.0846350000002</v>
      </c>
      <c r="IC73" s="32">
        <v>30.64426977911647</v>
      </c>
      <c r="ID73" s="32">
        <v>0.06</v>
      </c>
      <c r="IE73" s="32">
        <v>934.2413724748202</v>
      </c>
      <c r="IF73" s="32">
        <v>18.759866917165066</v>
      </c>
      <c r="IG73" s="32">
        <v>58.215278985611512</v>
      </c>
      <c r="IH73" s="32">
        <v>1.1689815057351709</v>
      </c>
      <c r="II73" s="32">
        <v>496.22832573021583</v>
      </c>
      <c r="IJ73" s="32">
        <v>9.9644242114501171</v>
      </c>
      <c r="IK73" s="32">
        <v>168.98573245238097</v>
      </c>
      <c r="IL73" s="32">
        <v>3.393287800248614</v>
      </c>
      <c r="IM73" s="32">
        <v>836.53246704761909</v>
      </c>
      <c r="IN73" s="32">
        <v>16.797840703767452</v>
      </c>
      <c r="IO73" s="32">
        <v>8.3000000000000004E-2</v>
      </c>
      <c r="IP73" s="32">
        <v>-110.96141358181819</v>
      </c>
      <c r="IQ73" s="8">
        <v>-2.2281408349762692</v>
      </c>
      <c r="IR73" s="32">
        <v>1083.4695189454544</v>
      </c>
      <c r="IS73" s="32">
        <v>0.37972183242059143</v>
      </c>
      <c r="IT73" s="32">
        <v>5.3999999999999999E-2</v>
      </c>
      <c r="IU73" s="32">
        <v>58827.645991500001</v>
      </c>
      <c r="IV73" s="32">
        <v>70270.972429000016</v>
      </c>
      <c r="IW73" s="32">
        <v>0.13800000000000001</v>
      </c>
      <c r="IX73" s="32">
        <v>0.111</v>
      </c>
      <c r="IY73" s="32">
        <v>60.144927536231883</v>
      </c>
      <c r="IZ73" s="32">
        <v>5.3889671356265589</v>
      </c>
      <c r="JA73" s="32">
        <v>10.271657570564567</v>
      </c>
      <c r="JB73" s="32">
        <v>15.642947598013606</v>
      </c>
      <c r="JC73" s="32">
        <v>86.482382988387087</v>
      </c>
      <c r="JD73" s="32">
        <v>5.3889671356265589</v>
      </c>
      <c r="JE73" s="32">
        <v>10.271657570564567</v>
      </c>
      <c r="JF73" s="32">
        <v>15.642947598013606</v>
      </c>
      <c r="JG73" s="32">
        <v>0.2064513578675489</v>
      </c>
      <c r="JH73" s="32">
        <v>7.391981582310911</v>
      </c>
      <c r="JI73" s="69"/>
      <c r="JJ73" s="32">
        <v>1.4841994992459664</v>
      </c>
      <c r="JK73" s="32">
        <v>22.856107436316098</v>
      </c>
      <c r="JL73" s="32">
        <v>3.1011062877541185</v>
      </c>
      <c r="JM73" s="32">
        <v>6.0043231868627842</v>
      </c>
      <c r="JN73" s="32">
        <v>14.285714285714288</v>
      </c>
      <c r="JO73" s="32">
        <v>2.5132195057086362</v>
      </c>
      <c r="JP73" s="32">
        <v>0.72727272727272785</v>
      </c>
      <c r="JQ73" s="32">
        <v>125.46209499695593</v>
      </c>
      <c r="JR73" s="32">
        <v>47.998501244695895</v>
      </c>
      <c r="JS73" s="32">
        <v>20.347176884296353</v>
      </c>
      <c r="JT73" s="32">
        <v>0.56277344871240964</v>
      </c>
      <c r="JU73" s="69"/>
      <c r="JV73" s="32">
        <v>926.89657599999987</v>
      </c>
      <c r="JW73" s="32">
        <v>18.612381044176704</v>
      </c>
      <c r="JX73" s="32">
        <v>0.16900000000000001</v>
      </c>
      <c r="JY73" s="32">
        <v>511.68041087179478</v>
      </c>
      <c r="JZ73" s="32">
        <v>10.274707045618369</v>
      </c>
      <c r="KA73" s="32">
        <v>247.64887150915749</v>
      </c>
      <c r="KB73" s="32">
        <v>4.9728689058063757</v>
      </c>
      <c r="KC73" s="32">
        <v>379.66464119047612</v>
      </c>
      <c r="KD73" s="32">
        <v>7.6237879757123723</v>
      </c>
      <c r="KE73" s="32">
        <v>0.27200000000000002</v>
      </c>
      <c r="KF73" s="32">
        <v>4.5999999999999999E-2</v>
      </c>
      <c r="KG73" s="32">
        <v>35.534145481230013</v>
      </c>
      <c r="KH73" s="32">
        <v>64.465854518770001</v>
      </c>
      <c r="KI73" s="32">
        <v>55.13459865320354</v>
      </c>
      <c r="KJ73" s="32">
        <v>91.357991307092121</v>
      </c>
      <c r="KK73" s="32">
        <v>0.36676636188582712</v>
      </c>
      <c r="KL73" s="32">
        <v>2.5272126135944251</v>
      </c>
      <c r="KM73" s="69"/>
      <c r="KN73" s="32">
        <v>1051.6357720000003</v>
      </c>
      <c r="KO73" s="32">
        <v>21.117184176706836</v>
      </c>
      <c r="KP73" s="32">
        <v>0.108</v>
      </c>
      <c r="KQ73" s="32">
        <v>1051.6357720000003</v>
      </c>
      <c r="KR73" s="32">
        <v>21.117184176706836</v>
      </c>
      <c r="KS73" s="32">
        <v>0.108</v>
      </c>
      <c r="KT73" s="32">
        <v>674.06076370183496</v>
      </c>
      <c r="KU73" s="32">
        <v>13.53535670084006</v>
      </c>
      <c r="KV73" s="32">
        <v>195.36264788073396</v>
      </c>
      <c r="KW73" s="32">
        <v>3.9229447365609231</v>
      </c>
      <c r="KX73" s="32">
        <v>434.71170579128443</v>
      </c>
      <c r="KY73" s="32">
        <v>8.7291507187004918</v>
      </c>
      <c r="KZ73" s="32">
        <v>0.217</v>
      </c>
      <c r="LA73" s="32">
        <v>4.5999999999999999E-2</v>
      </c>
      <c r="LB73" s="32">
        <v>26.754596485115098</v>
      </c>
      <c r="LC73" s="32">
        <v>73.245403514884913</v>
      </c>
      <c r="LD73" s="32">
        <v>88.268129599545972</v>
      </c>
      <c r="LE73" s="32">
        <v>98.935552117957954</v>
      </c>
      <c r="LF73" s="32">
        <v>0.3433630378997829</v>
      </c>
      <c r="LG73" s="32">
        <v>3.0627518280139996</v>
      </c>
      <c r="LH73" s="69"/>
      <c r="LI73" s="32">
        <v>27.388835997607845</v>
      </c>
      <c r="LJ73" s="32">
        <v>12.60926525928101</v>
      </c>
      <c r="LK73" s="32">
        <v>-44.04332129963899</v>
      </c>
      <c r="LL73" s="32">
        <v>-22.494887525562383</v>
      </c>
      <c r="LM73" s="32">
        <v>-28.189842077268295</v>
      </c>
      <c r="LN73" s="69"/>
      <c r="LO73" s="32">
        <v>1338.1372879999999</v>
      </c>
      <c r="LP73" s="32">
        <v>26.870226666666667</v>
      </c>
      <c r="LQ73" s="32">
        <v>3.3000000000000002E-2</v>
      </c>
      <c r="LR73" s="32">
        <v>1459.1615359999998</v>
      </c>
      <c r="LS73" s="32">
        <v>29.300432449799196</v>
      </c>
      <c r="LT73" s="32">
        <v>5.8999999999999997E-2</v>
      </c>
      <c r="LU73" s="32">
        <v>911.61406778911567</v>
      </c>
      <c r="LV73" s="32">
        <v>18.305503369259352</v>
      </c>
      <c r="LW73" s="32">
        <v>83.576428544217706</v>
      </c>
      <c r="LX73" s="32">
        <v>1.6782415370324841</v>
      </c>
      <c r="LY73" s="32">
        <v>497.59524816666669</v>
      </c>
      <c r="LZ73" s="32">
        <v>9.991872453145918</v>
      </c>
      <c r="MA73" s="32">
        <v>172.25174237623759</v>
      </c>
      <c r="MB73" s="32">
        <v>3.4588703288401126</v>
      </c>
      <c r="MC73" s="32">
        <v>857.64340190098994</v>
      </c>
      <c r="MD73" s="32">
        <v>17.22175505825281</v>
      </c>
      <c r="ME73" s="32">
        <v>9.8000000000000004E-2</v>
      </c>
      <c r="MF73" s="32">
        <v>-111.12371704347825</v>
      </c>
      <c r="MG73" s="8">
        <v>-2.2313999406320937</v>
      </c>
      <c r="MH73" s="32">
        <v>1030.114877673913</v>
      </c>
      <c r="MI73" s="32">
        <v>1.3529375589313779</v>
      </c>
      <c r="MJ73" s="32">
        <v>4.8000000000000001E-2</v>
      </c>
      <c r="MK73" s="32">
        <v>46661.465372500003</v>
      </c>
      <c r="ML73" s="32">
        <v>86076.175348999997</v>
      </c>
      <c r="MM73" s="32">
        <v>0.14599999999999999</v>
      </c>
      <c r="MN73" s="32">
        <v>0.106</v>
      </c>
      <c r="MO73" s="32">
        <v>67.123287671232873</v>
      </c>
      <c r="MP73" s="32">
        <v>10.073582276689748</v>
      </c>
      <c r="MQ73" s="32">
        <v>7.5763666994927057</v>
      </c>
      <c r="MR73" s="32">
        <v>15.614957322308474</v>
      </c>
      <c r="MS73" s="32">
        <v>82.639598105492254</v>
      </c>
      <c r="MT73" s="32">
        <v>10.073582276689748</v>
      </c>
      <c r="MU73" s="32">
        <v>29.575004200992932</v>
      </c>
      <c r="MV73" s="32">
        <v>15.614957322308474</v>
      </c>
      <c r="MW73" s="32">
        <v>20.617048448366489</v>
      </c>
      <c r="MX73" s="32" t="s">
        <v>34</v>
      </c>
      <c r="MY73" s="32" t="s">
        <v>34</v>
      </c>
      <c r="MZ73" s="32" t="s">
        <v>34</v>
      </c>
      <c r="NA73" s="32" t="s">
        <v>34</v>
      </c>
      <c r="NB73" s="17" t="s">
        <v>34</v>
      </c>
      <c r="NC73" s="69"/>
      <c r="ND73" s="32">
        <v>1279.3474119999998</v>
      </c>
      <c r="NE73" s="32">
        <v>25.689707068273091</v>
      </c>
      <c r="NF73" s="32">
        <v>3.7999999999999999E-2</v>
      </c>
      <c r="NG73" s="32">
        <v>1381.52638</v>
      </c>
      <c r="NH73" s="32">
        <v>27.741493574297191</v>
      </c>
      <c r="NI73" s="32">
        <v>6.4000000000000001E-2</v>
      </c>
      <c r="NJ73" s="32">
        <v>855.72347403225774</v>
      </c>
      <c r="NK73" s="32">
        <v>17.183202289804374</v>
      </c>
      <c r="NL73" s="32">
        <v>56.202114438709678</v>
      </c>
      <c r="NM73" s="32">
        <v>1.1285565148335277</v>
      </c>
      <c r="NN73" s="32">
        <v>455.96279423548373</v>
      </c>
      <c r="NO73" s="32">
        <v>9.1558794023189503</v>
      </c>
      <c r="NP73" s="32">
        <v>162.44247474468088</v>
      </c>
      <c r="NQ73" s="32">
        <v>3.2618970832265237</v>
      </c>
      <c r="NR73" s="32">
        <v>757.49483164893604</v>
      </c>
      <c r="NS73" s="32">
        <v>15.210739591344097</v>
      </c>
      <c r="NT73" s="32">
        <v>9.2999999999999999E-2</v>
      </c>
      <c r="NU73" s="32">
        <v>-107.51253914754098</v>
      </c>
      <c r="NV73" s="8">
        <v>-2.1588863282638751</v>
      </c>
      <c r="NW73" s="32">
        <v>1007.0922016393442</v>
      </c>
      <c r="NX73" s="32">
        <v>-0.58951196523800131</v>
      </c>
      <c r="NY73" s="32">
        <v>0.154</v>
      </c>
      <c r="NZ73" s="32">
        <v>61435.275254500004</v>
      </c>
      <c r="OA73" s="32">
        <v>71104.327898999982</v>
      </c>
      <c r="OB73" s="32">
        <v>0.154</v>
      </c>
      <c r="OC73" s="32">
        <v>0.106</v>
      </c>
      <c r="OD73" s="32">
        <v>60.389610389610397</v>
      </c>
      <c r="OE73" s="32">
        <v>5.6396775736946685</v>
      </c>
      <c r="OF73" s="32">
        <v>10.788491891752351</v>
      </c>
      <c r="OG73" s="32">
        <v>16.300510950208164</v>
      </c>
      <c r="OH73" s="32">
        <v>85.868735259893825</v>
      </c>
      <c r="OI73" s="32">
        <v>5.6396775736946685</v>
      </c>
      <c r="OJ73" s="32">
        <v>10.788491891752351</v>
      </c>
      <c r="OK73" s="32">
        <v>16.300510950208164</v>
      </c>
      <c r="OL73" s="32">
        <v>0.2407314188703083</v>
      </c>
      <c r="OM73" s="32">
        <v>5.7388702583283644</v>
      </c>
      <c r="ON73" s="69"/>
      <c r="OO73" s="32">
        <v>-6.3248352320132897</v>
      </c>
      <c r="OP73" s="32">
        <v>-3.303366018838378</v>
      </c>
      <c r="OQ73" s="32">
        <v>-5.8616295889049148</v>
      </c>
      <c r="OR73" s="32">
        <v>-5.4659405253723641</v>
      </c>
      <c r="OS73" s="32">
        <v>8.1300813008130142</v>
      </c>
      <c r="OT73" s="32">
        <v>-4.4920893711432237</v>
      </c>
      <c r="OU73" s="32">
        <v>5.3333333333333384</v>
      </c>
      <c r="OV73" s="32">
        <v>107.55335992603787</v>
      </c>
      <c r="OW73" s="32">
        <v>29.308151301024004</v>
      </c>
      <c r="OX73" s="32">
        <v>6.8536772450367422</v>
      </c>
      <c r="OY73" s="32">
        <v>4.2960587138872768</v>
      </c>
    </row>
    <row r="74" spans="1:415" ht="15.75" x14ac:dyDescent="0.25">
      <c r="A74" s="10">
        <v>73</v>
      </c>
      <c r="B74" s="3" t="s">
        <v>398</v>
      </c>
      <c r="C74" s="3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9"/>
      <c r="K74" s="32">
        <v>1084.5472750000001</v>
      </c>
      <c r="L74" s="32">
        <v>16.187272761194031</v>
      </c>
      <c r="M74" s="32">
        <v>0.186</v>
      </c>
      <c r="N74" s="32">
        <v>664.3354329055943</v>
      </c>
      <c r="O74" s="32">
        <v>9.9154542224715563</v>
      </c>
      <c r="P74" s="32">
        <v>355.45967091608401</v>
      </c>
      <c r="Q74" s="32">
        <v>5.3053682226281191</v>
      </c>
      <c r="R74" s="32">
        <v>509.89755191083918</v>
      </c>
      <c r="S74" s="32">
        <v>7.6104112225498382</v>
      </c>
      <c r="T74" s="32">
        <v>0.28499999999999998</v>
      </c>
      <c r="U74" s="32">
        <v>4.1000000000000002E-2</v>
      </c>
      <c r="V74" s="32">
        <v>33.210986107267402</v>
      </c>
      <c r="W74" s="32">
        <v>64.646330486333255</v>
      </c>
      <c r="X74" s="32">
        <v>86.592179636273954</v>
      </c>
      <c r="Y74" s="32">
        <v>98.963432715836106</v>
      </c>
      <c r="Z74" s="32">
        <v>0.38735127458599766</v>
      </c>
      <c r="AA74" s="32">
        <v>2.799906302513572</v>
      </c>
      <c r="AB74" s="69"/>
      <c r="AC74" s="32">
        <v>547.4312809999999</v>
      </c>
      <c r="AD74" s="32">
        <v>8.1706161343283572</v>
      </c>
      <c r="AE74" s="32">
        <v>2.1999999999999999E-2</v>
      </c>
      <c r="AF74" s="32">
        <v>1143.3371669999999</v>
      </c>
      <c r="AG74" s="32">
        <v>17.064733835820896</v>
      </c>
      <c r="AH74" s="32">
        <v>0.109</v>
      </c>
      <c r="AI74" s="32">
        <v>791.75475027149298</v>
      </c>
      <c r="AJ74" s="32">
        <v>11.817235078678999</v>
      </c>
      <c r="AK74" s="32">
        <v>253.93404879185522</v>
      </c>
      <c r="AL74" s="32">
        <v>3.7900604297291824</v>
      </c>
      <c r="AM74" s="32">
        <v>522.84439953167407</v>
      </c>
      <c r="AN74" s="32">
        <v>7.803647754204091</v>
      </c>
      <c r="AO74" s="32">
        <v>0.22</v>
      </c>
      <c r="AP74" s="32">
        <v>4.1000000000000002E-2</v>
      </c>
      <c r="AQ74" s="32">
        <v>27.104357617909717</v>
      </c>
      <c r="AR74" s="32">
        <v>72.895642382090273</v>
      </c>
      <c r="AS74" s="32">
        <v>59.842499744572933</v>
      </c>
      <c r="AT74" s="32">
        <v>98.987814670722344</v>
      </c>
      <c r="AU74" s="32">
        <v>0.31641740990248668</v>
      </c>
      <c r="AV74" s="32">
        <v>3.6133826117606889</v>
      </c>
      <c r="AW74" s="69"/>
      <c r="AX74" s="32">
        <v>17.501569454699382</v>
      </c>
      <c r="AY74" s="32">
        <v>5.2776428518189524</v>
      </c>
      <c r="AZ74" s="32">
        <v>-52.20338983050847</v>
      </c>
      <c r="BA74" s="32">
        <v>-25.742574257425733</v>
      </c>
      <c r="BB74" s="32">
        <v>-20.249005019956897</v>
      </c>
      <c r="BC74" s="69"/>
      <c r="BD74" s="32">
        <v>1746.4385479999999</v>
      </c>
      <c r="BE74" s="32">
        <v>26.066246985074624</v>
      </c>
      <c r="BF74" s="32">
        <v>2.8000000000000001E-2</v>
      </c>
      <c r="BG74" s="32">
        <v>1746.4385479999999</v>
      </c>
      <c r="BH74" s="32">
        <v>26.066246985074624</v>
      </c>
      <c r="BI74" s="32">
        <v>2.8000000000000001E-2</v>
      </c>
      <c r="BJ74" s="32">
        <v>1131.1482417123291</v>
      </c>
      <c r="BK74" s="32">
        <v>16.882809577795957</v>
      </c>
      <c r="BL74" s="32">
        <v>135.32656052739725</v>
      </c>
      <c r="BM74" s="32">
        <v>2.0197994108566752</v>
      </c>
      <c r="BN74" s="32">
        <v>633.23740111986319</v>
      </c>
      <c r="BO74" s="32">
        <v>9.4513044943263171</v>
      </c>
      <c r="BP74" s="32">
        <v>233.18266714150946</v>
      </c>
      <c r="BQ74" s="32">
        <v>3.4803383155449175</v>
      </c>
      <c r="BR74" s="32">
        <v>1082.6168252735849</v>
      </c>
      <c r="BS74" s="32">
        <v>16.158460078710224</v>
      </c>
      <c r="BT74" s="32">
        <v>9.2999999999999999E-2</v>
      </c>
      <c r="BU74" s="32">
        <v>-123.99212199999997</v>
      </c>
      <c r="BV74" s="8">
        <v>-1.8506286865671637</v>
      </c>
      <c r="BW74" s="32">
        <v>1259.7564952750001</v>
      </c>
      <c r="BX74" s="32" t="s">
        <v>34</v>
      </c>
      <c r="BY74" s="32">
        <v>5.1999999999999998E-2</v>
      </c>
      <c r="BZ74" s="32">
        <v>49596.975002499996</v>
      </c>
      <c r="CA74" s="32">
        <v>114052.46380649999</v>
      </c>
      <c r="CB74" s="32">
        <v>0.14499999999999999</v>
      </c>
      <c r="CC74" s="32">
        <v>0.10299999999999999</v>
      </c>
      <c r="CD74" s="32">
        <v>64.137931034482762</v>
      </c>
      <c r="CE74" s="32">
        <v>8.947291600704725</v>
      </c>
      <c r="CF74" s="32">
        <v>9.7651865201487702</v>
      </c>
      <c r="CG74" s="32">
        <v>16.826499018584052</v>
      </c>
      <c r="CH74" s="32">
        <v>81.623840280954624</v>
      </c>
      <c r="CI74" s="32">
        <v>8.947291600704725</v>
      </c>
      <c r="CJ74" s="32">
        <v>30.392220073675634</v>
      </c>
      <c r="CK74" s="32">
        <v>16.826499018584052</v>
      </c>
      <c r="CL74" s="32">
        <v>23.208595876329841</v>
      </c>
      <c r="CM74" s="32" t="s">
        <v>34</v>
      </c>
      <c r="CN74" s="32" t="s">
        <v>34</v>
      </c>
      <c r="CO74" s="32" t="s">
        <v>34</v>
      </c>
      <c r="CP74" s="32" t="s">
        <v>34</v>
      </c>
      <c r="CQ74" s="17" t="s">
        <v>34</v>
      </c>
      <c r="CR74" s="69"/>
      <c r="CS74" s="32">
        <v>1720.9208699999999</v>
      </c>
      <c r="CT74" s="32">
        <v>25.685386119402985</v>
      </c>
      <c r="CU74" s="32">
        <v>2.5000000000000001E-2</v>
      </c>
      <c r="CV74" s="32">
        <v>1720.9208699999999</v>
      </c>
      <c r="CW74" s="32">
        <v>25.685386119402985</v>
      </c>
      <c r="CX74" s="32">
        <v>2.5000000000000001E-2</v>
      </c>
      <c r="CY74" s="32">
        <v>1051.061412019737</v>
      </c>
      <c r="CZ74" s="32">
        <v>15.687483761488611</v>
      </c>
      <c r="DA74" s="32">
        <v>104.9614083618421</v>
      </c>
      <c r="DB74" s="32">
        <v>1.566588184505106</v>
      </c>
      <c r="DC74" s="32">
        <v>578.01141019078955</v>
      </c>
      <c r="DD74" s="32">
        <v>8.6270359729968593</v>
      </c>
      <c r="DE74" s="32">
        <v>204.53766324999998</v>
      </c>
      <c r="DF74" s="32">
        <v>3.0528009440298502</v>
      </c>
      <c r="DG74" s="32">
        <v>966.39425934259259</v>
      </c>
      <c r="DH74" s="32">
        <v>14.423794915561084</v>
      </c>
      <c r="DI74" s="32">
        <v>9.4E-2</v>
      </c>
      <c r="DJ74" s="32">
        <v>-139.45303545454544</v>
      </c>
      <c r="DK74" s="8">
        <v>-2.0813885888738124</v>
      </c>
      <c r="DL74" s="32">
        <v>1258.8807867727273</v>
      </c>
      <c r="DM74" s="32">
        <v>-1.7454709701492537</v>
      </c>
      <c r="DN74" s="32">
        <v>0.15</v>
      </c>
      <c r="DO74" s="32">
        <v>55384.325599999996</v>
      </c>
      <c r="DP74" s="32">
        <v>104370.96773450001</v>
      </c>
      <c r="DQ74" s="32">
        <v>0.151</v>
      </c>
      <c r="DR74" s="32">
        <v>0.10299999999999999</v>
      </c>
      <c r="DS74" s="32">
        <v>62.25165562913908</v>
      </c>
      <c r="DT74" s="32">
        <v>8.4868132215278571</v>
      </c>
      <c r="DU74" s="32">
        <v>11.275685831099096</v>
      </c>
      <c r="DV74" s="32">
        <v>16.538201724449948</v>
      </c>
      <c r="DW74" s="32">
        <v>84.98515813941475</v>
      </c>
      <c r="DX74" s="32">
        <v>8.4868132215278571</v>
      </c>
      <c r="DY74" s="32">
        <v>11.275685831099096</v>
      </c>
      <c r="DZ74" s="32">
        <v>16.538201724449948</v>
      </c>
      <c r="EA74" s="32">
        <v>0.22048815839913985</v>
      </c>
      <c r="EB74" s="32">
        <v>7.8050489536254091</v>
      </c>
      <c r="EC74" s="69"/>
      <c r="ED74" s="32">
        <v>-7.339975749408473</v>
      </c>
      <c r="EE74" s="32">
        <v>11.737481610162515</v>
      </c>
      <c r="EF74" s="32">
        <v>-13.088267509022748</v>
      </c>
      <c r="EG74" s="32">
        <v>-1.4718796019547766</v>
      </c>
      <c r="EH74" s="32">
        <v>-11.320754716981128</v>
      </c>
      <c r="EI74" s="32">
        <v>-1.4718796019547766</v>
      </c>
      <c r="EJ74" s="32">
        <v>4.0540540540540579</v>
      </c>
      <c r="EK74" s="32">
        <v>123.79758848702687</v>
      </c>
      <c r="EL74" s="32">
        <v>14.008035466950778</v>
      </c>
      <c r="EM74" s="32">
        <v>23.027214842584005</v>
      </c>
      <c r="EN74" s="32">
        <v>-1.7281575300464549</v>
      </c>
      <c r="EO74" s="69"/>
      <c r="EP74" s="32">
        <v>1031.5822689999998</v>
      </c>
      <c r="EQ74" s="32">
        <v>15.396750283582087</v>
      </c>
      <c r="ER74" s="32">
        <v>0.16500000000000001</v>
      </c>
      <c r="ES74" s="32">
        <v>674.67791849999992</v>
      </c>
      <c r="ET74" s="32">
        <v>10.069819679104477</v>
      </c>
      <c r="EU74" s="32">
        <v>332.39125370652175</v>
      </c>
      <c r="EV74" s="32">
        <v>4.9610634881570412</v>
      </c>
      <c r="EW74" s="32">
        <v>503.53458610326084</v>
      </c>
      <c r="EX74" s="32">
        <v>7.5154415836307589</v>
      </c>
      <c r="EY74" s="32">
        <v>0.27500000000000002</v>
      </c>
      <c r="EZ74" s="32">
        <v>2.5999999999999999E-2</v>
      </c>
      <c r="FA74" s="32">
        <v>32.975363809454528</v>
      </c>
      <c r="FB74" s="32">
        <v>67.024636190545465</v>
      </c>
      <c r="FC74" s="32">
        <v>74.342104063112785</v>
      </c>
      <c r="FD74" s="32">
        <v>85.837904168374337</v>
      </c>
      <c r="FE74" s="32">
        <v>0.38589716541704439</v>
      </c>
      <c r="FF74" s="32">
        <v>2.6732050956766025</v>
      </c>
      <c r="FG74" s="69"/>
      <c r="FH74" s="32">
        <v>854.90602100000001</v>
      </c>
      <c r="FI74" s="32">
        <v>12.759791358208956</v>
      </c>
      <c r="FJ74" s="32">
        <v>4.2000000000000003E-2</v>
      </c>
      <c r="FK74" s="32">
        <v>1074.376244</v>
      </c>
      <c r="FL74" s="32">
        <v>16.035466328358211</v>
      </c>
      <c r="FM74" s="32">
        <v>0.13500000000000001</v>
      </c>
      <c r="FN74" s="32">
        <v>738.39171209328367</v>
      </c>
      <c r="FO74" s="32">
        <v>11.020771822287816</v>
      </c>
      <c r="FP74" s="32">
        <v>200.29125872014924</v>
      </c>
      <c r="FQ74" s="32">
        <v>2.989421771942526</v>
      </c>
      <c r="FR74" s="32">
        <v>469.34148540671646</v>
      </c>
      <c r="FS74" s="32">
        <v>7.0050967971151712</v>
      </c>
      <c r="FT74" s="32">
        <v>0.26700000000000002</v>
      </c>
      <c r="FU74" s="32">
        <v>2.5999999999999999E-2</v>
      </c>
      <c r="FV74" s="32">
        <v>23.334290824134598</v>
      </c>
      <c r="FW74" s="32">
        <v>76.665709175865402</v>
      </c>
      <c r="FX74" s="32">
        <v>67.19999396685229</v>
      </c>
      <c r="FY74" s="32">
        <v>100</v>
      </c>
      <c r="FZ74" s="32">
        <v>0.42762838606151432</v>
      </c>
      <c r="GA74" s="32">
        <v>2.5124062831634641</v>
      </c>
      <c r="GB74" s="69"/>
      <c r="GC74" s="32">
        <v>9.0177854245630105</v>
      </c>
      <c r="GD74" s="32">
        <v>4.0640852833362802</v>
      </c>
      <c r="GE74" s="32">
        <v>-19.999999999999996</v>
      </c>
      <c r="GF74" s="32">
        <v>-2.9520295202952052</v>
      </c>
      <c r="GG74" s="32">
        <v>-34.243054936333984</v>
      </c>
      <c r="GH74" s="69"/>
      <c r="GI74" s="32">
        <v>1666.855722</v>
      </c>
      <c r="GJ74" s="32">
        <v>24.878443611940298</v>
      </c>
      <c r="GK74" s="32">
        <v>1.4999999999999999E-2</v>
      </c>
      <c r="GL74" s="32">
        <v>1666.855722</v>
      </c>
      <c r="GM74" s="32">
        <v>24.878443611940298</v>
      </c>
      <c r="GN74" s="32">
        <v>1.4999999999999999E-2</v>
      </c>
      <c r="GO74" s="32">
        <v>1058.4487691775148</v>
      </c>
      <c r="GP74" s="32">
        <v>15.797742823544997</v>
      </c>
      <c r="GQ74" s="32">
        <v>73.249512005917154</v>
      </c>
      <c r="GR74" s="32">
        <v>1.0932762985957785</v>
      </c>
      <c r="GS74" s="32">
        <v>565.84914059171592</v>
      </c>
      <c r="GT74" s="32">
        <v>8.4455095610703861</v>
      </c>
      <c r="GU74" s="32">
        <v>188.9769093611111</v>
      </c>
      <c r="GV74" s="32">
        <v>2.8205508859867328</v>
      </c>
      <c r="GW74" s="32">
        <v>948.79569712962962</v>
      </c>
      <c r="GX74" s="32">
        <v>14.161129807904919</v>
      </c>
      <c r="GY74" s="32">
        <v>9.9000000000000005E-2</v>
      </c>
      <c r="GZ74" s="32">
        <v>-131.64489642622951</v>
      </c>
      <c r="HA74" s="8">
        <v>-1.9648492003914853</v>
      </c>
      <c r="HB74" s="32">
        <v>1252.5886344426231</v>
      </c>
      <c r="HC74" s="32">
        <v>1.3837639784683144</v>
      </c>
      <c r="HD74" s="32">
        <v>6.9000000000000006E-2</v>
      </c>
      <c r="HE74" s="32">
        <v>75626.506074000004</v>
      </c>
      <c r="HF74" s="32">
        <v>101731.68932450001</v>
      </c>
      <c r="HG74" s="32">
        <v>0.16800000000000001</v>
      </c>
      <c r="HH74" s="32">
        <v>0.10100000000000001</v>
      </c>
      <c r="HI74" s="32">
        <v>58.928571428571431</v>
      </c>
      <c r="HJ74" s="32">
        <v>10.421210261178356</v>
      </c>
      <c r="HK74" s="32">
        <v>5.7985427985818827</v>
      </c>
      <c r="HL74" s="32">
        <v>14.959699619372389</v>
      </c>
      <c r="HM74" s="32">
        <v>83.788414695327234</v>
      </c>
      <c r="HN74" s="32">
        <v>10.421210261178356</v>
      </c>
      <c r="HO74" s="32">
        <v>28.163216665741093</v>
      </c>
      <c r="HP74" s="32">
        <v>14.959699619372389</v>
      </c>
      <c r="HQ74" s="32">
        <v>21.169743704587962</v>
      </c>
      <c r="HR74" s="32">
        <v>58.928571428571431</v>
      </c>
      <c r="HS74" s="32" t="s">
        <v>34</v>
      </c>
      <c r="HT74" s="32" t="s">
        <v>34</v>
      </c>
      <c r="HU74" s="32" t="s">
        <v>34</v>
      </c>
      <c r="HV74" s="32" t="s">
        <v>34</v>
      </c>
      <c r="HW74" s="17" t="s">
        <v>34</v>
      </c>
      <c r="HX74" s="69"/>
      <c r="HY74" s="32">
        <v>1596.1996729999998</v>
      </c>
      <c r="HZ74" s="32">
        <v>23.823875716417909</v>
      </c>
      <c r="IA74" s="32">
        <v>2.9000000000000001E-2</v>
      </c>
      <c r="IB74" s="32">
        <v>1596.1996729999998</v>
      </c>
      <c r="IC74" s="32">
        <v>23.823875716417909</v>
      </c>
      <c r="ID74" s="32">
        <v>2.9000000000000001E-2</v>
      </c>
      <c r="IE74" s="32">
        <v>1056.83481154321</v>
      </c>
      <c r="IF74" s="32">
        <v>15.773653903630001</v>
      </c>
      <c r="IG74" s="32">
        <v>80.113640648148134</v>
      </c>
      <c r="IH74" s="32">
        <v>1.1957259798231066</v>
      </c>
      <c r="II74" s="32">
        <v>568.47422609567911</v>
      </c>
      <c r="IJ74" s="32">
        <v>8.484689941726554</v>
      </c>
      <c r="IK74" s="32">
        <v>185.3107241388889</v>
      </c>
      <c r="IL74" s="32">
        <v>2.7658317035655058</v>
      </c>
      <c r="IM74" s="32">
        <v>947.50645137037043</v>
      </c>
      <c r="IN74" s="32">
        <v>14.141887333886126</v>
      </c>
      <c r="IO74" s="32">
        <v>9.7000000000000003E-2</v>
      </c>
      <c r="IP74" s="32">
        <v>-130.28052633333334</v>
      </c>
      <c r="IQ74" s="8">
        <v>-1.9444854676616916</v>
      </c>
      <c r="IR74" s="32">
        <v>1275.4915318888889</v>
      </c>
      <c r="IS74" s="32">
        <v>-0.59827255583195138</v>
      </c>
      <c r="IT74" s="32">
        <v>6.4000000000000001E-2</v>
      </c>
      <c r="IU74" s="32">
        <v>68126.998621000006</v>
      </c>
      <c r="IV74" s="32">
        <v>101577.82544700001</v>
      </c>
      <c r="IW74" s="32">
        <v>0.161</v>
      </c>
      <c r="IX74" s="32">
        <v>0.10100000000000001</v>
      </c>
      <c r="IY74" s="32">
        <v>60.248447204968947</v>
      </c>
      <c r="IZ74" s="32">
        <v>6.5462903082458723</v>
      </c>
      <c r="JA74" s="32">
        <v>10.645554739357427</v>
      </c>
      <c r="JB74" s="32">
        <v>15.142212832047525</v>
      </c>
      <c r="JC74" s="32">
        <v>86.35667319884918</v>
      </c>
      <c r="JD74" s="32">
        <v>6.5462903082458723</v>
      </c>
      <c r="JE74" s="32">
        <v>10.645554739357427</v>
      </c>
      <c r="JF74" s="32">
        <v>15.142212832047525</v>
      </c>
      <c r="JG74" s="32">
        <v>0.2469877196738974</v>
      </c>
      <c r="JH74" s="32">
        <v>6.4626681646662139</v>
      </c>
      <c r="JI74" s="69"/>
      <c r="JJ74" s="32">
        <v>-0.15259964659253045</v>
      </c>
      <c r="JK74" s="32">
        <v>-1.0418004319867828</v>
      </c>
      <c r="JL74" s="32">
        <v>-1.9590202262037584</v>
      </c>
      <c r="JM74" s="32">
        <v>-4.3306680670065774</v>
      </c>
      <c r="JN74" s="32">
        <v>63.636363636363647</v>
      </c>
      <c r="JO74" s="32">
        <v>-4.3306680670065774</v>
      </c>
      <c r="JP74" s="32">
        <v>-4.2553191489361737</v>
      </c>
      <c r="JQ74" s="32">
        <v>117.54910024640368</v>
      </c>
      <c r="JR74" s="32">
        <v>-12.114339711088048</v>
      </c>
      <c r="JS74" s="32">
        <v>2.1298426993737873</v>
      </c>
      <c r="JT74" s="32">
        <v>1.2126353298627519</v>
      </c>
      <c r="JU74" s="69"/>
      <c r="JV74" s="32">
        <v>966.01169400000003</v>
      </c>
      <c r="JW74" s="32">
        <v>14.418084985074627</v>
      </c>
      <c r="JX74" s="32">
        <v>0.187</v>
      </c>
      <c r="JY74" s="32">
        <v>641.20125842071218</v>
      </c>
      <c r="JZ74" s="32">
        <v>9.570168036130033</v>
      </c>
      <c r="KA74" s="32">
        <v>265.58068679935269</v>
      </c>
      <c r="KB74" s="32">
        <v>3.9638908477515327</v>
      </c>
      <c r="KC74" s="32">
        <v>453.39097261003246</v>
      </c>
      <c r="KD74" s="32">
        <v>6.7670294419407826</v>
      </c>
      <c r="KE74" s="32">
        <v>0.308</v>
      </c>
      <c r="KF74" s="32">
        <v>3.6999999999999998E-2</v>
      </c>
      <c r="KG74" s="32">
        <v>29.831802105261662</v>
      </c>
      <c r="KH74" s="32">
        <v>70.168197894738356</v>
      </c>
      <c r="KI74" s="32">
        <v>41.625776472452628</v>
      </c>
      <c r="KJ74" s="32">
        <v>82.280080498612335</v>
      </c>
      <c r="KK74" s="32">
        <v>0.46609164812129028</v>
      </c>
      <c r="KL74" s="32">
        <v>2.072578854166931</v>
      </c>
      <c r="KM74" s="69"/>
      <c r="KN74" s="32">
        <v>417.73283100000003</v>
      </c>
      <c r="KO74" s="32">
        <v>6.2348183731343285</v>
      </c>
      <c r="KP74" s="32">
        <v>1.4E-2</v>
      </c>
      <c r="KQ74" s="32">
        <v>1194.246318</v>
      </c>
      <c r="KR74" s="32">
        <v>17.824571910447762</v>
      </c>
      <c r="KS74" s="32">
        <v>0.128</v>
      </c>
      <c r="KT74" s="32">
        <v>798.98940994071143</v>
      </c>
      <c r="KU74" s="32">
        <v>11.925215073741962</v>
      </c>
      <c r="KV74" s="32">
        <v>194.28705923715412</v>
      </c>
      <c r="KW74" s="32">
        <v>2.8998068542858824</v>
      </c>
      <c r="KX74" s="32">
        <v>496.63823458893279</v>
      </c>
      <c r="KY74" s="32">
        <v>7.4125109640139222</v>
      </c>
      <c r="KZ74" s="32">
        <v>0.252</v>
      </c>
      <c r="LA74" s="32">
        <v>3.6999999999999998E-2</v>
      </c>
      <c r="LB74" s="32">
        <v>23.203731978047802</v>
      </c>
      <c r="LC74" s="32">
        <v>76.796268021952201</v>
      </c>
      <c r="LD74" s="32">
        <v>75.000000000000028</v>
      </c>
      <c r="LE74" s="32">
        <v>97.693642017476392</v>
      </c>
      <c r="LF74" s="32">
        <v>0.42002799907402882</v>
      </c>
      <c r="LG74" s="32">
        <v>2.8432540702828653</v>
      </c>
      <c r="LH74" s="69"/>
      <c r="LI74" s="32">
        <v>21.912119691696468</v>
      </c>
      <c r="LJ74" s="32">
        <v>21.130311539842115</v>
      </c>
      <c r="LK74" s="32">
        <v>-37.460317460317462</v>
      </c>
      <c r="LL74" s="32">
        <v>-19.999999999999996</v>
      </c>
      <c r="LM74" s="32">
        <v>-24.994827493590737</v>
      </c>
      <c r="LN74" s="69"/>
      <c r="LO74" s="32">
        <v>1619.571353</v>
      </c>
      <c r="LP74" s="32">
        <v>24.172706761194032</v>
      </c>
      <c r="LQ74" s="32">
        <v>1.4999999999999999E-2</v>
      </c>
      <c r="LR74" s="32">
        <v>1650.805816</v>
      </c>
      <c r="LS74" s="32">
        <v>24.638892776119405</v>
      </c>
      <c r="LT74" s="32">
        <v>8.3000000000000004E-2</v>
      </c>
      <c r="LU74" s="32">
        <v>1093.3507553407821</v>
      </c>
      <c r="LV74" s="32">
        <v>16.318667990160929</v>
      </c>
      <c r="LW74" s="32">
        <v>62.186978988826809</v>
      </c>
      <c r="LX74" s="32">
        <v>0.92816386550487773</v>
      </c>
      <c r="LY74" s="32">
        <v>577.76886716480453</v>
      </c>
      <c r="LZ74" s="32">
        <v>8.6234159278329034</v>
      </c>
      <c r="MA74" s="32">
        <v>201.91434331192659</v>
      </c>
      <c r="MB74" s="32">
        <v>3.013646915103382</v>
      </c>
      <c r="MC74" s="32">
        <v>958.0621551376147</v>
      </c>
      <c r="MD74" s="32">
        <v>14.299435151307682</v>
      </c>
      <c r="ME74" s="32">
        <v>0.104</v>
      </c>
      <c r="MF74" s="32">
        <v>-155.38848831428569</v>
      </c>
      <c r="MG74" s="8">
        <v>-2.3192311688699356</v>
      </c>
      <c r="MH74" s="32">
        <v>1304.0144327999999</v>
      </c>
      <c r="MI74" s="32">
        <v>0.16166894200426438</v>
      </c>
      <c r="MJ74" s="32">
        <v>7.3999999999999996E-2</v>
      </c>
      <c r="MK74" s="32">
        <v>90451.279309500009</v>
      </c>
      <c r="ML74" s="32">
        <v>103744.75633399999</v>
      </c>
      <c r="MM74" s="32">
        <v>0.17799999999999999</v>
      </c>
      <c r="MN74" s="32">
        <v>0.113</v>
      </c>
      <c r="MO74" s="32">
        <v>58.426966292134829</v>
      </c>
      <c r="MP74" s="32">
        <v>12.36900715507578</v>
      </c>
      <c r="MQ74" s="32">
        <v>4.9501169385829602</v>
      </c>
      <c r="MR74" s="32">
        <v>16.07249020973995</v>
      </c>
      <c r="MS74" s="32">
        <v>87.031307547473844</v>
      </c>
      <c r="MT74" s="32">
        <v>12.36900715507578</v>
      </c>
      <c r="MU74" s="32">
        <v>29.914237640106499</v>
      </c>
      <c r="MV74" s="32">
        <v>16.07249020973995</v>
      </c>
      <c r="MW74" s="32">
        <v>23.869034272336865</v>
      </c>
      <c r="MX74" s="32" t="s">
        <v>34</v>
      </c>
      <c r="MY74" s="32" t="s">
        <v>34</v>
      </c>
      <c r="MZ74" s="32" t="s">
        <v>34</v>
      </c>
      <c r="NA74" s="32" t="s">
        <v>34</v>
      </c>
      <c r="NB74" s="17" t="s">
        <v>34</v>
      </c>
      <c r="NC74" s="69"/>
      <c r="ND74" s="32">
        <v>1495.751937</v>
      </c>
      <c r="NE74" s="32">
        <v>22.324655776119403</v>
      </c>
      <c r="NF74" s="32">
        <v>3.2000000000000001E-2</v>
      </c>
      <c r="NG74" s="32">
        <v>1495.751937</v>
      </c>
      <c r="NH74" s="32">
        <v>22.324655776119403</v>
      </c>
      <c r="NI74" s="32">
        <v>3.2000000000000001E-2</v>
      </c>
      <c r="NJ74" s="32">
        <v>995.72622212422368</v>
      </c>
      <c r="NK74" s="32">
        <v>14.861585404839159</v>
      </c>
      <c r="NL74" s="32">
        <v>123.60875655279504</v>
      </c>
      <c r="NM74" s="32">
        <v>1.8449068142208216</v>
      </c>
      <c r="NN74" s="32">
        <v>559.66748933850931</v>
      </c>
      <c r="NO74" s="32">
        <v>8.353246109529989</v>
      </c>
      <c r="NP74" s="32">
        <v>241.61927755963302</v>
      </c>
      <c r="NQ74" s="32">
        <v>3.6062578740243736</v>
      </c>
      <c r="NR74" s="32">
        <v>926.92604136697264</v>
      </c>
      <c r="NS74" s="32">
        <v>13.83471703532795</v>
      </c>
      <c r="NT74" s="32">
        <v>0.10100000000000001</v>
      </c>
      <c r="NU74" s="32">
        <v>-123.75945094230768</v>
      </c>
      <c r="NV74" s="8">
        <v>-1.8471559842135474</v>
      </c>
      <c r="NW74" s="32">
        <v>1139.9419856346153</v>
      </c>
      <c r="NX74" s="32">
        <v>-0.15887678358208956</v>
      </c>
      <c r="NY74" s="32">
        <v>5.8000000000000003E-2</v>
      </c>
      <c r="NZ74" s="32">
        <v>58615.606009000003</v>
      </c>
      <c r="OA74" s="32">
        <v>101035.2901665</v>
      </c>
      <c r="OB74" s="32">
        <v>0.16</v>
      </c>
      <c r="OC74" s="32">
        <v>0.113</v>
      </c>
      <c r="OD74" s="32">
        <v>63.125</v>
      </c>
      <c r="OE74" s="32">
        <v>10.30692269738887</v>
      </c>
      <c r="OF74" s="32">
        <v>10.319488113197204</v>
      </c>
      <c r="OG74" s="32">
        <v>20.147045285925348</v>
      </c>
      <c r="OH74" s="32">
        <v>83.027072558682477</v>
      </c>
      <c r="OI74" s="32">
        <v>10.30692269738887</v>
      </c>
      <c r="OJ74" s="32">
        <v>10.319488113197204</v>
      </c>
      <c r="OK74" s="32">
        <v>20.147045285925348</v>
      </c>
      <c r="OL74" s="32">
        <v>0.21945581775675596</v>
      </c>
      <c r="OM74" s="32">
        <v>6.8157315321569012</v>
      </c>
      <c r="ON74" s="69"/>
      <c r="OO74" s="32">
        <v>-9.3461882228026969</v>
      </c>
      <c r="OP74" s="32">
        <v>-22.661129045917505</v>
      </c>
      <c r="OQ74" s="32">
        <v>17.903911847622645</v>
      </c>
      <c r="OR74" s="32">
        <v>-9.8554605490503491</v>
      </c>
      <c r="OS74" s="32">
        <v>-88.695652173913047</v>
      </c>
      <c r="OT74" s="32">
        <v>-7.9490572549855667</v>
      </c>
      <c r="OU74" s="32">
        <v>-10.650887573964491</v>
      </c>
      <c r="OV74" s="32">
        <v>131.92674360416137</v>
      </c>
      <c r="OW74" s="32">
        <v>-70.220775282985585</v>
      </c>
      <c r="OX74" s="32">
        <v>-18.066592937474972</v>
      </c>
      <c r="OY74" s="32">
        <v>22.499212209240145</v>
      </c>
    </row>
    <row r="75" spans="1:415" ht="15.75" x14ac:dyDescent="0.25">
      <c r="A75" s="10">
        <v>74</v>
      </c>
      <c r="B75" s="3" t="s">
        <v>400</v>
      </c>
      <c r="C75" s="3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9"/>
      <c r="K75" s="32">
        <v>1251.8460299999999</v>
      </c>
      <c r="L75" s="32">
        <v>15.846152278481012</v>
      </c>
      <c r="M75" s="32">
        <v>0.20399999999999999</v>
      </c>
      <c r="N75" s="32">
        <v>788.72090888311675</v>
      </c>
      <c r="O75" s="32">
        <v>9.9838089732040096</v>
      </c>
      <c r="P75" s="32">
        <v>400.4646883863636</v>
      </c>
      <c r="Q75" s="32">
        <v>5.0691732707134634</v>
      </c>
      <c r="R75" s="32">
        <v>594.59279863474012</v>
      </c>
      <c r="S75" s="32">
        <v>7.5264911219587356</v>
      </c>
      <c r="T75" s="32">
        <v>0.307</v>
      </c>
      <c r="U75" s="32">
        <v>5.3999999999999999E-2</v>
      </c>
      <c r="V75" s="32">
        <v>34.030895357791472</v>
      </c>
      <c r="W75" s="32">
        <v>65.969104642208535</v>
      </c>
      <c r="X75" s="32">
        <v>71.787708588616397</v>
      </c>
      <c r="Y75" s="32">
        <v>86.940281739606775</v>
      </c>
      <c r="Z75" s="32">
        <v>0.46849725168737522</v>
      </c>
      <c r="AA75" s="32">
        <v>2.6720456213803954</v>
      </c>
      <c r="AB75" s="69"/>
      <c r="AC75" s="32">
        <v>681.74636600000019</v>
      </c>
      <c r="AD75" s="32">
        <v>8.6297008354430407</v>
      </c>
      <c r="AE75" s="32">
        <v>6.0000000000000001E-3</v>
      </c>
      <c r="AF75" s="32">
        <v>1621.2124060000003</v>
      </c>
      <c r="AG75" s="32">
        <v>20.521676025316459</v>
      </c>
      <c r="AH75" s="32">
        <v>3.5999999999999997E-2</v>
      </c>
      <c r="AI75" s="32">
        <v>1093.0131410128756</v>
      </c>
      <c r="AJ75" s="32">
        <v>13.835609379909817</v>
      </c>
      <c r="AK75" s="32">
        <v>297.62137337339055</v>
      </c>
      <c r="AL75" s="32">
        <v>3.7673591566251967</v>
      </c>
      <c r="AM75" s="32">
        <v>695.31725719313306</v>
      </c>
      <c r="AN75" s="32">
        <v>8.8014842682675063</v>
      </c>
      <c r="AO75" s="32">
        <v>0.23200000000000001</v>
      </c>
      <c r="AP75" s="32">
        <v>5.3999999999999999E-2</v>
      </c>
      <c r="AQ75" s="32">
        <v>25.258235888254905</v>
      </c>
      <c r="AR75" s="32">
        <v>74.741764111745113</v>
      </c>
      <c r="AS75" s="32">
        <v>96.491218683147821</v>
      </c>
      <c r="AT75" s="32">
        <v>99.830005103351738</v>
      </c>
      <c r="AU75" s="32">
        <v>0.41925722062413617</v>
      </c>
      <c r="AV75" s="32">
        <v>3.8668681807949499</v>
      </c>
      <c r="AW75" s="69"/>
      <c r="AX75" s="32">
        <v>32.341683156190726</v>
      </c>
      <c r="AY75" s="32">
        <v>25.712416522529818</v>
      </c>
      <c r="AZ75" s="32">
        <v>-140</v>
      </c>
      <c r="BA75" s="32">
        <v>-27.829313543599248</v>
      </c>
      <c r="BB75" s="32">
        <v>-29.592808277559506</v>
      </c>
      <c r="BC75" s="69"/>
      <c r="BD75" s="32">
        <v>2911.1816680000002</v>
      </c>
      <c r="BE75" s="32">
        <v>36.850400860759493</v>
      </c>
      <c r="BF75" s="32">
        <v>1.4E-2</v>
      </c>
      <c r="BG75" s="32">
        <v>2911.1816680000002</v>
      </c>
      <c r="BH75" s="32">
        <v>36.850400860759493</v>
      </c>
      <c r="BI75" s="32">
        <v>1.4E-2</v>
      </c>
      <c r="BJ75" s="32">
        <v>1337.1269782545453</v>
      </c>
      <c r="BK75" s="32">
        <v>16.92565795258918</v>
      </c>
      <c r="BL75" s="32">
        <v>133.67459725454546</v>
      </c>
      <c r="BM75" s="32">
        <v>1.6920835095512083</v>
      </c>
      <c r="BN75" s="32">
        <v>735.40078775454538</v>
      </c>
      <c r="BO75" s="32">
        <v>9.3088707310701952</v>
      </c>
      <c r="BP75" s="32">
        <v>275.91051244444441</v>
      </c>
      <c r="BQ75" s="32">
        <v>3.492538132208157</v>
      </c>
      <c r="BR75" s="32">
        <v>1197.30389717094</v>
      </c>
      <c r="BS75" s="32">
        <v>15.155745533809368</v>
      </c>
      <c r="BT75" s="32">
        <v>0.105</v>
      </c>
      <c r="BU75" s="32">
        <v>-213.02544602083333</v>
      </c>
      <c r="BV75" s="8">
        <v>-2.6965246331751054</v>
      </c>
      <c r="BW75" s="32">
        <v>1677.9457383958334</v>
      </c>
      <c r="BX75" s="32" t="s">
        <v>34</v>
      </c>
      <c r="BY75" s="32">
        <v>5.8999999999999997E-2</v>
      </c>
      <c r="BZ75" s="32">
        <v>79605.932841500005</v>
      </c>
      <c r="CA75" s="32">
        <v>138716.4285835</v>
      </c>
      <c r="CB75" s="32">
        <v>0.16400000000000001</v>
      </c>
      <c r="CC75" s="32">
        <v>0.111</v>
      </c>
      <c r="CD75" s="32">
        <v>64.024390243902431</v>
      </c>
      <c r="CE75" s="32">
        <v>14.224893661670981</v>
      </c>
      <c r="CF75" s="32">
        <v>8.9261962208338375</v>
      </c>
      <c r="CG75" s="32">
        <v>18.42407924955376</v>
      </c>
      <c r="CH75" s="32">
        <v>89.287404078300582</v>
      </c>
      <c r="CI75" s="32">
        <v>14.224893661670981</v>
      </c>
      <c r="CJ75" s="32">
        <v>35.379722119012172</v>
      </c>
      <c r="CK75" s="32">
        <v>18.42407924955376</v>
      </c>
      <c r="CL75" s="32">
        <v>23.389127378212276</v>
      </c>
      <c r="CM75" s="32" t="s">
        <v>34</v>
      </c>
      <c r="CN75" s="32" t="s">
        <v>34</v>
      </c>
      <c r="CO75" s="32" t="s">
        <v>34</v>
      </c>
      <c r="CP75" s="32" t="s">
        <v>34</v>
      </c>
      <c r="CQ75" s="17" t="s">
        <v>34</v>
      </c>
      <c r="CR75" s="69"/>
      <c r="CS75" s="32">
        <v>1994.0954220000001</v>
      </c>
      <c r="CT75" s="32">
        <v>25.241714202531647</v>
      </c>
      <c r="CU75" s="32">
        <v>3.1E-2</v>
      </c>
      <c r="CV75" s="32">
        <v>1994.0954220000001</v>
      </c>
      <c r="CW75" s="32">
        <v>25.241714202531647</v>
      </c>
      <c r="CX75" s="32">
        <v>3.1E-2</v>
      </c>
      <c r="CY75" s="32">
        <v>1293.5035393987728</v>
      </c>
      <c r="CZ75" s="32">
        <v>16.373462524035098</v>
      </c>
      <c r="DA75" s="32">
        <v>126.29803181595094</v>
      </c>
      <c r="DB75" s="32">
        <v>1.5987092634930498</v>
      </c>
      <c r="DC75" s="32">
        <v>709.90078560736185</v>
      </c>
      <c r="DD75" s="32">
        <v>8.9860858937640735</v>
      </c>
      <c r="DE75" s="32">
        <v>268.88069128318585</v>
      </c>
      <c r="DF75" s="32">
        <v>3.4035530542175425</v>
      </c>
      <c r="DG75" s="32">
        <v>1183.4923392654864</v>
      </c>
      <c r="DH75" s="32">
        <v>14.980915686904892</v>
      </c>
      <c r="DI75" s="32">
        <v>0.10299999999999999</v>
      </c>
      <c r="DJ75" s="32">
        <v>-195.93877857999999</v>
      </c>
      <c r="DK75" s="8">
        <v>-2.4802377035443035</v>
      </c>
      <c r="DL75" s="32">
        <v>1542.1288517</v>
      </c>
      <c r="DM75" s="32">
        <v>0.96208241291139251</v>
      </c>
      <c r="DN75" s="32">
        <v>5.8999999999999997E-2</v>
      </c>
      <c r="DO75" s="32">
        <v>76170.159442499993</v>
      </c>
      <c r="DP75" s="32">
        <v>132891.296929</v>
      </c>
      <c r="DQ75" s="32">
        <v>0.16200000000000001</v>
      </c>
      <c r="DR75" s="32">
        <v>0.111</v>
      </c>
      <c r="DS75" s="32">
        <v>63.58024691358024</v>
      </c>
      <c r="DT75" s="32">
        <v>8.2011207806531807</v>
      </c>
      <c r="DU75" s="32">
        <v>12.723219559667697</v>
      </c>
      <c r="DV75" s="32">
        <v>17.459678453361533</v>
      </c>
      <c r="DW75" s="32">
        <v>83.993223047771579</v>
      </c>
      <c r="DX75" s="32">
        <v>8.2011207806531807</v>
      </c>
      <c r="DY75" s="32">
        <v>12.723219559667697</v>
      </c>
      <c r="DZ75" s="32">
        <v>17.459678453361533</v>
      </c>
      <c r="EA75" s="32">
        <v>0.25840962900127412</v>
      </c>
      <c r="EB75" s="32">
        <v>7.7167999880924256</v>
      </c>
      <c r="EC75" s="69"/>
      <c r="ED75" s="32">
        <v>-3.3165766581836267</v>
      </c>
      <c r="EE75" s="32">
        <v>-8.3560695107307552</v>
      </c>
      <c r="EF75" s="32">
        <v>-2.5807395982748389</v>
      </c>
      <c r="EG75" s="32">
        <v>-37.391822283376861</v>
      </c>
      <c r="EH75" s="32">
        <v>75.555555555555571</v>
      </c>
      <c r="EI75" s="32">
        <v>-37.391822283376861</v>
      </c>
      <c r="EJ75" s="32">
        <v>-1.226993865030676</v>
      </c>
      <c r="EK75" s="32">
        <v>96.426602516003044</v>
      </c>
      <c r="EL75" s="32">
        <v>8.4668887732702629</v>
      </c>
      <c r="EM75" s="32">
        <v>-11.144929440285956</v>
      </c>
      <c r="EN75" s="32">
        <v>-5.3751382682749291</v>
      </c>
      <c r="EO75" s="69"/>
      <c r="EP75" s="32">
        <v>1290.1135840000004</v>
      </c>
      <c r="EQ75" s="32">
        <v>16.330551696202537</v>
      </c>
      <c r="ER75" s="32">
        <v>0.219</v>
      </c>
      <c r="ES75" s="32">
        <v>777.64008212688816</v>
      </c>
      <c r="ET75" s="32">
        <v>9.8435453433783309</v>
      </c>
      <c r="EU75" s="32">
        <v>287.32896641993955</v>
      </c>
      <c r="EV75" s="32">
        <v>3.6370755243030324</v>
      </c>
      <c r="EW75" s="32">
        <v>532.48452427341385</v>
      </c>
      <c r="EX75" s="32">
        <v>6.7403104338406816</v>
      </c>
      <c r="EY75" s="32">
        <v>0.33</v>
      </c>
      <c r="EZ75" s="32">
        <v>8.2000000000000003E-2</v>
      </c>
      <c r="FA75" s="32">
        <v>27.847963930114219</v>
      </c>
      <c r="FB75" s="32">
        <v>72.152036069885767</v>
      </c>
      <c r="FC75" s="32">
        <v>84.036119776369262</v>
      </c>
      <c r="FD75" s="32">
        <v>86.297588924170213</v>
      </c>
      <c r="FE75" s="32">
        <v>0.52081821505386638</v>
      </c>
      <c r="FF75" s="32">
        <v>2.4770899840101954</v>
      </c>
      <c r="FG75" s="69"/>
      <c r="FH75" s="32">
        <v>144.88281800000001</v>
      </c>
      <c r="FI75" s="32">
        <v>1.8339597215189876</v>
      </c>
      <c r="FJ75" s="32">
        <v>8.9999999999999993E-3</v>
      </c>
      <c r="FK75" s="32">
        <v>837.62975700000004</v>
      </c>
      <c r="FL75" s="32">
        <v>10.602908316455697</v>
      </c>
      <c r="FM75" s="32">
        <v>7.0000000000000007E-2</v>
      </c>
      <c r="FN75" s="32">
        <v>511.83369229326934</v>
      </c>
      <c r="FO75" s="32">
        <v>6.4789074973831564</v>
      </c>
      <c r="FP75" s="32">
        <v>286.8610009038461</v>
      </c>
      <c r="FQ75" s="32">
        <v>3.6311519101752672</v>
      </c>
      <c r="FR75" s="32">
        <v>399.34734659855769</v>
      </c>
      <c r="FS75" s="32">
        <v>5.0550297037792111</v>
      </c>
      <c r="FT75" s="32">
        <v>0.20699999999999999</v>
      </c>
      <c r="FU75" s="32">
        <v>8.2000000000000003E-2</v>
      </c>
      <c r="FV75" s="32">
        <v>38.904769553295509</v>
      </c>
      <c r="FW75" s="32">
        <v>61.095230446704505</v>
      </c>
      <c r="FX75" s="32">
        <v>97.44817785865493</v>
      </c>
      <c r="FY75" s="32">
        <v>99.757809272274969</v>
      </c>
      <c r="FZ75" s="32">
        <v>0.15254741798211066</v>
      </c>
      <c r="GA75" s="32">
        <v>5.4909468025098231</v>
      </c>
      <c r="GB75" s="69"/>
      <c r="GC75" s="32">
        <v>-41.227110641027963</v>
      </c>
      <c r="GD75" s="32">
        <v>-42.531805249343776</v>
      </c>
      <c r="GE75" s="32">
        <v>-103.11418685121106</v>
      </c>
      <c r="GF75" s="32">
        <v>-45.810055865921797</v>
      </c>
      <c r="GG75" s="32">
        <v>33.127649000109557</v>
      </c>
      <c r="GH75" s="69"/>
      <c r="GI75" s="32">
        <v>2529.9671469999998</v>
      </c>
      <c r="GJ75" s="32">
        <v>32.02490059493671</v>
      </c>
      <c r="GK75" s="32">
        <v>3.3000000000000002E-2</v>
      </c>
      <c r="GL75" s="32">
        <v>2529.9671469999998</v>
      </c>
      <c r="GM75" s="32">
        <v>32.02490059493671</v>
      </c>
      <c r="GN75" s="32">
        <v>3.3000000000000002E-2</v>
      </c>
      <c r="GO75" s="32">
        <v>1463.2712787738094</v>
      </c>
      <c r="GP75" s="32">
        <v>18.522421250301385</v>
      </c>
      <c r="GQ75" s="32">
        <v>122.58725237500001</v>
      </c>
      <c r="GR75" s="32">
        <v>1.551737371835443</v>
      </c>
      <c r="GS75" s="32">
        <v>792.92926557440467</v>
      </c>
      <c r="GT75" s="32">
        <v>10.037079311068414</v>
      </c>
      <c r="GU75" s="32">
        <v>262.27238900000003</v>
      </c>
      <c r="GV75" s="32">
        <v>3.3199036582278487</v>
      </c>
      <c r="GW75" s="32">
        <v>1308.1357968</v>
      </c>
      <c r="GX75" s="32">
        <v>16.558680972151897</v>
      </c>
      <c r="GY75" s="32">
        <v>0.106</v>
      </c>
      <c r="GZ75" s="32">
        <v>-180.50313841509436</v>
      </c>
      <c r="HA75" s="8">
        <v>-2.2848498533556247</v>
      </c>
      <c r="HB75" s="32">
        <v>1799.886003811321</v>
      </c>
      <c r="HC75" s="32">
        <v>-0.55440195677095783</v>
      </c>
      <c r="HD75" s="32">
        <v>6.0999999999999999E-2</v>
      </c>
      <c r="HE75" s="32">
        <v>94309.492097499984</v>
      </c>
      <c r="HF75" s="32">
        <v>149525.58156250001</v>
      </c>
      <c r="HG75" s="32">
        <v>0.16700000000000001</v>
      </c>
      <c r="HH75" s="32">
        <v>0.13400000000000001</v>
      </c>
      <c r="HI75" s="32">
        <v>63.47305389221556</v>
      </c>
      <c r="HJ75" s="32">
        <v>10.722916499467603</v>
      </c>
      <c r="HK75" s="32">
        <v>7.282382359986511</v>
      </c>
      <c r="HL75" s="32">
        <v>15.580476616952321</v>
      </c>
      <c r="HM75" s="32">
        <v>86.92666441221634</v>
      </c>
      <c r="HN75" s="32">
        <v>10.722916499467603</v>
      </c>
      <c r="HO75" s="32">
        <v>30.209736998834639</v>
      </c>
      <c r="HP75" s="32">
        <v>15.580476616952321</v>
      </c>
      <c r="HQ75" s="32">
        <v>21.241976541702737</v>
      </c>
      <c r="HR75" s="32">
        <v>63.47305389221556</v>
      </c>
      <c r="HS75" s="32" t="s">
        <v>34</v>
      </c>
      <c r="HT75" s="32" t="s">
        <v>34</v>
      </c>
      <c r="HU75" s="32" t="s">
        <v>34</v>
      </c>
      <c r="HV75" s="32" t="s">
        <v>34</v>
      </c>
      <c r="HW75" s="17" t="s">
        <v>34</v>
      </c>
      <c r="HX75" s="69"/>
      <c r="HY75" s="32">
        <v>852.68788400000005</v>
      </c>
      <c r="HZ75" s="32">
        <v>10.793517518987342</v>
      </c>
      <c r="IA75" s="32">
        <v>1.0999999999999999E-2</v>
      </c>
      <c r="IB75" s="32">
        <v>2397.7440190000002</v>
      </c>
      <c r="IC75" s="32">
        <v>30.351190113924055</v>
      </c>
      <c r="ID75" s="32">
        <v>3.7999999999999999E-2</v>
      </c>
      <c r="IE75" s="32">
        <v>1415.5783957650603</v>
      </c>
      <c r="IF75" s="32">
        <v>17.918713870443803</v>
      </c>
      <c r="IG75" s="32">
        <v>125.21239042771084</v>
      </c>
      <c r="IH75" s="32">
        <v>1.5849669674393778</v>
      </c>
      <c r="II75" s="32">
        <v>770.39539309638565</v>
      </c>
      <c r="IJ75" s="32">
        <v>9.7518404189415904</v>
      </c>
      <c r="IK75" s="32">
        <v>271.14478184684685</v>
      </c>
      <c r="IL75" s="32">
        <v>3.4322124284410993</v>
      </c>
      <c r="IM75" s="32">
        <v>1254.9138446666666</v>
      </c>
      <c r="IN75" s="32">
        <v>15.884985375527425</v>
      </c>
      <c r="IO75" s="32">
        <v>0.10199999999999999</v>
      </c>
      <c r="IP75" s="32">
        <v>-169.30570861818182</v>
      </c>
      <c r="IQ75" s="8">
        <v>-2.1431102356731877</v>
      </c>
      <c r="IR75" s="32">
        <v>1739.8286716181819</v>
      </c>
      <c r="IS75" s="32">
        <v>0.32163504464902193</v>
      </c>
      <c r="IT75" s="32">
        <v>6.0999999999999999E-2</v>
      </c>
      <c r="IU75" s="32">
        <v>94578.059354500001</v>
      </c>
      <c r="IV75" s="32">
        <v>139297.98852750001</v>
      </c>
      <c r="IW75" s="32">
        <v>0.16500000000000001</v>
      </c>
      <c r="IX75" s="32">
        <v>0.13400000000000001</v>
      </c>
      <c r="IY75" s="32">
        <v>61.818181818181813</v>
      </c>
      <c r="IZ75" s="32">
        <v>7.5749428753803789</v>
      </c>
      <c r="JA75" s="32">
        <v>10.242445391208634</v>
      </c>
      <c r="JB75" s="32">
        <v>16.403378502969527</v>
      </c>
      <c r="JC75" s="32">
        <v>85.637894515987384</v>
      </c>
      <c r="JD75" s="32">
        <v>7.5749428753803789</v>
      </c>
      <c r="JE75" s="32">
        <v>10.242445391208634</v>
      </c>
      <c r="JF75" s="32">
        <v>16.403378502969527</v>
      </c>
      <c r="JG75" s="32">
        <v>0.28904278448202991</v>
      </c>
      <c r="JH75" s="32">
        <v>8.2954640203068983</v>
      </c>
      <c r="JI75" s="69"/>
      <c r="JJ75" s="32">
        <v>-3.3133291696718019</v>
      </c>
      <c r="JK75" s="32">
        <v>-6.4020277885352375</v>
      </c>
      <c r="JL75" s="32">
        <v>3.3266243877230703</v>
      </c>
      <c r="JM75" s="32">
        <v>-5.3665129122139641</v>
      </c>
      <c r="JN75" s="32">
        <v>14.084507042253513</v>
      </c>
      <c r="JO75" s="32">
        <v>-99.169394905998033</v>
      </c>
      <c r="JP75" s="32">
        <v>-1.2048192771084347</v>
      </c>
      <c r="JQ75" s="32">
        <v>106.20562397498638</v>
      </c>
      <c r="JR75" s="32">
        <v>-3.9382662862820932</v>
      </c>
      <c r="JS75" s="32">
        <v>-4.5834754559867212</v>
      </c>
      <c r="JT75" s="32">
        <v>5.1457329514017438</v>
      </c>
      <c r="JU75" s="69"/>
      <c r="JV75" s="32">
        <v>1244.7948310000002</v>
      </c>
      <c r="JW75" s="32">
        <v>15.756896594936711</v>
      </c>
      <c r="JX75" s="32">
        <v>0.23799999999999999</v>
      </c>
      <c r="JY75" s="32">
        <v>783.86480519230781</v>
      </c>
      <c r="JZ75" s="32">
        <v>9.9223393062317449</v>
      </c>
      <c r="KA75" s="32">
        <v>262.6038048983516</v>
      </c>
      <c r="KB75" s="32">
        <v>3.3240987961816657</v>
      </c>
      <c r="KC75" s="32">
        <v>523.23430504532973</v>
      </c>
      <c r="KD75" s="32">
        <v>6.6232190512067053</v>
      </c>
      <c r="KE75" s="32">
        <v>0.36299999999999999</v>
      </c>
      <c r="KF75" s="32">
        <v>0.05</v>
      </c>
      <c r="KG75" s="32">
        <v>27.168485778497619</v>
      </c>
      <c r="KH75" s="32">
        <v>72.831514221502388</v>
      </c>
      <c r="KI75" s="32">
        <v>94.186050447828904</v>
      </c>
      <c r="KJ75" s="32">
        <v>85.147038098413205</v>
      </c>
      <c r="KK75" s="32">
        <v>0.63881545595738443</v>
      </c>
      <c r="KL75" s="32">
        <v>1.9485984870770579</v>
      </c>
      <c r="KM75" s="69"/>
      <c r="KN75" s="32" t="s">
        <v>34</v>
      </c>
      <c r="KO75" s="32" t="s">
        <v>34</v>
      </c>
      <c r="KP75" s="32" t="s">
        <v>34</v>
      </c>
      <c r="KQ75" s="32" t="s">
        <v>34</v>
      </c>
      <c r="KR75" s="32" t="s">
        <v>34</v>
      </c>
      <c r="KS75" s="32" t="s">
        <v>34</v>
      </c>
      <c r="KT75" s="32" t="s">
        <v>34</v>
      </c>
      <c r="KU75" s="32" t="s">
        <v>34</v>
      </c>
      <c r="KV75" s="32" t="s">
        <v>34</v>
      </c>
      <c r="KW75" s="32" t="s">
        <v>34</v>
      </c>
      <c r="KX75" s="32" t="s">
        <v>34</v>
      </c>
      <c r="KY75" s="32" t="s">
        <v>34</v>
      </c>
      <c r="KZ75" s="32" t="s">
        <v>34</v>
      </c>
      <c r="LA75" s="32" t="s">
        <v>34</v>
      </c>
      <c r="LB75" s="32" t="s">
        <v>34</v>
      </c>
      <c r="LC75" s="32" t="s">
        <v>34</v>
      </c>
      <c r="LD75" s="32" t="s">
        <v>34</v>
      </c>
      <c r="LE75" s="32" t="s">
        <v>34</v>
      </c>
      <c r="LF75" s="32" t="s">
        <v>34</v>
      </c>
      <c r="LG75" s="32" t="s">
        <v>34</v>
      </c>
      <c r="LH75" s="69"/>
      <c r="LI75" s="32" t="s">
        <v>34</v>
      </c>
      <c r="LJ75" s="32" t="s">
        <v>34</v>
      </c>
      <c r="LK75" s="32" t="s">
        <v>34</v>
      </c>
      <c r="LL75" s="32" t="s">
        <v>34</v>
      </c>
      <c r="LM75" s="32" t="s">
        <v>34</v>
      </c>
      <c r="LN75" s="69"/>
      <c r="LO75" s="32">
        <v>2007.1698989999998</v>
      </c>
      <c r="LP75" s="32">
        <v>25.4072139113924</v>
      </c>
      <c r="LQ75" s="32">
        <v>1.9E-2</v>
      </c>
      <c r="LR75" s="32">
        <v>2007.1698989999998</v>
      </c>
      <c r="LS75" s="32">
        <v>25.4072139113924</v>
      </c>
      <c r="LT75" s="32">
        <v>1.9E-2</v>
      </c>
      <c r="LU75" s="32">
        <v>1334.5394375721926</v>
      </c>
      <c r="LV75" s="32">
        <v>16.892904273065728</v>
      </c>
      <c r="LW75" s="32">
        <v>75.550826524064178</v>
      </c>
      <c r="LX75" s="32">
        <v>0.95633957625397692</v>
      </c>
      <c r="LY75" s="32">
        <v>705.04513204812838</v>
      </c>
      <c r="LZ75" s="32">
        <v>8.9246219246598528</v>
      </c>
      <c r="MA75" s="32">
        <v>236.45889844166666</v>
      </c>
      <c r="MB75" s="32">
        <v>2.9931506131856538</v>
      </c>
      <c r="MC75" s="32">
        <v>1172.6551820333334</v>
      </c>
      <c r="MD75" s="32">
        <v>14.8437364814346</v>
      </c>
      <c r="ME75" s="32">
        <v>0.113</v>
      </c>
      <c r="MF75" s="32">
        <v>-212.642735119403</v>
      </c>
      <c r="MG75" s="8">
        <v>-2.6916801913848483</v>
      </c>
      <c r="MH75" s="32">
        <v>1624.4813877910449</v>
      </c>
      <c r="MI75" s="32">
        <v>-1.1275241874173436</v>
      </c>
      <c r="MJ75" s="32">
        <v>7.2999999999999995E-2</v>
      </c>
      <c r="MK75" s="32">
        <v>107849.2105055</v>
      </c>
      <c r="ML75" s="32">
        <v>139719.30187</v>
      </c>
      <c r="MM75" s="32">
        <v>0.186</v>
      </c>
      <c r="MN75" s="32">
        <v>0.124</v>
      </c>
      <c r="MO75" s="32">
        <v>60.752688172043015</v>
      </c>
      <c r="MP75" s="32">
        <v>13.910154583435205</v>
      </c>
      <c r="MQ75" s="32">
        <v>4.9422035286835237</v>
      </c>
      <c r="MR75" s="32">
        <v>15.468103474616479</v>
      </c>
      <c r="MS75" s="32">
        <v>87.299713596592071</v>
      </c>
      <c r="MT75" s="32">
        <v>13.910154583435205</v>
      </c>
      <c r="MU75" s="32">
        <v>29.32935553420084</v>
      </c>
      <c r="MV75" s="32">
        <v>15.468103474616479</v>
      </c>
      <c r="MW75" s="32">
        <v>19.300093152398016</v>
      </c>
      <c r="MX75" s="32" t="s">
        <v>34</v>
      </c>
      <c r="MY75" s="32" t="s">
        <v>34</v>
      </c>
      <c r="MZ75" s="32" t="s">
        <v>34</v>
      </c>
      <c r="NA75" s="32" t="s">
        <v>34</v>
      </c>
      <c r="NB75" s="17" t="s">
        <v>34</v>
      </c>
      <c r="NC75" s="69"/>
      <c r="ND75" s="32">
        <v>2101.4501210000003</v>
      </c>
      <c r="NE75" s="32">
        <v>26.600634443037979</v>
      </c>
      <c r="NF75" s="32">
        <v>3.7999999999999999E-2</v>
      </c>
      <c r="NG75" s="32">
        <v>2101.4501210000003</v>
      </c>
      <c r="NH75" s="32">
        <v>26.600634443037979</v>
      </c>
      <c r="NI75" s="32">
        <v>3.7999999999999999E-2</v>
      </c>
      <c r="NJ75" s="32">
        <v>1310.675508797814</v>
      </c>
      <c r="NK75" s="32">
        <v>16.590829225288786</v>
      </c>
      <c r="NL75" s="32">
        <v>90.368000721311489</v>
      </c>
      <c r="NM75" s="32">
        <v>1.1438987433077403</v>
      </c>
      <c r="NN75" s="32">
        <v>700.52175475956278</v>
      </c>
      <c r="NO75" s="32">
        <v>8.8673639842982634</v>
      </c>
      <c r="NP75" s="32">
        <v>245.26654621186438</v>
      </c>
      <c r="NQ75" s="32">
        <v>3.1046398254666379</v>
      </c>
      <c r="NR75" s="32">
        <v>1155.1163939661019</v>
      </c>
      <c r="NS75" s="32">
        <v>14.621726505900025</v>
      </c>
      <c r="NT75" s="32">
        <v>0.109</v>
      </c>
      <c r="NU75" s="32">
        <v>-190.83243570769227</v>
      </c>
      <c r="NV75" s="8">
        <v>-2.4156004519961045</v>
      </c>
      <c r="NW75" s="32">
        <v>1593.0751326461539</v>
      </c>
      <c r="NX75" s="32">
        <v>0.17782606815968849</v>
      </c>
      <c r="NY75" s="32">
        <v>7.1999999999999995E-2</v>
      </c>
      <c r="NZ75" s="32">
        <v>102542.962442</v>
      </c>
      <c r="OA75" s="32">
        <v>136310.47007750001</v>
      </c>
      <c r="OB75" s="32">
        <v>0.182</v>
      </c>
      <c r="OC75" s="32">
        <v>0.124</v>
      </c>
      <c r="OD75" s="32">
        <v>59.890109890109891</v>
      </c>
      <c r="OE75" s="32">
        <v>5.8810072624081071</v>
      </c>
      <c r="OF75" s="32">
        <v>12.419074576641568</v>
      </c>
      <c r="OG75" s="32">
        <v>15.961560817816824</v>
      </c>
      <c r="OH75" s="32">
        <v>85.296699322491335</v>
      </c>
      <c r="OI75" s="32">
        <v>5.8810072624081071</v>
      </c>
      <c r="OJ75" s="32">
        <v>12.419074576641568</v>
      </c>
      <c r="OK75" s="32">
        <v>15.961560817816824</v>
      </c>
      <c r="OL75" s="32">
        <v>0.32422694198366603</v>
      </c>
      <c r="OM75" s="32">
        <v>6.4814173311540149</v>
      </c>
      <c r="ON75" s="69"/>
      <c r="OO75" s="32">
        <v>-1.8043092344632874</v>
      </c>
      <c r="OP75" s="32">
        <v>-10.811222592458998</v>
      </c>
      <c r="OQ75" s="32">
        <v>3.6567085537831194</v>
      </c>
      <c r="OR75" s="32">
        <v>4.5893862922860675</v>
      </c>
      <c r="OS75" s="32">
        <v>66.666666666666671</v>
      </c>
      <c r="OT75" s="32">
        <v>4.5893862922860675</v>
      </c>
      <c r="OU75" s="32">
        <v>-2.173913043478263</v>
      </c>
      <c r="OV75" s="32">
        <v>105.18080030806851</v>
      </c>
      <c r="OW75" s="32">
        <v>-17.347970982830603</v>
      </c>
      <c r="OX75" s="32">
        <v>-11.326423555571258</v>
      </c>
      <c r="OY75" s="32">
        <v>3.1400739034883407</v>
      </c>
    </row>
    <row r="76" spans="1:415" ht="15.75" x14ac:dyDescent="0.25">
      <c r="A76" s="10">
        <v>75</v>
      </c>
      <c r="B76" s="3" t="s">
        <v>402</v>
      </c>
      <c r="C76" s="3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9"/>
      <c r="K76" s="32" t="s">
        <v>34</v>
      </c>
      <c r="L76" s="32" t="s">
        <v>34</v>
      </c>
      <c r="M76" s="32" t="s">
        <v>34</v>
      </c>
      <c r="N76" s="32" t="s">
        <v>34</v>
      </c>
      <c r="O76" s="32" t="s">
        <v>34</v>
      </c>
      <c r="P76" s="32" t="s">
        <v>34</v>
      </c>
      <c r="Q76" s="32" t="s">
        <v>34</v>
      </c>
      <c r="R76" s="32" t="s">
        <v>34</v>
      </c>
      <c r="S76" s="32" t="s">
        <v>34</v>
      </c>
      <c r="T76" s="32" t="s">
        <v>34</v>
      </c>
      <c r="U76" s="32" t="s">
        <v>34</v>
      </c>
      <c r="V76" s="32" t="s">
        <v>34</v>
      </c>
      <c r="W76" s="32" t="s">
        <v>34</v>
      </c>
      <c r="X76" s="32" t="s">
        <v>34</v>
      </c>
      <c r="Y76" s="32" t="s">
        <v>34</v>
      </c>
      <c r="Z76" s="32" t="s">
        <v>34</v>
      </c>
      <c r="AA76" s="32" t="s">
        <v>34</v>
      </c>
      <c r="AB76" s="69"/>
      <c r="AC76" s="32" t="s">
        <v>34</v>
      </c>
      <c r="AD76" s="32" t="s">
        <v>34</v>
      </c>
      <c r="AE76" s="32" t="s">
        <v>34</v>
      </c>
      <c r="AF76" s="32" t="s">
        <v>34</v>
      </c>
      <c r="AG76" s="32" t="s">
        <v>34</v>
      </c>
      <c r="AH76" s="32" t="s">
        <v>34</v>
      </c>
      <c r="AI76" s="32" t="s">
        <v>34</v>
      </c>
      <c r="AJ76" s="32" t="s">
        <v>34</v>
      </c>
      <c r="AK76" s="32" t="s">
        <v>34</v>
      </c>
      <c r="AL76" s="32" t="s">
        <v>34</v>
      </c>
      <c r="AM76" s="32" t="s">
        <v>34</v>
      </c>
      <c r="AN76" s="32" t="s">
        <v>34</v>
      </c>
      <c r="AO76" s="32" t="s">
        <v>34</v>
      </c>
      <c r="AP76" s="32" t="s">
        <v>34</v>
      </c>
      <c r="AQ76" s="32" t="s">
        <v>34</v>
      </c>
      <c r="AR76" s="32" t="s">
        <v>34</v>
      </c>
      <c r="AS76" s="32" t="s">
        <v>34</v>
      </c>
      <c r="AT76" s="32" t="s">
        <v>34</v>
      </c>
      <c r="AU76" s="32" t="s">
        <v>34</v>
      </c>
      <c r="AV76" s="32" t="s">
        <v>34</v>
      </c>
      <c r="AW76" s="69"/>
      <c r="AX76" s="32" t="s">
        <v>34</v>
      </c>
      <c r="AY76" s="32" t="s">
        <v>34</v>
      </c>
      <c r="AZ76" s="32" t="s">
        <v>34</v>
      </c>
      <c r="BA76" s="32" t="s">
        <v>34</v>
      </c>
      <c r="BB76" s="32" t="s">
        <v>34</v>
      </c>
      <c r="BC76" s="69"/>
      <c r="BD76" s="32" t="s">
        <v>34</v>
      </c>
      <c r="BE76" s="32" t="s">
        <v>34</v>
      </c>
      <c r="BF76" s="32" t="s">
        <v>34</v>
      </c>
      <c r="BG76" s="32" t="s">
        <v>34</v>
      </c>
      <c r="BH76" s="32" t="s">
        <v>34</v>
      </c>
      <c r="BI76" s="32" t="s">
        <v>34</v>
      </c>
      <c r="BJ76" s="32" t="s">
        <v>34</v>
      </c>
      <c r="BK76" s="32" t="s">
        <v>34</v>
      </c>
      <c r="BL76" s="32" t="s">
        <v>34</v>
      </c>
      <c r="BM76" s="32" t="s">
        <v>34</v>
      </c>
      <c r="BN76" s="32" t="s">
        <v>34</v>
      </c>
      <c r="BO76" s="32" t="s">
        <v>34</v>
      </c>
      <c r="BP76" s="32" t="s">
        <v>34</v>
      </c>
      <c r="BQ76" s="32" t="s">
        <v>34</v>
      </c>
      <c r="BR76" s="32" t="s">
        <v>34</v>
      </c>
      <c r="BS76" s="32" t="s">
        <v>34</v>
      </c>
      <c r="BT76" s="32" t="s">
        <v>34</v>
      </c>
      <c r="BU76" s="32" t="s">
        <v>34</v>
      </c>
      <c r="BV76" s="8" t="s">
        <v>34</v>
      </c>
      <c r="BW76" s="32" t="s">
        <v>34</v>
      </c>
      <c r="BX76" s="32" t="s">
        <v>34</v>
      </c>
      <c r="BY76" s="32" t="s">
        <v>34</v>
      </c>
      <c r="BZ76" s="32" t="s">
        <v>34</v>
      </c>
      <c r="CA76" s="32" t="s">
        <v>34</v>
      </c>
      <c r="CB76" s="32" t="s">
        <v>34</v>
      </c>
      <c r="CC76" s="32" t="s">
        <v>34</v>
      </c>
      <c r="CD76" s="32" t="s">
        <v>34</v>
      </c>
      <c r="CE76" s="32" t="s">
        <v>34</v>
      </c>
      <c r="CF76" s="32" t="s">
        <v>34</v>
      </c>
      <c r="CG76" s="32" t="s">
        <v>34</v>
      </c>
      <c r="CH76" s="32" t="s">
        <v>34</v>
      </c>
      <c r="CI76" s="32" t="s">
        <v>34</v>
      </c>
      <c r="CJ76" s="32" t="s">
        <v>34</v>
      </c>
      <c r="CK76" s="32" t="s">
        <v>34</v>
      </c>
      <c r="CL76" s="32" t="s">
        <v>34</v>
      </c>
      <c r="CM76" s="32" t="s">
        <v>34</v>
      </c>
      <c r="CN76" s="32" t="s">
        <v>34</v>
      </c>
      <c r="CO76" s="32" t="s">
        <v>34</v>
      </c>
      <c r="CP76" s="32" t="s">
        <v>34</v>
      </c>
      <c r="CQ76" s="17" t="s">
        <v>34</v>
      </c>
      <c r="CR76" s="69"/>
      <c r="CS76" s="32" t="s">
        <v>34</v>
      </c>
      <c r="CT76" s="32" t="s">
        <v>34</v>
      </c>
      <c r="CU76" s="32" t="s">
        <v>34</v>
      </c>
      <c r="CV76" s="32" t="s">
        <v>34</v>
      </c>
      <c r="CW76" s="32" t="s">
        <v>34</v>
      </c>
      <c r="CX76" s="32" t="s">
        <v>34</v>
      </c>
      <c r="CY76" s="32" t="s">
        <v>34</v>
      </c>
      <c r="CZ76" s="32" t="s">
        <v>34</v>
      </c>
      <c r="DA76" s="32" t="s">
        <v>34</v>
      </c>
      <c r="DB76" s="32" t="s">
        <v>34</v>
      </c>
      <c r="DC76" s="32" t="s">
        <v>34</v>
      </c>
      <c r="DD76" s="32" t="s">
        <v>34</v>
      </c>
      <c r="DE76" s="32" t="s">
        <v>34</v>
      </c>
      <c r="DF76" s="32" t="s">
        <v>34</v>
      </c>
      <c r="DG76" s="32" t="s">
        <v>34</v>
      </c>
      <c r="DH76" s="32" t="s">
        <v>34</v>
      </c>
      <c r="DI76" s="32" t="s">
        <v>34</v>
      </c>
      <c r="DJ76" s="32" t="s">
        <v>34</v>
      </c>
      <c r="DK76" s="8" t="s">
        <v>34</v>
      </c>
      <c r="DL76" s="32" t="s">
        <v>34</v>
      </c>
      <c r="DM76" s="32" t="s">
        <v>34</v>
      </c>
      <c r="DN76" s="32" t="s">
        <v>34</v>
      </c>
      <c r="DO76" s="32" t="s">
        <v>34</v>
      </c>
      <c r="DP76" s="32" t="s">
        <v>34</v>
      </c>
      <c r="DQ76" s="32" t="s">
        <v>34</v>
      </c>
      <c r="DR76" s="32" t="s">
        <v>34</v>
      </c>
      <c r="DS76" s="32" t="s">
        <v>34</v>
      </c>
      <c r="DT76" s="32" t="s">
        <v>34</v>
      </c>
      <c r="DU76" s="32" t="s">
        <v>34</v>
      </c>
      <c r="DV76" s="32" t="s">
        <v>34</v>
      </c>
      <c r="DW76" s="32" t="s">
        <v>34</v>
      </c>
      <c r="DX76" s="32" t="s">
        <v>34</v>
      </c>
      <c r="DY76" s="32" t="s">
        <v>34</v>
      </c>
      <c r="DZ76" s="32" t="s">
        <v>34</v>
      </c>
      <c r="EA76" s="32" t="s">
        <v>34</v>
      </c>
      <c r="EB76" s="32" t="s">
        <v>34</v>
      </c>
      <c r="EC76" s="69"/>
      <c r="ED76" s="32" t="s">
        <v>34</v>
      </c>
      <c r="EE76" s="32" t="s">
        <v>34</v>
      </c>
      <c r="EF76" s="32" t="s">
        <v>34</v>
      </c>
      <c r="EG76" s="32" t="s">
        <v>34</v>
      </c>
      <c r="EH76" s="32" t="s">
        <v>34</v>
      </c>
      <c r="EI76" s="32" t="s">
        <v>34</v>
      </c>
      <c r="EJ76" s="32" t="s">
        <v>34</v>
      </c>
      <c r="EK76" s="32" t="s">
        <v>34</v>
      </c>
      <c r="EL76" s="32" t="s">
        <v>34</v>
      </c>
      <c r="EM76" s="32" t="s">
        <v>34</v>
      </c>
      <c r="EN76" s="32" t="s">
        <v>34</v>
      </c>
      <c r="EO76" s="69"/>
      <c r="EP76" s="32" t="s">
        <v>34</v>
      </c>
      <c r="EQ76" s="32" t="s">
        <v>34</v>
      </c>
      <c r="ER76" s="32" t="s">
        <v>34</v>
      </c>
      <c r="ES76" s="32" t="s">
        <v>34</v>
      </c>
      <c r="ET76" s="32" t="s">
        <v>34</v>
      </c>
      <c r="EU76" s="32" t="s">
        <v>34</v>
      </c>
      <c r="EV76" s="32" t="s">
        <v>34</v>
      </c>
      <c r="EW76" s="32" t="s">
        <v>34</v>
      </c>
      <c r="EX76" s="32" t="s">
        <v>34</v>
      </c>
      <c r="EY76" s="32" t="s">
        <v>34</v>
      </c>
      <c r="EZ76" s="32" t="s">
        <v>34</v>
      </c>
      <c r="FA76" s="32" t="s">
        <v>34</v>
      </c>
      <c r="FB76" s="32" t="s">
        <v>34</v>
      </c>
      <c r="FC76" s="32" t="s">
        <v>34</v>
      </c>
      <c r="FD76" s="32" t="s">
        <v>34</v>
      </c>
      <c r="FE76" s="32" t="s">
        <v>34</v>
      </c>
      <c r="FF76" s="32" t="s">
        <v>34</v>
      </c>
      <c r="FG76" s="69"/>
      <c r="FH76" s="32" t="s">
        <v>34</v>
      </c>
      <c r="FI76" s="32" t="s">
        <v>34</v>
      </c>
      <c r="FJ76" s="32" t="s">
        <v>34</v>
      </c>
      <c r="FK76" s="32" t="s">
        <v>34</v>
      </c>
      <c r="FL76" s="32" t="s">
        <v>34</v>
      </c>
      <c r="FM76" s="32" t="s">
        <v>34</v>
      </c>
      <c r="FN76" s="32" t="s">
        <v>34</v>
      </c>
      <c r="FO76" s="32" t="s">
        <v>34</v>
      </c>
      <c r="FP76" s="32" t="s">
        <v>34</v>
      </c>
      <c r="FQ76" s="32" t="s">
        <v>34</v>
      </c>
      <c r="FR76" s="32" t="s">
        <v>34</v>
      </c>
      <c r="FS76" s="32" t="s">
        <v>34</v>
      </c>
      <c r="FT76" s="32" t="s">
        <v>34</v>
      </c>
      <c r="FU76" s="32" t="s">
        <v>34</v>
      </c>
      <c r="FV76" s="32" t="s">
        <v>34</v>
      </c>
      <c r="FW76" s="32" t="s">
        <v>34</v>
      </c>
      <c r="FX76" s="32" t="s">
        <v>34</v>
      </c>
      <c r="FY76" s="32" t="s">
        <v>34</v>
      </c>
      <c r="FZ76" s="32" t="s">
        <v>34</v>
      </c>
      <c r="GA76" s="32" t="s">
        <v>34</v>
      </c>
      <c r="GB76" s="69"/>
      <c r="GC76" s="32" t="s">
        <v>34</v>
      </c>
      <c r="GD76" s="32" t="s">
        <v>34</v>
      </c>
      <c r="GE76" s="32" t="s">
        <v>34</v>
      </c>
      <c r="GF76" s="32" t="s">
        <v>34</v>
      </c>
      <c r="GG76" s="32" t="s">
        <v>34</v>
      </c>
      <c r="GH76" s="69"/>
      <c r="GI76" s="32" t="s">
        <v>34</v>
      </c>
      <c r="GJ76" s="32" t="s">
        <v>34</v>
      </c>
      <c r="GK76" s="32" t="s">
        <v>34</v>
      </c>
      <c r="GL76" s="32" t="s">
        <v>34</v>
      </c>
      <c r="GM76" s="32" t="s">
        <v>34</v>
      </c>
      <c r="GN76" s="32" t="s">
        <v>34</v>
      </c>
      <c r="GO76" s="32" t="s">
        <v>34</v>
      </c>
      <c r="GP76" s="32" t="s">
        <v>34</v>
      </c>
      <c r="GQ76" s="32" t="s">
        <v>34</v>
      </c>
      <c r="GR76" s="32" t="s">
        <v>34</v>
      </c>
      <c r="GS76" s="32" t="s">
        <v>34</v>
      </c>
      <c r="GT76" s="32" t="s">
        <v>34</v>
      </c>
      <c r="GU76" s="32" t="s">
        <v>34</v>
      </c>
      <c r="GV76" s="32" t="s">
        <v>34</v>
      </c>
      <c r="GW76" s="32" t="s">
        <v>34</v>
      </c>
      <c r="GX76" s="32" t="s">
        <v>34</v>
      </c>
      <c r="GY76" s="32" t="s">
        <v>34</v>
      </c>
      <c r="GZ76" s="32" t="s">
        <v>34</v>
      </c>
      <c r="HA76" s="8" t="s">
        <v>34</v>
      </c>
      <c r="HB76" s="32" t="s">
        <v>34</v>
      </c>
      <c r="HC76" s="32" t="s">
        <v>34</v>
      </c>
      <c r="HD76" s="32" t="s">
        <v>34</v>
      </c>
      <c r="HE76" s="32" t="s">
        <v>34</v>
      </c>
      <c r="HF76" s="32" t="s">
        <v>34</v>
      </c>
      <c r="HG76" s="32" t="s">
        <v>34</v>
      </c>
      <c r="HH76" s="32" t="s">
        <v>34</v>
      </c>
      <c r="HI76" s="32" t="s">
        <v>34</v>
      </c>
      <c r="HJ76" s="32" t="s">
        <v>34</v>
      </c>
      <c r="HK76" s="32" t="s">
        <v>34</v>
      </c>
      <c r="HL76" s="32" t="s">
        <v>34</v>
      </c>
      <c r="HM76" s="32" t="s">
        <v>34</v>
      </c>
      <c r="HN76" s="32" t="s">
        <v>34</v>
      </c>
      <c r="HO76" s="32" t="s">
        <v>34</v>
      </c>
      <c r="HP76" s="32" t="s">
        <v>34</v>
      </c>
      <c r="HQ76" s="32" t="s">
        <v>34</v>
      </c>
      <c r="HR76" s="32" t="s">
        <v>34</v>
      </c>
      <c r="HS76" s="32" t="s">
        <v>34</v>
      </c>
      <c r="HT76" s="32" t="s">
        <v>34</v>
      </c>
      <c r="HU76" s="32" t="s">
        <v>34</v>
      </c>
      <c r="HV76" s="32" t="s">
        <v>34</v>
      </c>
      <c r="HW76" s="17" t="s">
        <v>34</v>
      </c>
      <c r="HX76" s="69"/>
      <c r="HY76" s="32" t="s">
        <v>34</v>
      </c>
      <c r="HZ76" s="32" t="s">
        <v>34</v>
      </c>
      <c r="IA76" s="32" t="s">
        <v>34</v>
      </c>
      <c r="IB76" s="32" t="s">
        <v>34</v>
      </c>
      <c r="IC76" s="32" t="s">
        <v>34</v>
      </c>
      <c r="ID76" s="32" t="s">
        <v>34</v>
      </c>
      <c r="IE76" s="32" t="s">
        <v>34</v>
      </c>
      <c r="IF76" s="32" t="s">
        <v>34</v>
      </c>
      <c r="IG76" s="32" t="s">
        <v>34</v>
      </c>
      <c r="IH76" s="32" t="s">
        <v>34</v>
      </c>
      <c r="II76" s="32" t="s">
        <v>34</v>
      </c>
      <c r="IJ76" s="32" t="s">
        <v>34</v>
      </c>
      <c r="IK76" s="32" t="s">
        <v>34</v>
      </c>
      <c r="IL76" s="32" t="s">
        <v>34</v>
      </c>
      <c r="IM76" s="32" t="s">
        <v>34</v>
      </c>
      <c r="IN76" s="32" t="s">
        <v>34</v>
      </c>
      <c r="IO76" s="32" t="s">
        <v>34</v>
      </c>
      <c r="IP76" s="32" t="s">
        <v>34</v>
      </c>
      <c r="IQ76" s="8" t="s">
        <v>34</v>
      </c>
      <c r="IR76" s="32" t="s">
        <v>34</v>
      </c>
      <c r="IS76" s="32" t="s">
        <v>34</v>
      </c>
      <c r="IT76" s="32" t="s">
        <v>34</v>
      </c>
      <c r="IU76" s="32" t="s">
        <v>34</v>
      </c>
      <c r="IV76" s="32" t="s">
        <v>34</v>
      </c>
      <c r="IW76" s="32" t="s">
        <v>34</v>
      </c>
      <c r="IX76" s="32" t="s">
        <v>34</v>
      </c>
      <c r="IY76" s="32" t="s">
        <v>34</v>
      </c>
      <c r="IZ76" s="32" t="s">
        <v>34</v>
      </c>
      <c r="JA76" s="32" t="s">
        <v>34</v>
      </c>
      <c r="JB76" s="32" t="s">
        <v>34</v>
      </c>
      <c r="JC76" s="32" t="s">
        <v>34</v>
      </c>
      <c r="JD76" s="32" t="s">
        <v>34</v>
      </c>
      <c r="JE76" s="32" t="s">
        <v>34</v>
      </c>
      <c r="JF76" s="32" t="s">
        <v>34</v>
      </c>
      <c r="JG76" s="32" t="s">
        <v>34</v>
      </c>
      <c r="JH76" s="32" t="s">
        <v>34</v>
      </c>
      <c r="JI76" s="69"/>
      <c r="JJ76" s="32" t="s">
        <v>34</v>
      </c>
      <c r="JK76" s="32" t="s">
        <v>34</v>
      </c>
      <c r="JL76" s="32" t="s">
        <v>34</v>
      </c>
      <c r="JM76" s="32" t="s">
        <v>34</v>
      </c>
      <c r="JN76" s="32" t="s">
        <v>34</v>
      </c>
      <c r="JO76" s="32" t="s">
        <v>34</v>
      </c>
      <c r="JP76" s="32" t="s">
        <v>34</v>
      </c>
      <c r="JQ76" s="32" t="s">
        <v>34</v>
      </c>
      <c r="JR76" s="32" t="s">
        <v>34</v>
      </c>
      <c r="JS76" s="32" t="s">
        <v>34</v>
      </c>
      <c r="JT76" s="32" t="s">
        <v>34</v>
      </c>
      <c r="JU76" s="69"/>
      <c r="JV76" s="32" t="s">
        <v>34</v>
      </c>
      <c r="JW76" s="32" t="s">
        <v>34</v>
      </c>
      <c r="JX76" s="32" t="s">
        <v>34</v>
      </c>
      <c r="JY76" s="32" t="s">
        <v>34</v>
      </c>
      <c r="JZ76" s="32" t="s">
        <v>34</v>
      </c>
      <c r="KA76" s="32" t="s">
        <v>34</v>
      </c>
      <c r="KB76" s="32" t="s">
        <v>34</v>
      </c>
      <c r="KC76" s="32" t="s">
        <v>34</v>
      </c>
      <c r="KD76" s="32" t="s">
        <v>34</v>
      </c>
      <c r="KE76" s="32" t="s">
        <v>34</v>
      </c>
      <c r="KF76" s="32" t="s">
        <v>34</v>
      </c>
      <c r="KG76" s="32" t="s">
        <v>34</v>
      </c>
      <c r="KH76" s="32" t="s">
        <v>34</v>
      </c>
      <c r="KI76" s="32" t="s">
        <v>34</v>
      </c>
      <c r="KJ76" s="32" t="s">
        <v>34</v>
      </c>
      <c r="KK76" s="32" t="s">
        <v>34</v>
      </c>
      <c r="KL76" s="32" t="s">
        <v>34</v>
      </c>
      <c r="KM76" s="69"/>
      <c r="KN76" s="32" t="s">
        <v>34</v>
      </c>
      <c r="KO76" s="32" t="s">
        <v>34</v>
      </c>
      <c r="KP76" s="32" t="s">
        <v>34</v>
      </c>
      <c r="KQ76" s="32" t="s">
        <v>34</v>
      </c>
      <c r="KR76" s="32" t="s">
        <v>34</v>
      </c>
      <c r="KS76" s="32" t="s">
        <v>34</v>
      </c>
      <c r="KT76" s="32" t="s">
        <v>34</v>
      </c>
      <c r="KU76" s="32" t="s">
        <v>34</v>
      </c>
      <c r="KV76" s="32" t="s">
        <v>34</v>
      </c>
      <c r="KW76" s="32" t="s">
        <v>34</v>
      </c>
      <c r="KX76" s="32" t="s">
        <v>34</v>
      </c>
      <c r="KY76" s="32" t="s">
        <v>34</v>
      </c>
      <c r="KZ76" s="32" t="s">
        <v>34</v>
      </c>
      <c r="LA76" s="32" t="s">
        <v>34</v>
      </c>
      <c r="LB76" s="32" t="s">
        <v>34</v>
      </c>
      <c r="LC76" s="32" t="s">
        <v>34</v>
      </c>
      <c r="LD76" s="32" t="s">
        <v>34</v>
      </c>
      <c r="LE76" s="32" t="s">
        <v>34</v>
      </c>
      <c r="LF76" s="32" t="s">
        <v>34</v>
      </c>
      <c r="LG76" s="32" t="s">
        <v>34</v>
      </c>
      <c r="LH76" s="69"/>
      <c r="LI76" s="32" t="s">
        <v>34</v>
      </c>
      <c r="LJ76" s="32" t="s">
        <v>34</v>
      </c>
      <c r="LK76" s="32" t="s">
        <v>34</v>
      </c>
      <c r="LL76" s="32" t="s">
        <v>34</v>
      </c>
      <c r="LM76" s="32" t="s">
        <v>34</v>
      </c>
      <c r="LN76" s="69"/>
      <c r="LO76" s="32" t="s">
        <v>34</v>
      </c>
      <c r="LP76" s="32" t="s">
        <v>34</v>
      </c>
      <c r="LQ76" s="32" t="s">
        <v>34</v>
      </c>
      <c r="LR76" s="32" t="s">
        <v>34</v>
      </c>
      <c r="LS76" s="32" t="s">
        <v>34</v>
      </c>
      <c r="LT76" s="32" t="s">
        <v>34</v>
      </c>
      <c r="LU76" s="32" t="s">
        <v>34</v>
      </c>
      <c r="LV76" s="32" t="s">
        <v>34</v>
      </c>
      <c r="LW76" s="32" t="s">
        <v>34</v>
      </c>
      <c r="LX76" s="32" t="s">
        <v>34</v>
      </c>
      <c r="LY76" s="32" t="s">
        <v>34</v>
      </c>
      <c r="LZ76" s="32" t="s">
        <v>34</v>
      </c>
      <c r="MA76" s="32" t="s">
        <v>34</v>
      </c>
      <c r="MB76" s="32" t="s">
        <v>34</v>
      </c>
      <c r="MC76" s="32" t="s">
        <v>34</v>
      </c>
      <c r="MD76" s="32" t="s">
        <v>34</v>
      </c>
      <c r="ME76" s="32" t="s">
        <v>34</v>
      </c>
      <c r="MF76" s="32" t="s">
        <v>34</v>
      </c>
      <c r="MG76" s="8" t="s">
        <v>34</v>
      </c>
      <c r="MH76" s="32" t="s">
        <v>34</v>
      </c>
      <c r="MI76" s="32" t="s">
        <v>34</v>
      </c>
      <c r="MJ76" s="32" t="s">
        <v>34</v>
      </c>
      <c r="MK76" s="32" t="s">
        <v>34</v>
      </c>
      <c r="ML76" s="32" t="s">
        <v>34</v>
      </c>
      <c r="MM76" s="32" t="s">
        <v>34</v>
      </c>
      <c r="MN76" s="32" t="s">
        <v>34</v>
      </c>
      <c r="MO76" s="32" t="s">
        <v>34</v>
      </c>
      <c r="MP76" s="32" t="s">
        <v>34</v>
      </c>
      <c r="MQ76" s="32" t="s">
        <v>34</v>
      </c>
      <c r="MR76" s="32" t="s">
        <v>34</v>
      </c>
      <c r="MS76" s="32" t="s">
        <v>34</v>
      </c>
      <c r="MT76" s="32" t="s">
        <v>34</v>
      </c>
      <c r="MU76" s="32" t="s">
        <v>34</v>
      </c>
      <c r="MV76" s="32" t="s">
        <v>34</v>
      </c>
      <c r="MW76" s="32" t="s">
        <v>34</v>
      </c>
      <c r="MX76" s="32" t="s">
        <v>34</v>
      </c>
      <c r="MY76" s="32" t="s">
        <v>34</v>
      </c>
      <c r="MZ76" s="32" t="s">
        <v>34</v>
      </c>
      <c r="NA76" s="32" t="s">
        <v>34</v>
      </c>
      <c r="NB76" s="17" t="s">
        <v>34</v>
      </c>
      <c r="NC76" s="69"/>
      <c r="ND76" s="32" t="s">
        <v>34</v>
      </c>
      <c r="NE76" s="32" t="s">
        <v>34</v>
      </c>
      <c r="NF76" s="32" t="s">
        <v>34</v>
      </c>
      <c r="NG76" s="32" t="s">
        <v>34</v>
      </c>
      <c r="NH76" s="32" t="s">
        <v>34</v>
      </c>
      <c r="NI76" s="32" t="s">
        <v>34</v>
      </c>
      <c r="NJ76" s="32" t="s">
        <v>34</v>
      </c>
      <c r="NK76" s="32" t="s">
        <v>34</v>
      </c>
      <c r="NL76" s="32" t="s">
        <v>34</v>
      </c>
      <c r="NM76" s="32" t="s">
        <v>34</v>
      </c>
      <c r="NN76" s="32" t="s">
        <v>34</v>
      </c>
      <c r="NO76" s="32" t="s">
        <v>34</v>
      </c>
      <c r="NP76" s="32" t="s">
        <v>34</v>
      </c>
      <c r="NQ76" s="32" t="s">
        <v>34</v>
      </c>
      <c r="NR76" s="32" t="s">
        <v>34</v>
      </c>
      <c r="NS76" s="32" t="s">
        <v>34</v>
      </c>
      <c r="NT76" s="32" t="s">
        <v>34</v>
      </c>
      <c r="NU76" s="32" t="s">
        <v>34</v>
      </c>
      <c r="NV76" s="8" t="s">
        <v>34</v>
      </c>
      <c r="NW76" s="32" t="s">
        <v>34</v>
      </c>
      <c r="NX76" s="32" t="s">
        <v>34</v>
      </c>
      <c r="NY76" s="32" t="s">
        <v>34</v>
      </c>
      <c r="NZ76" s="32" t="s">
        <v>34</v>
      </c>
      <c r="OA76" s="32" t="s">
        <v>34</v>
      </c>
      <c r="OB76" s="32" t="s">
        <v>34</v>
      </c>
      <c r="OC76" s="32" t="s">
        <v>34</v>
      </c>
      <c r="OD76" s="32" t="s">
        <v>34</v>
      </c>
      <c r="OE76" s="32" t="s">
        <v>34</v>
      </c>
      <c r="OF76" s="32" t="s">
        <v>34</v>
      </c>
      <c r="OG76" s="32" t="s">
        <v>34</v>
      </c>
      <c r="OH76" s="32" t="s">
        <v>34</v>
      </c>
      <c r="OI76" s="32" t="s">
        <v>34</v>
      </c>
      <c r="OJ76" s="32" t="s">
        <v>34</v>
      </c>
      <c r="OK76" s="32" t="s">
        <v>34</v>
      </c>
      <c r="OL76" s="32" t="s">
        <v>34</v>
      </c>
      <c r="OM76" s="32" t="s">
        <v>34</v>
      </c>
      <c r="ON76" s="69"/>
      <c r="OO76" s="32" t="s">
        <v>34</v>
      </c>
      <c r="OP76" s="32" t="s">
        <v>34</v>
      </c>
      <c r="OQ76" s="32" t="s">
        <v>34</v>
      </c>
      <c r="OR76" s="32" t="s">
        <v>34</v>
      </c>
      <c r="OS76" s="32" t="s">
        <v>34</v>
      </c>
      <c r="OT76" s="32" t="s">
        <v>34</v>
      </c>
      <c r="OU76" s="32" t="s">
        <v>34</v>
      </c>
      <c r="OV76" s="32" t="s">
        <v>34</v>
      </c>
      <c r="OW76" s="32" t="s">
        <v>34</v>
      </c>
      <c r="OX76" s="32" t="s">
        <v>34</v>
      </c>
      <c r="OY76" s="32" t="s">
        <v>34</v>
      </c>
    </row>
    <row r="77" spans="1:415" ht="15.95" customHeight="1" x14ac:dyDescent="0.25">
      <c r="A77" s="10">
        <v>76</v>
      </c>
      <c r="B77" s="3" t="s">
        <v>422</v>
      </c>
      <c r="C77" s="3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9"/>
      <c r="K77" s="32">
        <v>1662.0948549999996</v>
      </c>
      <c r="L77" s="32">
        <v>16.620948549999994</v>
      </c>
      <c r="M77" s="32">
        <v>0.22500000000000001</v>
      </c>
      <c r="N77" s="32">
        <v>896.18074618318315</v>
      </c>
      <c r="O77" s="32">
        <v>8.9618074618318317</v>
      </c>
      <c r="P77" s="32">
        <v>482.58742403003015</v>
      </c>
      <c r="Q77" s="32">
        <v>4.8258742403003012</v>
      </c>
      <c r="R77" s="32">
        <v>689.38408510660668</v>
      </c>
      <c r="S77" s="32">
        <v>6.8938408510660665</v>
      </c>
      <c r="T77" s="32">
        <v>0.33200000000000002</v>
      </c>
      <c r="U77" s="32">
        <v>3.9E-2</v>
      </c>
      <c r="V77" s="32">
        <v>33.41668336598957</v>
      </c>
      <c r="W77" s="32">
        <v>66.58331663401043</v>
      </c>
      <c r="X77" s="32">
        <v>90.944119011511077</v>
      </c>
      <c r="Y77" s="32">
        <v>98.672426734568702</v>
      </c>
      <c r="Z77" s="32">
        <v>0.45574007629997609</v>
      </c>
      <c r="AA77" s="32">
        <v>3.6470236905520239</v>
      </c>
      <c r="AB77" s="69"/>
      <c r="AC77" s="32">
        <v>589.90065600000003</v>
      </c>
      <c r="AD77" s="32">
        <v>5.8990065600000001</v>
      </c>
      <c r="AE77" s="32">
        <v>2.1999999999999999E-2</v>
      </c>
      <c r="AF77" s="32">
        <v>2037.3583409999999</v>
      </c>
      <c r="AG77" s="32">
        <v>20.373583409999998</v>
      </c>
      <c r="AH77" s="32">
        <v>0.13300000000000001</v>
      </c>
      <c r="AI77" s="32">
        <v>1223.8529856452992</v>
      </c>
      <c r="AJ77" s="32">
        <v>12.238529856452992</v>
      </c>
      <c r="AK77" s="32">
        <v>451.6191858760684</v>
      </c>
      <c r="AL77" s="32">
        <v>4.516191858760684</v>
      </c>
      <c r="AM77" s="32">
        <v>837.73608576068386</v>
      </c>
      <c r="AN77" s="32">
        <v>8.3773608576068384</v>
      </c>
      <c r="AO77" s="32">
        <v>0.23300000000000001</v>
      </c>
      <c r="AP77" s="32">
        <v>3.9E-2</v>
      </c>
      <c r="AQ77" s="32">
        <v>30.213935142485546</v>
      </c>
      <c r="AR77" s="32">
        <v>69.786064857514461</v>
      </c>
      <c r="AS77" s="32">
        <v>88.580247547459138</v>
      </c>
      <c r="AT77" s="32">
        <v>98.794926153470712</v>
      </c>
      <c r="AU77" s="32">
        <v>0.34026885185254024</v>
      </c>
      <c r="AV77" s="32">
        <v>5.9874958577839932</v>
      </c>
      <c r="AW77" s="69"/>
      <c r="AX77" s="32">
        <v>30.911983572969469</v>
      </c>
      <c r="AY77" s="32">
        <v>20.287510943820052</v>
      </c>
      <c r="AZ77" s="32">
        <v>-51.396648044692739</v>
      </c>
      <c r="BA77" s="32">
        <v>-35.044247787610615</v>
      </c>
      <c r="BB77" s="32">
        <v>-10.066688957541539</v>
      </c>
      <c r="BC77" s="69"/>
      <c r="BD77" s="32">
        <v>2216.1625729999996</v>
      </c>
      <c r="BE77" s="32">
        <v>22.161625729999997</v>
      </c>
      <c r="BF77" s="32">
        <v>5.2999999999999999E-2</v>
      </c>
      <c r="BG77" s="32">
        <v>2402.4327199999998</v>
      </c>
      <c r="BH77" s="32">
        <v>24.024327199999998</v>
      </c>
      <c r="BI77" s="32">
        <v>8.4000000000000005E-2</v>
      </c>
      <c r="BJ77" s="32">
        <v>1477.0405362590363</v>
      </c>
      <c r="BK77" s="32">
        <v>14.770405362590363</v>
      </c>
      <c r="BL77" s="32">
        <v>217.2203739939759</v>
      </c>
      <c r="BM77" s="32">
        <v>2.1722037399397589</v>
      </c>
      <c r="BN77" s="32">
        <v>847.13045512650615</v>
      </c>
      <c r="BO77" s="32">
        <v>8.471304551265062</v>
      </c>
      <c r="BP77" s="32">
        <v>348.14905931746034</v>
      </c>
      <c r="BQ77" s="32">
        <v>3.4814905931746036</v>
      </c>
      <c r="BR77" s="32">
        <v>1556.5313911269843</v>
      </c>
      <c r="BS77" s="32">
        <v>15.565313911269843</v>
      </c>
      <c r="BT77" s="32">
        <v>0.109</v>
      </c>
      <c r="BU77" s="32">
        <v>-195.20498477500001</v>
      </c>
      <c r="BV77" s="8">
        <v>-1.9520498477500001</v>
      </c>
      <c r="BW77" s="32">
        <v>1226.644343425</v>
      </c>
      <c r="BX77" s="32" t="s">
        <v>34</v>
      </c>
      <c r="BY77" s="32">
        <v>5.6000000000000001E-2</v>
      </c>
      <c r="BZ77" s="32">
        <v>47949.496135499983</v>
      </c>
      <c r="CA77" s="32">
        <v>195498.32168599998</v>
      </c>
      <c r="CB77" s="32">
        <v>0.16500000000000001</v>
      </c>
      <c r="CC77" s="32">
        <v>9.7000000000000003E-2</v>
      </c>
      <c r="CD77" s="32">
        <v>66.060606060606048</v>
      </c>
      <c r="CE77" s="32">
        <v>11.547987015119158</v>
      </c>
      <c r="CF77" s="32">
        <v>12.850379108879295</v>
      </c>
      <c r="CG77" s="32">
        <v>20.595892164116901</v>
      </c>
      <c r="CH77" s="32">
        <v>87.379146353174804</v>
      </c>
      <c r="CI77" s="32">
        <v>11.547987015119158</v>
      </c>
      <c r="CJ77" s="32">
        <v>38.408476180837035</v>
      </c>
      <c r="CK77" s="32">
        <v>20.595892164116901</v>
      </c>
      <c r="CL77" s="32">
        <v>24.723849136375662</v>
      </c>
      <c r="CM77" s="32" t="s">
        <v>34</v>
      </c>
      <c r="CN77" s="32" t="s">
        <v>34</v>
      </c>
      <c r="CO77" s="32" t="s">
        <v>34</v>
      </c>
      <c r="CP77" s="32" t="s">
        <v>34</v>
      </c>
      <c r="CQ77" s="8" t="s">
        <v>34</v>
      </c>
      <c r="CR77" s="69"/>
      <c r="CS77" s="32">
        <v>2627.6015899999998</v>
      </c>
      <c r="CT77" s="32">
        <v>26.276015899999997</v>
      </c>
      <c r="CU77" s="32">
        <v>4.7E-2</v>
      </c>
      <c r="CV77" s="32">
        <v>2723.396718</v>
      </c>
      <c r="CW77" s="32">
        <v>27.23396718</v>
      </c>
      <c r="CX77" s="32">
        <v>8.1000000000000003E-2</v>
      </c>
      <c r="CY77" s="32">
        <v>1730.3314684779873</v>
      </c>
      <c r="CZ77" s="32">
        <v>17.303314684779874</v>
      </c>
      <c r="DA77" s="32">
        <v>173.59872567295599</v>
      </c>
      <c r="DB77" s="32">
        <v>1.73598725672956</v>
      </c>
      <c r="DC77" s="32">
        <v>951.9650970754717</v>
      </c>
      <c r="DD77" s="32">
        <v>9.5196509707547179</v>
      </c>
      <c r="DE77" s="32">
        <v>364.02943313513504</v>
      </c>
      <c r="DF77" s="32">
        <v>3.6402943313513503</v>
      </c>
      <c r="DG77" s="32">
        <v>1738.5958055135136</v>
      </c>
      <c r="DH77" s="32">
        <v>17.385958055135134</v>
      </c>
      <c r="DI77" s="32">
        <v>9.6000000000000002E-2</v>
      </c>
      <c r="DJ77" s="32">
        <v>-266.77228533333329</v>
      </c>
      <c r="DK77" s="8">
        <v>-2.6677228533333328</v>
      </c>
      <c r="DL77" s="32">
        <v>1711.220189083333</v>
      </c>
      <c r="DM77" s="32">
        <v>0.15360588166666667</v>
      </c>
      <c r="DN77" s="32">
        <v>6.0999999999999999E-2</v>
      </c>
      <c r="DO77" s="32">
        <v>80833.649846999993</v>
      </c>
      <c r="DP77" s="32">
        <v>192989.37320500001</v>
      </c>
      <c r="DQ77" s="32">
        <v>0.158</v>
      </c>
      <c r="DR77" s="32">
        <v>9.7000000000000003E-2</v>
      </c>
      <c r="DS77" s="32">
        <v>60.75949367088608</v>
      </c>
      <c r="DT77" s="32">
        <v>8.4067169193925828</v>
      </c>
      <c r="DU77" s="32">
        <v>12.918753153532702</v>
      </c>
      <c r="DV77" s="32">
        <v>17.628541815792705</v>
      </c>
      <c r="DW77" s="32">
        <v>83.793281176587683</v>
      </c>
      <c r="DX77" s="32">
        <v>8.4067169193925828</v>
      </c>
      <c r="DY77" s="32">
        <v>12.918753153532702</v>
      </c>
      <c r="DZ77" s="32">
        <v>17.628541815792705</v>
      </c>
      <c r="EA77" s="32">
        <v>0.2364812075122012</v>
      </c>
      <c r="EB77" s="32">
        <v>11.516334624008071</v>
      </c>
      <c r="EC77" s="69"/>
      <c r="ED77" s="32">
        <v>15.794297128294515</v>
      </c>
      <c r="EE77" s="32">
        <v>30.983039724682037</v>
      </c>
      <c r="EF77" s="32">
        <v>4.4596611624667215</v>
      </c>
      <c r="EG77" s="32">
        <v>12.523397505994041</v>
      </c>
      <c r="EH77" s="32">
        <v>-3.6363636363636398</v>
      </c>
      <c r="EI77" s="32">
        <v>16.988400060550187</v>
      </c>
      <c r="EJ77" s="32">
        <v>-4.3343653250774032</v>
      </c>
      <c r="EK77" s="32">
        <v>138.71939907826251</v>
      </c>
      <c r="EL77" s="32">
        <v>41.808741735716431</v>
      </c>
      <c r="EM77" s="32">
        <v>11.205139131447064</v>
      </c>
      <c r="EN77" s="32">
        <v>-15.525934798060353</v>
      </c>
      <c r="EO77" s="69"/>
      <c r="EP77" s="32">
        <v>1751.6502050000001</v>
      </c>
      <c r="EQ77" s="32">
        <v>17.51650205</v>
      </c>
      <c r="ER77" s="32">
        <v>0.23100000000000001</v>
      </c>
      <c r="ES77" s="32">
        <v>937.76058646268666</v>
      </c>
      <c r="ET77" s="32">
        <v>9.377605864626867</v>
      </c>
      <c r="EU77" s="32">
        <v>465.41122557313429</v>
      </c>
      <c r="EV77" s="32">
        <v>4.6541122557313432</v>
      </c>
      <c r="EW77" s="32">
        <v>701.58590601791047</v>
      </c>
      <c r="EX77" s="32">
        <v>7.0158590601791051</v>
      </c>
      <c r="EY77" s="32">
        <v>0.33400000000000002</v>
      </c>
      <c r="EZ77" s="32">
        <v>5.2999999999999999E-2</v>
      </c>
      <c r="FA77" s="32">
        <v>32.414657021853706</v>
      </c>
      <c r="FB77" s="32">
        <v>67.575007639492341</v>
      </c>
      <c r="FC77" s="32">
        <v>95.680336648099328</v>
      </c>
      <c r="FD77" s="32">
        <v>99.75507649670466</v>
      </c>
      <c r="FE77" s="32">
        <v>0.47243033040313726</v>
      </c>
      <c r="FF77" s="32">
        <v>3.7077429036050051</v>
      </c>
      <c r="FG77" s="69"/>
      <c r="FH77" s="32">
        <v>2137.9503790000008</v>
      </c>
      <c r="FI77" s="32">
        <v>21.379503790000008</v>
      </c>
      <c r="FJ77" s="32">
        <v>0.13100000000000001</v>
      </c>
      <c r="FK77" s="32">
        <v>2137.9503790000008</v>
      </c>
      <c r="FL77" s="32">
        <v>21.379503790000008</v>
      </c>
      <c r="FM77" s="32">
        <v>0.13100000000000001</v>
      </c>
      <c r="FN77" s="32">
        <v>1226.7235708017242</v>
      </c>
      <c r="FO77" s="32">
        <v>12.267235708017243</v>
      </c>
      <c r="FP77" s="32">
        <v>465.30989033620693</v>
      </c>
      <c r="FQ77" s="32">
        <v>4.6530989033620695</v>
      </c>
      <c r="FR77" s="32">
        <v>846.01673056896561</v>
      </c>
      <c r="FS77" s="32">
        <v>8.4601673056896569</v>
      </c>
      <c r="FT77" s="32">
        <v>0.23100000000000001</v>
      </c>
      <c r="FU77" s="32">
        <v>5.2999999999999999E-2</v>
      </c>
      <c r="FV77" s="32">
        <v>28.285455945990897</v>
      </c>
      <c r="FW77" s="32">
        <v>71.714544054009096</v>
      </c>
      <c r="FX77" s="32">
        <v>91.5343894387115</v>
      </c>
      <c r="FY77" s="32">
        <v>99.909206509845461</v>
      </c>
      <c r="FZ77" s="32">
        <v>0.32243085356475149</v>
      </c>
      <c r="GA77" s="32">
        <v>6.6307251783230834</v>
      </c>
      <c r="GB77" s="69"/>
      <c r="GC77" s="32">
        <v>26.700401882751056</v>
      </c>
      <c r="GD77" s="32">
        <v>19.863230974874853</v>
      </c>
      <c r="GE77" s="32">
        <v>-55.248618784530393</v>
      </c>
      <c r="GF77" s="32">
        <v>-36.460176991150441</v>
      </c>
      <c r="GG77" s="32">
        <v>-13.60525005299486</v>
      </c>
      <c r="GH77" s="69"/>
      <c r="GI77" s="32">
        <v>2241.3916570000001</v>
      </c>
      <c r="GJ77" s="32">
        <v>22.413916570000001</v>
      </c>
      <c r="GK77" s="32">
        <v>5.5E-2</v>
      </c>
      <c r="GL77" s="32">
        <v>2454.3878190000005</v>
      </c>
      <c r="GM77" s="32">
        <v>24.543878190000004</v>
      </c>
      <c r="GN77" s="32">
        <v>8.5000000000000006E-2</v>
      </c>
      <c r="GO77" s="32">
        <v>1497.8774909709302</v>
      </c>
      <c r="GP77" s="32">
        <v>14.978774909709303</v>
      </c>
      <c r="GQ77" s="32">
        <v>168.75462981395347</v>
      </c>
      <c r="GR77" s="32">
        <v>1.6875462981395346</v>
      </c>
      <c r="GS77" s="32">
        <v>833.31606039244184</v>
      </c>
      <c r="GT77" s="32">
        <v>8.3331606039244193</v>
      </c>
      <c r="GU77" s="32">
        <v>330.92487938333335</v>
      </c>
      <c r="GV77" s="32">
        <v>3.3092487938333335</v>
      </c>
      <c r="GW77" s="32">
        <v>1561.2825185500001</v>
      </c>
      <c r="GX77" s="32">
        <v>15.6128251855</v>
      </c>
      <c r="GY77" s="32">
        <v>0.109</v>
      </c>
      <c r="GZ77" s="32">
        <v>-205.48440765384618</v>
      </c>
      <c r="HA77" s="8">
        <v>-2.0548440765384619</v>
      </c>
      <c r="HB77" s="32">
        <v>1351.5581965576921</v>
      </c>
      <c r="HC77" s="32">
        <v>-0.9967577867307692</v>
      </c>
      <c r="HD77" s="32">
        <v>6.2E-2</v>
      </c>
      <c r="HE77" s="32">
        <v>69133.442147499998</v>
      </c>
      <c r="HF77" s="32">
        <v>186713.14648349996</v>
      </c>
      <c r="HG77" s="32">
        <v>0.17100000000000001</v>
      </c>
      <c r="HH77" s="32">
        <v>0.115</v>
      </c>
      <c r="HI77" s="32">
        <v>63.742690058479525</v>
      </c>
      <c r="HJ77" s="32">
        <v>11.643457526356501</v>
      </c>
      <c r="HK77" s="32">
        <v>9.5622212266576518</v>
      </c>
      <c r="HL77" s="32">
        <v>18.751348686297121</v>
      </c>
      <c r="HM77" s="32">
        <v>84.874921386664283</v>
      </c>
      <c r="HN77" s="32">
        <v>11.643457526356501</v>
      </c>
      <c r="HO77" s="32">
        <v>34.251469193963956</v>
      </c>
      <c r="HP77" s="32">
        <v>18.751348686297121</v>
      </c>
      <c r="HQ77" s="32">
        <v>23.082843737926115</v>
      </c>
      <c r="HR77" s="32">
        <v>63.742690058479525</v>
      </c>
      <c r="HS77" s="32" t="s">
        <v>34</v>
      </c>
      <c r="HT77" s="32" t="s">
        <v>34</v>
      </c>
      <c r="HU77" s="32" t="s">
        <v>34</v>
      </c>
      <c r="HV77" s="32" t="s">
        <v>34</v>
      </c>
      <c r="HW77" s="8" t="s">
        <v>34</v>
      </c>
      <c r="HX77" s="69"/>
      <c r="HY77" s="32">
        <v>2771.9073750000002</v>
      </c>
      <c r="HZ77" s="32">
        <v>27.719073750000003</v>
      </c>
      <c r="IA77" s="32">
        <v>0.05</v>
      </c>
      <c r="IB77" s="32">
        <v>2782.5111449999999</v>
      </c>
      <c r="IC77" s="32">
        <v>27.825111449999998</v>
      </c>
      <c r="ID77" s="32">
        <v>7.1999999999999995E-2</v>
      </c>
      <c r="IE77" s="32">
        <v>1734.6483788343946</v>
      </c>
      <c r="IF77" s="32">
        <v>17.346483788343946</v>
      </c>
      <c r="IG77" s="32">
        <v>182.96002138853504</v>
      </c>
      <c r="IH77" s="32">
        <v>1.8296002138853504</v>
      </c>
      <c r="II77" s="32">
        <v>958.80420011146487</v>
      </c>
      <c r="IJ77" s="32">
        <v>9.5880420011146494</v>
      </c>
      <c r="IK77" s="32">
        <v>341.39910190000001</v>
      </c>
      <c r="IL77" s="32">
        <v>3.413991019</v>
      </c>
      <c r="IM77" s="32">
        <v>1751.2095856636365</v>
      </c>
      <c r="IN77" s="32">
        <v>17.512095856636364</v>
      </c>
      <c r="IO77" s="32">
        <v>9.6000000000000002E-2</v>
      </c>
      <c r="IP77" s="32">
        <v>-187.85484789361698</v>
      </c>
      <c r="IQ77" s="8">
        <v>-1.8785484789361697</v>
      </c>
      <c r="IR77" s="32">
        <v>1695.8881075319148</v>
      </c>
      <c r="IS77" s="32">
        <v>0.99966990893617025</v>
      </c>
      <c r="IT77" s="32">
        <v>5.8999999999999997E-2</v>
      </c>
      <c r="IU77" s="32">
        <v>78315.692888000005</v>
      </c>
      <c r="IV77" s="32">
        <v>192637.49071599997</v>
      </c>
      <c r="IW77" s="32">
        <v>0.156</v>
      </c>
      <c r="IX77" s="32">
        <v>0.115</v>
      </c>
      <c r="IY77" s="32">
        <v>61.53846153846154</v>
      </c>
      <c r="IZ77" s="32">
        <v>9.0124448707133507</v>
      </c>
      <c r="JA77" s="32">
        <v>9.2535595890762004</v>
      </c>
      <c r="JB77" s="32">
        <v>16.817010412623432</v>
      </c>
      <c r="JC77" s="32">
        <v>85.447207349839758</v>
      </c>
      <c r="JD77" s="32">
        <v>9.0124448707133507</v>
      </c>
      <c r="JE77" s="32">
        <v>9.2535595890762004</v>
      </c>
      <c r="JF77" s="32">
        <v>16.817010412623432</v>
      </c>
      <c r="JG77" s="32">
        <v>0.23240318628852508</v>
      </c>
      <c r="JH77" s="32">
        <v>11.972775371270314</v>
      </c>
      <c r="JI77" s="69"/>
      <c r="JJ77" s="32">
        <v>14.649280308944512</v>
      </c>
      <c r="JK77" s="32">
        <v>-8.9640479619517102</v>
      </c>
      <c r="JL77" s="32">
        <v>3.115825943520099</v>
      </c>
      <c r="JM77" s="32">
        <v>12.531207046598253</v>
      </c>
      <c r="JN77" s="32">
        <v>-16.560509554140143</v>
      </c>
      <c r="JO77" s="32">
        <v>21.164335684494635</v>
      </c>
      <c r="JP77" s="32">
        <v>-9.1743119266055118</v>
      </c>
      <c r="JQ77" s="32">
        <v>137.53671510815454</v>
      </c>
      <c r="JR77" s="32">
        <v>5.9196364883470478</v>
      </c>
      <c r="JS77" s="32">
        <v>-22.873101209409757</v>
      </c>
      <c r="JT77" s="32">
        <v>-10.876736080481109</v>
      </c>
      <c r="JU77" s="69"/>
      <c r="JV77" s="32">
        <v>1712.0482460000001</v>
      </c>
      <c r="JW77" s="32">
        <v>17.120482460000002</v>
      </c>
      <c r="JX77" s="32">
        <v>0.21199999999999999</v>
      </c>
      <c r="JY77" s="32">
        <v>991.05832599694202</v>
      </c>
      <c r="JZ77" s="32">
        <v>9.910583259969421</v>
      </c>
      <c r="KA77" s="32">
        <v>465.31040213455657</v>
      </c>
      <c r="KB77" s="32">
        <v>4.6531040213455661</v>
      </c>
      <c r="KC77" s="32">
        <v>728.18436406574926</v>
      </c>
      <c r="KD77" s="32">
        <v>7.2818436406574927</v>
      </c>
      <c r="KE77" s="32">
        <v>0.32600000000000001</v>
      </c>
      <c r="KF77" s="32">
        <v>6.6000000000000003E-2</v>
      </c>
      <c r="KG77" s="32">
        <v>31.46846514431228</v>
      </c>
      <c r="KH77" s="32">
        <v>68.083082850448577</v>
      </c>
      <c r="KI77" s="32">
        <v>92.968754907531022</v>
      </c>
      <c r="KJ77" s="32">
        <v>99.689149823526279</v>
      </c>
      <c r="KK77" s="32">
        <v>0.49575662720022962</v>
      </c>
      <c r="KL77" s="32">
        <v>3.4534046587914315</v>
      </c>
      <c r="KM77" s="69"/>
      <c r="KN77" s="32">
        <v>2201.2126219999996</v>
      </c>
      <c r="KO77" s="32">
        <v>22.012126219999995</v>
      </c>
      <c r="KP77" s="32">
        <v>0.123</v>
      </c>
      <c r="KQ77" s="32">
        <v>2201.2126219999996</v>
      </c>
      <c r="KR77" s="32">
        <v>22.012126219999995</v>
      </c>
      <c r="KS77" s="32">
        <v>0.123</v>
      </c>
      <c r="KT77" s="32">
        <v>1298.6958174666668</v>
      </c>
      <c r="KU77" s="32">
        <v>12.986958174666668</v>
      </c>
      <c r="KV77" s="32">
        <v>470.68967191999997</v>
      </c>
      <c r="KW77" s="32">
        <v>4.7068967191999995</v>
      </c>
      <c r="KX77" s="32">
        <v>884.69274469333334</v>
      </c>
      <c r="KY77" s="32">
        <v>8.8469274469333339</v>
      </c>
      <c r="KZ77" s="32">
        <v>0.224</v>
      </c>
      <c r="LA77" s="32">
        <v>6.6000000000000003E-2</v>
      </c>
      <c r="LB77" s="32">
        <v>28.067409952775336</v>
      </c>
      <c r="LC77" s="32">
        <v>71.932590047224679</v>
      </c>
      <c r="LD77" s="32">
        <v>63.65853571120158</v>
      </c>
      <c r="LE77" s="32">
        <v>99.807261288941476</v>
      </c>
      <c r="LF77" s="32">
        <v>0.33372814805752354</v>
      </c>
      <c r="LG77" s="32">
        <v>6.5958254789481652</v>
      </c>
      <c r="LH77" s="69"/>
      <c r="LI77" s="32">
        <v>26.870788058003054</v>
      </c>
      <c r="LJ77" s="32">
        <v>25.000345875229268</v>
      </c>
      <c r="LK77" s="32">
        <v>-53.134328358208961</v>
      </c>
      <c r="LL77" s="32">
        <v>-37.090909090909093</v>
      </c>
      <c r="LM77" s="32">
        <v>-11.425229530902847</v>
      </c>
      <c r="LN77" s="69"/>
      <c r="LO77" s="32">
        <v>968.44624799999997</v>
      </c>
      <c r="LP77" s="32">
        <v>9.6844624800000005</v>
      </c>
      <c r="LQ77" s="32">
        <v>1.9E-2</v>
      </c>
      <c r="LR77" s="32">
        <v>2379.5659729999998</v>
      </c>
      <c r="LS77" s="32">
        <v>23.795659729999997</v>
      </c>
      <c r="LT77" s="32">
        <v>8.7999999999999995E-2</v>
      </c>
      <c r="LU77" s="32">
        <v>1449.2102900989009</v>
      </c>
      <c r="LV77" s="32">
        <v>14.492102900989009</v>
      </c>
      <c r="LW77" s="32">
        <v>161.10949272527475</v>
      </c>
      <c r="LX77" s="32">
        <v>1.6110949272527475</v>
      </c>
      <c r="LY77" s="32">
        <v>805.15989141208786</v>
      </c>
      <c r="LZ77" s="32">
        <v>8.0515989141208788</v>
      </c>
      <c r="MA77" s="32">
        <v>329.32040175806458</v>
      </c>
      <c r="MB77" s="32">
        <v>3.2932040175806456</v>
      </c>
      <c r="MC77" s="32">
        <v>1522.4252347661293</v>
      </c>
      <c r="MD77" s="32">
        <v>15.224252347661293</v>
      </c>
      <c r="ME77" s="32">
        <v>0.11700000000000001</v>
      </c>
      <c r="MF77" s="32">
        <v>-198.51383003448277</v>
      </c>
      <c r="MG77" s="8">
        <v>-1.9851383003448277</v>
      </c>
      <c r="MH77" s="32">
        <v>1292.6817877068966</v>
      </c>
      <c r="MI77" s="32">
        <v>-0.3418040831034484</v>
      </c>
      <c r="MJ77" s="32">
        <v>6.4000000000000001E-2</v>
      </c>
      <c r="MK77" s="32">
        <v>73848.058128499993</v>
      </c>
      <c r="ML77" s="32">
        <v>188174.12021800003</v>
      </c>
      <c r="MM77" s="32">
        <v>0.18099999999999999</v>
      </c>
      <c r="MN77" s="32">
        <v>0.111</v>
      </c>
      <c r="MO77" s="32">
        <v>64.640883977900558</v>
      </c>
      <c r="MP77" s="32">
        <v>11.209828712380808</v>
      </c>
      <c r="MQ77" s="32">
        <v>9.0976523755306093</v>
      </c>
      <c r="MR77" s="32">
        <v>18.596312884392404</v>
      </c>
      <c r="MS77" s="32">
        <v>81.835099939417233</v>
      </c>
      <c r="MT77" s="32">
        <v>11.209828712380808</v>
      </c>
      <c r="MU77" s="32">
        <v>32.586915264392644</v>
      </c>
      <c r="MV77" s="32">
        <v>18.596312884392404</v>
      </c>
      <c r="MW77" s="32">
        <v>17.584578936851827</v>
      </c>
      <c r="MX77" s="32" t="s">
        <v>34</v>
      </c>
      <c r="MY77" s="32" t="s">
        <v>34</v>
      </c>
      <c r="MZ77" s="32" t="s">
        <v>34</v>
      </c>
      <c r="NA77" s="32" t="s">
        <v>34</v>
      </c>
      <c r="NB77" s="8" t="s">
        <v>34</v>
      </c>
      <c r="NC77" s="69"/>
      <c r="ND77" s="32">
        <v>2633.5347500000003</v>
      </c>
      <c r="NE77" s="32">
        <v>26.335347500000001</v>
      </c>
      <c r="NF77" s="32">
        <v>0.05</v>
      </c>
      <c r="NG77" s="32">
        <v>2724.460775</v>
      </c>
      <c r="NH77" s="32">
        <v>27.24460775</v>
      </c>
      <c r="NI77" s="32">
        <v>8.4000000000000005E-2</v>
      </c>
      <c r="NJ77" s="32">
        <v>1707.2381629069769</v>
      </c>
      <c r="NK77" s="32">
        <v>17.072381629069767</v>
      </c>
      <c r="NL77" s="32">
        <v>114.11175623255814</v>
      </c>
      <c r="NM77" s="32">
        <v>1.1411175623255814</v>
      </c>
      <c r="NN77" s="32">
        <v>910.67495956976745</v>
      </c>
      <c r="NO77" s="32">
        <v>9.1067495956976749</v>
      </c>
      <c r="NP77" s="32">
        <v>323.53732030275233</v>
      </c>
      <c r="NQ77" s="32">
        <v>3.2353732030275233</v>
      </c>
      <c r="NR77" s="32">
        <v>1622.8578141926607</v>
      </c>
      <c r="NS77" s="32">
        <v>16.228578141926608</v>
      </c>
      <c r="NT77" s="32">
        <v>9.8000000000000004E-2</v>
      </c>
      <c r="NU77" s="32">
        <v>-248.22771176190477</v>
      </c>
      <c r="NV77" s="8">
        <v>-2.4822771176190477</v>
      </c>
      <c r="NW77" s="32">
        <v>1853.2295598888888</v>
      </c>
      <c r="NX77" s="32">
        <v>-0.31322836730158732</v>
      </c>
      <c r="NY77" s="32">
        <v>7.1999999999999995E-2</v>
      </c>
      <c r="NZ77" s="32">
        <v>115412.782259</v>
      </c>
      <c r="OA77" s="32">
        <v>176892.980511</v>
      </c>
      <c r="OB77" s="32">
        <v>0.17100000000000001</v>
      </c>
      <c r="OC77" s="32">
        <v>0.111</v>
      </c>
      <c r="OD77" s="32">
        <v>57.309941520467831</v>
      </c>
      <c r="OE77" s="32">
        <v>5.6964986212708215</v>
      </c>
      <c r="OF77" s="32">
        <v>12.391613839779406</v>
      </c>
      <c r="OG77" s="32">
        <v>16.151095731786093</v>
      </c>
      <c r="OH77" s="32">
        <v>85.225923798425669</v>
      </c>
      <c r="OI77" s="32">
        <v>5.6964986212708215</v>
      </c>
      <c r="OJ77" s="32">
        <v>12.391613839779406</v>
      </c>
      <c r="OK77" s="32">
        <v>16.151095731786093</v>
      </c>
      <c r="OL77" s="32">
        <v>0.27699702753196126</v>
      </c>
      <c r="OM77" s="32">
        <v>9.8357040119704493</v>
      </c>
      <c r="ON77" s="69"/>
      <c r="OO77" s="32">
        <v>16.349253070320639</v>
      </c>
      <c r="OP77" s="32">
        <v>22.256216212854554</v>
      </c>
      <c r="OQ77" s="32">
        <v>-1.7716207559151824</v>
      </c>
      <c r="OR77" s="32">
        <v>13.514615774109979</v>
      </c>
      <c r="OS77" s="32">
        <v>-4.6511627906976623</v>
      </c>
      <c r="OT77" s="32">
        <v>92.454041424679403</v>
      </c>
      <c r="OU77" s="32">
        <v>-5.681818181818171</v>
      </c>
      <c r="OV77" s="32">
        <v>114.76800513892766</v>
      </c>
      <c r="OW77" s="32">
        <v>45.979708534746386</v>
      </c>
      <c r="OX77" s="32">
        <v>10.014516060082357</v>
      </c>
      <c r="OY77" s="32">
        <v>-14.074241792337922</v>
      </c>
    </row>
    <row r="78" spans="1:415" ht="15.75" x14ac:dyDescent="0.25">
      <c r="A78" s="10">
        <v>77</v>
      </c>
      <c r="B78" s="3" t="s">
        <v>424</v>
      </c>
      <c r="C78" s="3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9"/>
      <c r="K78" s="32">
        <v>1715.6910350000003</v>
      </c>
      <c r="L78" s="32">
        <v>16.657194514563109</v>
      </c>
      <c r="M78" s="32">
        <v>0.223</v>
      </c>
      <c r="N78" s="32">
        <v>1004.537286569697</v>
      </c>
      <c r="O78" s="32">
        <v>9.752789189997058</v>
      </c>
      <c r="P78" s="32">
        <v>518.49947359393934</v>
      </c>
      <c r="Q78" s="32">
        <v>5.0339754717858192</v>
      </c>
      <c r="R78" s="32">
        <v>761.51838008181812</v>
      </c>
      <c r="S78" s="32">
        <v>7.3933823308914377</v>
      </c>
      <c r="T78" s="32">
        <v>0.32900000000000001</v>
      </c>
      <c r="U78" s="32">
        <v>5.7000000000000002E-2</v>
      </c>
      <c r="V78" s="32">
        <v>33.756852301571826</v>
      </c>
      <c r="W78" s="32">
        <v>65.538740590245183</v>
      </c>
      <c r="X78" s="32">
        <v>87.81226427251849</v>
      </c>
      <c r="Y78" s="32">
        <v>98.333142603735141</v>
      </c>
      <c r="Z78" s="32">
        <v>0.50994250654592554</v>
      </c>
      <c r="AA78" s="32">
        <v>3.3644793539984779</v>
      </c>
      <c r="AB78" s="69"/>
      <c r="AC78" s="32">
        <v>853.96825800000033</v>
      </c>
      <c r="AD78" s="32">
        <v>8.2909539611650516</v>
      </c>
      <c r="AE78" s="32">
        <v>1.4E-2</v>
      </c>
      <c r="AF78" s="32">
        <v>1982.463735</v>
      </c>
      <c r="AG78" s="32">
        <v>19.247220728155341</v>
      </c>
      <c r="AH78" s="32">
        <v>0.13800000000000001</v>
      </c>
      <c r="AI78" s="32">
        <v>1277.4476625</v>
      </c>
      <c r="AJ78" s="32">
        <v>12.402404490291262</v>
      </c>
      <c r="AK78" s="32">
        <v>477.37985480327876</v>
      </c>
      <c r="AL78" s="32">
        <v>4.634755871876493</v>
      </c>
      <c r="AM78" s="32">
        <v>877.41375865163934</v>
      </c>
      <c r="AN78" s="32">
        <v>8.5185801810838768</v>
      </c>
      <c r="AO78" s="32">
        <v>0.24299999999999999</v>
      </c>
      <c r="AP78" s="32">
        <v>5.7000000000000002E-2</v>
      </c>
      <c r="AQ78" s="32">
        <v>30.886402749735556</v>
      </c>
      <c r="AR78" s="32">
        <v>69.113597250264448</v>
      </c>
      <c r="AS78" s="32">
        <v>71.310637428528665</v>
      </c>
      <c r="AT78" s="32">
        <v>95.953337212418219</v>
      </c>
      <c r="AU78" s="32">
        <v>0.38183564667085346</v>
      </c>
      <c r="AV78" s="32">
        <v>5.1919294394975797</v>
      </c>
      <c r="AW78" s="69"/>
      <c r="AX78" s="32">
        <v>-23.918683253503584</v>
      </c>
      <c r="AY78" s="32">
        <v>-14.427341016882306</v>
      </c>
      <c r="AZ78" s="32">
        <v>47.091412742382275</v>
      </c>
      <c r="BA78" s="32">
        <v>30.069930069930074</v>
      </c>
      <c r="BB78" s="32">
        <v>8.8808942234050328</v>
      </c>
      <c r="BC78" s="69"/>
      <c r="BD78" s="32">
        <v>2421.8189170000001</v>
      </c>
      <c r="BE78" s="32">
        <v>23.512805019417478</v>
      </c>
      <c r="BF78" s="32">
        <v>1.6E-2</v>
      </c>
      <c r="BG78" s="32">
        <v>2421.8189170000001</v>
      </c>
      <c r="BH78" s="32">
        <v>23.512805019417478</v>
      </c>
      <c r="BI78" s="32">
        <v>1.6E-2</v>
      </c>
      <c r="BJ78" s="32">
        <v>1473.4495887189189</v>
      </c>
      <c r="BK78" s="32">
        <v>14.305335812805039</v>
      </c>
      <c r="BL78" s="32">
        <v>156.55248315135137</v>
      </c>
      <c r="BM78" s="32">
        <v>1.5199270208869065</v>
      </c>
      <c r="BN78" s="32">
        <v>815.00103593513518</v>
      </c>
      <c r="BO78" s="32">
        <v>7.912631416845973</v>
      </c>
      <c r="BP78" s="32">
        <v>357.886429109375</v>
      </c>
      <c r="BQ78" s="32">
        <v>3.4746255253337379</v>
      </c>
      <c r="BR78" s="32">
        <v>1418.3365922343751</v>
      </c>
      <c r="BS78" s="32">
        <v>13.770258177032767</v>
      </c>
      <c r="BT78" s="32">
        <v>0.113</v>
      </c>
      <c r="BU78" s="32">
        <v>-295.56585163157894</v>
      </c>
      <c r="BV78" s="8">
        <v>-2.8695713750638734</v>
      </c>
      <c r="BW78" s="32">
        <v>1597.212107140351</v>
      </c>
      <c r="BX78" s="32" t="s">
        <v>34</v>
      </c>
      <c r="BY78" s="32">
        <v>7.0999999999999994E-2</v>
      </c>
      <c r="BZ78" s="32">
        <v>90016.180287499999</v>
      </c>
      <c r="CA78" s="32">
        <v>180738.53341099998</v>
      </c>
      <c r="CB78" s="32">
        <v>0.184</v>
      </c>
      <c r="CC78" s="32" t="s">
        <v>34</v>
      </c>
      <c r="CD78" s="32">
        <v>61.413043478260875</v>
      </c>
      <c r="CE78" s="32">
        <v>17.266218752828294</v>
      </c>
      <c r="CF78" s="32">
        <v>9.1454050103158</v>
      </c>
      <c r="CG78" s="32">
        <v>20.906831217340905</v>
      </c>
      <c r="CH78" s="32">
        <v>86.075244415575014</v>
      </c>
      <c r="CI78" s="32">
        <v>17.266218752828294</v>
      </c>
      <c r="CJ78" s="32">
        <v>38.207768733556449</v>
      </c>
      <c r="CK78" s="32">
        <v>20.906831217340905</v>
      </c>
      <c r="CL78" s="32">
        <v>23.210686624037091</v>
      </c>
      <c r="CM78" s="32" t="s">
        <v>34</v>
      </c>
      <c r="CN78" s="32" t="s">
        <v>34</v>
      </c>
      <c r="CO78" s="32" t="s">
        <v>34</v>
      </c>
      <c r="CP78" s="32" t="s">
        <v>34</v>
      </c>
      <c r="CQ78" s="17" t="s">
        <v>34</v>
      </c>
      <c r="CR78" s="69"/>
      <c r="CS78" s="32" t="s">
        <v>34</v>
      </c>
      <c r="CT78" s="32" t="s">
        <v>34</v>
      </c>
      <c r="CU78" s="32" t="s">
        <v>34</v>
      </c>
      <c r="CV78" s="32" t="s">
        <v>34</v>
      </c>
      <c r="CW78" s="32" t="s">
        <v>34</v>
      </c>
      <c r="CX78" s="32" t="s">
        <v>34</v>
      </c>
      <c r="CY78" s="32" t="s">
        <v>34</v>
      </c>
      <c r="CZ78" s="32" t="s">
        <v>34</v>
      </c>
      <c r="DA78" s="32" t="s">
        <v>34</v>
      </c>
      <c r="DB78" s="32" t="s">
        <v>34</v>
      </c>
      <c r="DC78" s="32" t="s">
        <v>34</v>
      </c>
      <c r="DD78" s="32" t="s">
        <v>34</v>
      </c>
      <c r="DE78" s="32" t="s">
        <v>34</v>
      </c>
      <c r="DF78" s="32" t="s">
        <v>34</v>
      </c>
      <c r="DG78" s="32" t="s">
        <v>34</v>
      </c>
      <c r="DH78" s="32" t="s">
        <v>34</v>
      </c>
      <c r="DI78" s="32" t="s">
        <v>34</v>
      </c>
      <c r="DJ78" s="32" t="s">
        <v>34</v>
      </c>
      <c r="DK78" s="8" t="s">
        <v>34</v>
      </c>
      <c r="DL78" s="32" t="s">
        <v>34</v>
      </c>
      <c r="DM78" s="32" t="s">
        <v>34</v>
      </c>
      <c r="DN78" s="32" t="s">
        <v>34</v>
      </c>
      <c r="DO78" s="32" t="s">
        <v>34</v>
      </c>
      <c r="DP78" s="32" t="s">
        <v>34</v>
      </c>
      <c r="DQ78" s="32" t="s">
        <v>34</v>
      </c>
      <c r="DR78" s="32" t="s">
        <v>34</v>
      </c>
      <c r="DS78" s="32" t="s">
        <v>34</v>
      </c>
      <c r="DT78" s="32" t="s">
        <v>34</v>
      </c>
      <c r="DU78" s="32" t="s">
        <v>34</v>
      </c>
      <c r="DV78" s="32" t="s">
        <v>34</v>
      </c>
      <c r="DW78" s="32" t="s">
        <v>34</v>
      </c>
      <c r="DX78" s="32" t="s">
        <v>34</v>
      </c>
      <c r="DY78" s="32" t="s">
        <v>34</v>
      </c>
      <c r="DZ78" s="32" t="s">
        <v>34</v>
      </c>
      <c r="EA78" s="32" t="s">
        <v>34</v>
      </c>
      <c r="EB78" s="32" t="s">
        <v>34</v>
      </c>
      <c r="EC78" s="69"/>
      <c r="ED78" s="32" t="s">
        <v>34</v>
      </c>
      <c r="EE78" s="32" t="s">
        <v>34</v>
      </c>
      <c r="EF78" s="32" t="s">
        <v>34</v>
      </c>
      <c r="EG78" s="32" t="s">
        <v>34</v>
      </c>
      <c r="EH78" s="32" t="s">
        <v>34</v>
      </c>
      <c r="EI78" s="32" t="s">
        <v>34</v>
      </c>
      <c r="EJ78" s="32" t="s">
        <v>34</v>
      </c>
      <c r="EK78" s="32" t="s">
        <v>34</v>
      </c>
      <c r="EL78" s="32" t="s">
        <v>34</v>
      </c>
      <c r="EM78" s="32" t="s">
        <v>34</v>
      </c>
      <c r="EN78" s="32" t="s">
        <v>34</v>
      </c>
      <c r="EO78" s="69"/>
      <c r="EP78" s="32">
        <v>1748.981278</v>
      </c>
      <c r="EQ78" s="32">
        <v>16.980400757281554</v>
      </c>
      <c r="ER78" s="32">
        <v>0.29499999999999998</v>
      </c>
      <c r="ES78" s="32">
        <v>922.11291292926819</v>
      </c>
      <c r="ET78" s="32">
        <v>8.9525525527113423</v>
      </c>
      <c r="EU78" s="32">
        <v>367.03648037317078</v>
      </c>
      <c r="EV78" s="32">
        <v>3.5634609744968038</v>
      </c>
      <c r="EW78" s="32">
        <v>644.57469665121948</v>
      </c>
      <c r="EX78" s="32">
        <v>6.2580067636040724</v>
      </c>
      <c r="EY78" s="32">
        <v>0.40899999999999997</v>
      </c>
      <c r="EZ78" s="32">
        <v>0.04</v>
      </c>
      <c r="FA78" s="32">
        <v>29.72391341909028</v>
      </c>
      <c r="FB78" s="32">
        <v>40.276086580909698</v>
      </c>
      <c r="FC78" s="32">
        <v>98.461502087481804</v>
      </c>
      <c r="FD78" s="32">
        <v>89.125170315393376</v>
      </c>
      <c r="FE78" s="32">
        <v>0.66728113669181233</v>
      </c>
      <c r="FF78" s="32">
        <v>2.62105607641023</v>
      </c>
      <c r="FG78" s="69"/>
      <c r="FH78" s="32" t="s">
        <v>34</v>
      </c>
      <c r="FI78" s="32" t="s">
        <v>34</v>
      </c>
      <c r="FJ78" s="32" t="s">
        <v>34</v>
      </c>
      <c r="FK78" s="32" t="s">
        <v>34</v>
      </c>
      <c r="FL78" s="32" t="s">
        <v>34</v>
      </c>
      <c r="FM78" s="32" t="s">
        <v>34</v>
      </c>
      <c r="FN78" s="32" t="s">
        <v>34</v>
      </c>
      <c r="FO78" s="32" t="s">
        <v>34</v>
      </c>
      <c r="FP78" s="32" t="s">
        <v>34</v>
      </c>
      <c r="FQ78" s="32" t="s">
        <v>34</v>
      </c>
      <c r="FR78" s="32" t="s">
        <v>34</v>
      </c>
      <c r="FS78" s="32" t="s">
        <v>34</v>
      </c>
      <c r="FT78" s="32" t="s">
        <v>34</v>
      </c>
      <c r="FU78" s="32" t="s">
        <v>34</v>
      </c>
      <c r="FV78" s="32" t="s">
        <v>34</v>
      </c>
      <c r="FW78" s="32" t="s">
        <v>34</v>
      </c>
      <c r="FX78" s="32" t="s">
        <v>34</v>
      </c>
      <c r="FY78" s="32" t="s">
        <v>34</v>
      </c>
      <c r="FZ78" s="32" t="s">
        <v>34</v>
      </c>
      <c r="GA78" s="32" t="s">
        <v>34</v>
      </c>
      <c r="GB78" s="69"/>
      <c r="GC78" s="32" t="s">
        <v>34</v>
      </c>
      <c r="GD78" s="32" t="s">
        <v>34</v>
      </c>
      <c r="GE78" s="32" t="s">
        <v>34</v>
      </c>
      <c r="GF78" s="32" t="s">
        <v>34</v>
      </c>
      <c r="GG78" s="32" t="s">
        <v>34</v>
      </c>
      <c r="GH78" s="69"/>
      <c r="GI78" s="32">
        <v>2064.9860250000002</v>
      </c>
      <c r="GJ78" s="32">
        <v>20.048408009708741</v>
      </c>
      <c r="GK78" s="32">
        <v>1.6E-2</v>
      </c>
      <c r="GL78" s="32">
        <v>2498.3900519999997</v>
      </c>
      <c r="GM78" s="32">
        <v>24.256214097087376</v>
      </c>
      <c r="GN78" s="32">
        <v>8.5000000000000006E-2</v>
      </c>
      <c r="GO78" s="32">
        <v>1581.3372250744678</v>
      </c>
      <c r="GP78" s="32">
        <v>15.352788592955998</v>
      </c>
      <c r="GQ78" s="32">
        <v>190.41429447872341</v>
      </c>
      <c r="GR78" s="32">
        <v>1.8486824706672176</v>
      </c>
      <c r="GS78" s="32">
        <v>885.8757597765956</v>
      </c>
      <c r="GT78" s="32">
        <v>8.6007355318116083</v>
      </c>
      <c r="GU78" s="32">
        <v>341.17237918248179</v>
      </c>
      <c r="GV78" s="32">
        <v>3.3123531959464252</v>
      </c>
      <c r="GW78" s="32">
        <v>1521.3235944744524</v>
      </c>
      <c r="GX78" s="32">
        <v>14.770131985188858</v>
      </c>
      <c r="GY78" s="32">
        <v>0.12</v>
      </c>
      <c r="GZ78" s="32">
        <v>-214.56330560784312</v>
      </c>
      <c r="HA78" s="8">
        <v>-2.083138889396535</v>
      </c>
      <c r="HB78" s="32">
        <v>1742.5503111960786</v>
      </c>
      <c r="HC78" s="32">
        <v>0.32019874490767175</v>
      </c>
      <c r="HD78" s="32">
        <v>6.7000000000000004E-2</v>
      </c>
      <c r="HE78" s="32">
        <v>87669.354470999999</v>
      </c>
      <c r="HF78" s="32">
        <v>208068.2504435</v>
      </c>
      <c r="HG78" s="32">
        <v>0.187</v>
      </c>
      <c r="HH78" s="32" t="s">
        <v>34</v>
      </c>
      <c r="HI78" s="32">
        <v>64.171122994652407</v>
      </c>
      <c r="HJ78" s="32">
        <v>11.648105182778563</v>
      </c>
      <c r="HK78" s="32">
        <v>10.337115771540699</v>
      </c>
      <c r="HL78" s="32">
        <v>18.521395104900424</v>
      </c>
      <c r="HM78" s="32">
        <v>85.84684261332184</v>
      </c>
      <c r="HN78" s="32">
        <v>11.648105182778563</v>
      </c>
      <c r="HO78" s="32">
        <v>34.399298711543238</v>
      </c>
      <c r="HP78" s="32">
        <v>18.521395104900424</v>
      </c>
      <c r="HQ78" s="32">
        <v>21.964959872257381</v>
      </c>
      <c r="HR78" s="32">
        <v>64.171122994652407</v>
      </c>
      <c r="HS78" s="32" t="s">
        <v>34</v>
      </c>
      <c r="HT78" s="32" t="s">
        <v>34</v>
      </c>
      <c r="HU78" s="32" t="s">
        <v>34</v>
      </c>
      <c r="HV78" s="32" t="s">
        <v>34</v>
      </c>
      <c r="HW78" s="17" t="s">
        <v>34</v>
      </c>
      <c r="HX78" s="69"/>
      <c r="HY78" s="32" t="s">
        <v>34</v>
      </c>
      <c r="HZ78" s="32" t="s">
        <v>34</v>
      </c>
      <c r="IA78" s="32" t="s">
        <v>34</v>
      </c>
      <c r="IB78" s="32" t="s">
        <v>34</v>
      </c>
      <c r="IC78" s="32" t="s">
        <v>34</v>
      </c>
      <c r="ID78" s="32" t="s">
        <v>34</v>
      </c>
      <c r="IE78" s="32" t="s">
        <v>34</v>
      </c>
      <c r="IF78" s="32" t="s">
        <v>34</v>
      </c>
      <c r="IG78" s="32" t="s">
        <v>34</v>
      </c>
      <c r="IH78" s="32" t="s">
        <v>34</v>
      </c>
      <c r="II78" s="32" t="s">
        <v>34</v>
      </c>
      <c r="IJ78" s="32" t="s">
        <v>34</v>
      </c>
      <c r="IK78" s="32" t="s">
        <v>34</v>
      </c>
      <c r="IL78" s="32" t="s">
        <v>34</v>
      </c>
      <c r="IM78" s="32" t="s">
        <v>34</v>
      </c>
      <c r="IN78" s="32" t="s">
        <v>34</v>
      </c>
      <c r="IO78" s="32" t="s">
        <v>34</v>
      </c>
      <c r="IP78" s="32" t="s">
        <v>34</v>
      </c>
      <c r="IQ78" s="8" t="s">
        <v>34</v>
      </c>
      <c r="IR78" s="32" t="s">
        <v>34</v>
      </c>
      <c r="IS78" s="32" t="s">
        <v>34</v>
      </c>
      <c r="IT78" s="32" t="s">
        <v>34</v>
      </c>
      <c r="IU78" s="32" t="s">
        <v>34</v>
      </c>
      <c r="IV78" s="32" t="s">
        <v>34</v>
      </c>
      <c r="IW78" s="32" t="s">
        <v>34</v>
      </c>
      <c r="IX78" s="32" t="s">
        <v>34</v>
      </c>
      <c r="IY78" s="32" t="s">
        <v>34</v>
      </c>
      <c r="IZ78" s="32" t="s">
        <v>34</v>
      </c>
      <c r="JA78" s="32" t="s">
        <v>34</v>
      </c>
      <c r="JB78" s="32" t="s">
        <v>34</v>
      </c>
      <c r="JC78" s="32" t="s">
        <v>34</v>
      </c>
      <c r="JD78" s="32" t="s">
        <v>34</v>
      </c>
      <c r="JE78" s="32" t="s">
        <v>34</v>
      </c>
      <c r="JF78" s="32" t="s">
        <v>34</v>
      </c>
      <c r="JG78" s="32" t="s">
        <v>34</v>
      </c>
      <c r="JH78" s="32" t="s">
        <v>34</v>
      </c>
      <c r="JI78" s="69"/>
      <c r="JJ78" s="32" t="s">
        <v>34</v>
      </c>
      <c r="JK78" s="32" t="s">
        <v>34</v>
      </c>
      <c r="JL78" s="32" t="s">
        <v>34</v>
      </c>
      <c r="JM78" s="32" t="s">
        <v>34</v>
      </c>
      <c r="JN78" s="32" t="s">
        <v>34</v>
      </c>
      <c r="JO78" s="32" t="s">
        <v>34</v>
      </c>
      <c r="JP78" s="32" t="s">
        <v>34</v>
      </c>
      <c r="JQ78" s="32" t="s">
        <v>34</v>
      </c>
      <c r="JR78" s="32" t="s">
        <v>34</v>
      </c>
      <c r="JS78" s="32" t="s">
        <v>34</v>
      </c>
      <c r="JT78" s="32" t="s">
        <v>34</v>
      </c>
      <c r="JU78" s="69"/>
      <c r="JV78" s="32">
        <v>1771.1266700000001</v>
      </c>
      <c r="JW78" s="32">
        <v>17.195404563106798</v>
      </c>
      <c r="JX78" s="32">
        <v>0.253</v>
      </c>
      <c r="JY78" s="32">
        <v>1007.2162714638071</v>
      </c>
      <c r="JZ78" s="32">
        <v>9.7787987520757973</v>
      </c>
      <c r="KA78" s="32">
        <v>403.99444522252014</v>
      </c>
      <c r="KB78" s="32">
        <v>3.9222761672089335</v>
      </c>
      <c r="KC78" s="32">
        <v>705.60535834316363</v>
      </c>
      <c r="KD78" s="32">
        <v>6.8505374596423652</v>
      </c>
      <c r="KE78" s="32">
        <v>0.372</v>
      </c>
      <c r="KF78" s="32">
        <v>0.06</v>
      </c>
      <c r="KG78" s="32">
        <v>29.653161983565386</v>
      </c>
      <c r="KH78" s="32">
        <v>70.346838016434631</v>
      </c>
      <c r="KI78" s="32">
        <v>86.355779618293113</v>
      </c>
      <c r="KJ78" s="32">
        <v>84.543866822471486</v>
      </c>
      <c r="KK78" s="32">
        <v>0.64364109382741885</v>
      </c>
      <c r="KL78" s="32">
        <v>2.7517302530638243</v>
      </c>
      <c r="KM78" s="69"/>
      <c r="KN78" s="32" t="s">
        <v>34</v>
      </c>
      <c r="KO78" s="32" t="s">
        <v>34</v>
      </c>
      <c r="KP78" s="32" t="s">
        <v>34</v>
      </c>
      <c r="KQ78" s="32" t="s">
        <v>34</v>
      </c>
      <c r="KR78" s="32" t="s">
        <v>34</v>
      </c>
      <c r="KS78" s="32" t="s">
        <v>34</v>
      </c>
      <c r="KT78" s="32" t="s">
        <v>34</v>
      </c>
      <c r="KU78" s="32" t="s">
        <v>34</v>
      </c>
      <c r="KV78" s="32" t="s">
        <v>34</v>
      </c>
      <c r="KW78" s="32" t="s">
        <v>34</v>
      </c>
      <c r="KX78" s="32" t="s">
        <v>34</v>
      </c>
      <c r="KY78" s="32" t="s">
        <v>34</v>
      </c>
      <c r="KZ78" s="32" t="s">
        <v>34</v>
      </c>
      <c r="LA78" s="32" t="s">
        <v>34</v>
      </c>
      <c r="LB78" s="32" t="s">
        <v>34</v>
      </c>
      <c r="LC78" s="32" t="s">
        <v>34</v>
      </c>
      <c r="LD78" s="32" t="s">
        <v>34</v>
      </c>
      <c r="LE78" s="32" t="s">
        <v>34</v>
      </c>
      <c r="LF78" s="32" t="s">
        <v>34</v>
      </c>
      <c r="LG78" s="32" t="s">
        <v>34</v>
      </c>
      <c r="LH78" s="69"/>
      <c r="LI78" s="32" t="s">
        <v>34</v>
      </c>
      <c r="LJ78" s="32" t="s">
        <v>34</v>
      </c>
      <c r="LK78" s="32" t="s">
        <v>34</v>
      </c>
      <c r="LL78" s="32" t="s">
        <v>34</v>
      </c>
      <c r="LM78" s="32" t="s">
        <v>34</v>
      </c>
      <c r="LN78" s="69"/>
      <c r="LO78" s="32">
        <v>1942.42887</v>
      </c>
      <c r="LP78" s="32">
        <v>18.8585327184466</v>
      </c>
      <c r="LQ78" s="32">
        <v>1.6E-2</v>
      </c>
      <c r="LR78" s="32">
        <v>2640.4958060000004</v>
      </c>
      <c r="LS78" s="32">
        <v>25.63588161165049</v>
      </c>
      <c r="LT78" s="32">
        <v>7.1999999999999995E-2</v>
      </c>
      <c r="LU78" s="32">
        <v>1662.3009730621466</v>
      </c>
      <c r="LV78" s="32">
        <v>16.138844398661618</v>
      </c>
      <c r="LW78" s="32">
        <v>164.76411963841809</v>
      </c>
      <c r="LX78" s="32">
        <v>1.5996516469749329</v>
      </c>
      <c r="LY78" s="32">
        <v>913.53254635028236</v>
      </c>
      <c r="LZ78" s="32">
        <v>8.869248022818276</v>
      </c>
      <c r="MA78" s="32">
        <v>293.98650908527139</v>
      </c>
      <c r="MB78" s="32">
        <v>2.8542379522841883</v>
      </c>
      <c r="MC78" s="32">
        <v>1528.3788201860461</v>
      </c>
      <c r="MD78" s="32">
        <v>14.838629322194622</v>
      </c>
      <c r="ME78" s="32">
        <v>0.113</v>
      </c>
      <c r="MF78" s="32">
        <v>-182.52105200000003</v>
      </c>
      <c r="MG78" s="8">
        <v>-1.7720490485436895</v>
      </c>
      <c r="MH78" s="32">
        <v>2022.2167589166668</v>
      </c>
      <c r="MI78" s="32">
        <v>-0.49311835214401301</v>
      </c>
      <c r="MJ78" s="32">
        <v>6.3E-2</v>
      </c>
      <c r="MK78" s="32">
        <v>95723.244755000007</v>
      </c>
      <c r="ML78" s="32">
        <v>196750.023842</v>
      </c>
      <c r="MM78" s="32">
        <v>0.17599999999999999</v>
      </c>
      <c r="MN78" s="32" t="s">
        <v>34</v>
      </c>
      <c r="MO78" s="32">
        <v>64.204545454545453</v>
      </c>
      <c r="MP78" s="32">
        <v>9.8574383368222449</v>
      </c>
      <c r="MQ78" s="32">
        <v>8.8984373674139743</v>
      </c>
      <c r="MR78" s="32">
        <v>15.8773678620135</v>
      </c>
      <c r="MS78" s="32">
        <v>89.776106151304276</v>
      </c>
      <c r="MT78" s="32">
        <v>9.8574383368222449</v>
      </c>
      <c r="MU78" s="32">
        <v>30.510896782296783</v>
      </c>
      <c r="MV78" s="32">
        <v>15.8773678620135</v>
      </c>
      <c r="MW78" s="32">
        <v>21.180604633526368</v>
      </c>
      <c r="MX78" s="32" t="s">
        <v>34</v>
      </c>
      <c r="MY78" s="32" t="s">
        <v>34</v>
      </c>
      <c r="MZ78" s="32" t="s">
        <v>34</v>
      </c>
      <c r="NA78" s="32" t="s">
        <v>34</v>
      </c>
      <c r="NB78" s="17" t="s">
        <v>34</v>
      </c>
      <c r="NC78" s="69"/>
      <c r="ND78" s="32" t="s">
        <v>34</v>
      </c>
      <c r="NE78" s="32" t="s">
        <v>34</v>
      </c>
      <c r="NF78" s="32" t="s">
        <v>34</v>
      </c>
      <c r="NG78" s="32" t="s">
        <v>34</v>
      </c>
      <c r="NH78" s="32" t="s">
        <v>34</v>
      </c>
      <c r="NI78" s="32" t="s">
        <v>34</v>
      </c>
      <c r="NJ78" s="32" t="s">
        <v>34</v>
      </c>
      <c r="NK78" s="32" t="s">
        <v>34</v>
      </c>
      <c r="NL78" s="32" t="s">
        <v>34</v>
      </c>
      <c r="NM78" s="32" t="s">
        <v>34</v>
      </c>
      <c r="NN78" s="32" t="s">
        <v>34</v>
      </c>
      <c r="NO78" s="32" t="s">
        <v>34</v>
      </c>
      <c r="NP78" s="32" t="s">
        <v>34</v>
      </c>
      <c r="NQ78" s="32" t="s">
        <v>34</v>
      </c>
      <c r="NR78" s="32" t="s">
        <v>34</v>
      </c>
      <c r="NS78" s="32" t="s">
        <v>34</v>
      </c>
      <c r="NT78" s="32" t="s">
        <v>34</v>
      </c>
      <c r="NU78" s="32" t="s">
        <v>34</v>
      </c>
      <c r="NV78" s="8" t="s">
        <v>34</v>
      </c>
      <c r="NW78" s="32" t="s">
        <v>34</v>
      </c>
      <c r="NX78" s="32" t="s">
        <v>34</v>
      </c>
      <c r="NY78" s="32" t="s">
        <v>34</v>
      </c>
      <c r="NZ78" s="32" t="s">
        <v>34</v>
      </c>
      <c r="OA78" s="32" t="s">
        <v>34</v>
      </c>
      <c r="OB78" s="32" t="s">
        <v>34</v>
      </c>
      <c r="OC78" s="32" t="s">
        <v>34</v>
      </c>
      <c r="OD78" s="32" t="s">
        <v>34</v>
      </c>
      <c r="OE78" s="32" t="s">
        <v>34</v>
      </c>
      <c r="OF78" s="32" t="s">
        <v>34</v>
      </c>
      <c r="OG78" s="32" t="s">
        <v>34</v>
      </c>
      <c r="OH78" s="32" t="s">
        <v>34</v>
      </c>
      <c r="OI78" s="32" t="s">
        <v>34</v>
      </c>
      <c r="OJ78" s="32" t="s">
        <v>34</v>
      </c>
      <c r="OK78" s="32" t="s">
        <v>34</v>
      </c>
      <c r="OL78" s="32" t="s">
        <v>34</v>
      </c>
      <c r="OM78" s="32" t="s">
        <v>34</v>
      </c>
      <c r="ON78" s="69"/>
      <c r="OO78" s="32" t="s">
        <v>34</v>
      </c>
      <c r="OP78" s="32" t="s">
        <v>34</v>
      </c>
      <c r="OQ78" s="32" t="s">
        <v>34</v>
      </c>
      <c r="OR78" s="32" t="s">
        <v>34</v>
      </c>
      <c r="OS78" s="32" t="s">
        <v>34</v>
      </c>
      <c r="OT78" s="32" t="s">
        <v>34</v>
      </c>
      <c r="OU78" s="32" t="s">
        <v>34</v>
      </c>
      <c r="OV78" s="32" t="s">
        <v>34</v>
      </c>
      <c r="OW78" s="32" t="s">
        <v>34</v>
      </c>
      <c r="OX78" s="32" t="s">
        <v>34</v>
      </c>
      <c r="OY78" s="32" t="s">
        <v>34</v>
      </c>
    </row>
    <row r="79" spans="1:415" ht="15.75" x14ac:dyDescent="0.25">
      <c r="A79" s="10">
        <v>78</v>
      </c>
      <c r="B79" s="3" t="s">
        <v>426</v>
      </c>
      <c r="C79" s="3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9"/>
      <c r="K79" s="32">
        <v>1122.7246399999999</v>
      </c>
      <c r="L79" s="32">
        <v>16.038923428571426</v>
      </c>
      <c r="M79" s="32">
        <v>0.22700000000000001</v>
      </c>
      <c r="N79" s="32">
        <v>630.3459305342019</v>
      </c>
      <c r="O79" s="32">
        <v>9.0049418647743131</v>
      </c>
      <c r="P79" s="32">
        <v>333.09071827687308</v>
      </c>
      <c r="Q79" s="32">
        <v>4.7584388325267586</v>
      </c>
      <c r="R79" s="32">
        <v>481.71832440553749</v>
      </c>
      <c r="S79" s="32">
        <v>6.8816903486505359</v>
      </c>
      <c r="T79" s="32">
        <v>0.30599999999999999</v>
      </c>
      <c r="U79" s="32">
        <v>9.0999999999999998E-2</v>
      </c>
      <c r="V79" s="32">
        <v>34.581722446017402</v>
      </c>
      <c r="W79" s="32">
        <v>65.418277553982605</v>
      </c>
      <c r="X79" s="32">
        <v>75.67568242655355</v>
      </c>
      <c r="Y79" s="32">
        <v>93.19968547547181</v>
      </c>
      <c r="Z79" s="32">
        <v>0.38452817607470824</v>
      </c>
      <c r="AA79" s="32">
        <v>2.9197460936695334</v>
      </c>
      <c r="AB79" s="69"/>
      <c r="AC79" s="32">
        <v>1618.4171790000003</v>
      </c>
      <c r="AD79" s="32">
        <v>23.120245414285719</v>
      </c>
      <c r="AE79" s="32">
        <v>8.8999999999999996E-2</v>
      </c>
      <c r="AF79" s="32">
        <v>1618.4171790000003</v>
      </c>
      <c r="AG79" s="32">
        <v>23.120245414285719</v>
      </c>
      <c r="AH79" s="32">
        <v>8.8999999999999996E-2</v>
      </c>
      <c r="AI79" s="32">
        <v>992.49137984302308</v>
      </c>
      <c r="AJ79" s="32">
        <v>14.178448283471758</v>
      </c>
      <c r="AK79" s="32">
        <v>403.66539805813954</v>
      </c>
      <c r="AL79" s="32">
        <v>5.7666485436877082</v>
      </c>
      <c r="AM79" s="32">
        <v>698.07838895058126</v>
      </c>
      <c r="AN79" s="32">
        <v>9.972548413579732</v>
      </c>
      <c r="AO79" s="32">
        <v>0.17100000000000001</v>
      </c>
      <c r="AP79" s="32">
        <v>9.0999999999999998E-2</v>
      </c>
      <c r="AQ79" s="32">
        <v>31.165245531055429</v>
      </c>
      <c r="AR79" s="32">
        <v>68.834754468944567</v>
      </c>
      <c r="AS79" s="32">
        <v>95.102051532527071</v>
      </c>
      <c r="AT79" s="32">
        <v>97.601042411019165</v>
      </c>
      <c r="AU79" s="32">
        <v>0.22139086701098326</v>
      </c>
      <c r="AV79" s="32">
        <v>7.3102255790872803</v>
      </c>
      <c r="AW79" s="69"/>
      <c r="AX79" s="32">
        <v>-44.631146571881722</v>
      </c>
      <c r="AY79" s="32">
        <v>-36.166865615208089</v>
      </c>
      <c r="AZ79" s="32">
        <v>87.341772151898738</v>
      </c>
      <c r="BA79" s="32">
        <v>56.60377358490566</v>
      </c>
      <c r="BB79" s="32">
        <v>10.3928044747352</v>
      </c>
      <c r="BC79" s="69"/>
      <c r="BD79" s="32">
        <v>1293.66614</v>
      </c>
      <c r="BE79" s="32">
        <v>18.480944857142859</v>
      </c>
      <c r="BF79" s="32">
        <v>1.6E-2</v>
      </c>
      <c r="BG79" s="32">
        <v>1850.7635399999999</v>
      </c>
      <c r="BH79" s="32">
        <v>26.439479142857142</v>
      </c>
      <c r="BI79" s="32">
        <v>4.2999999999999997E-2</v>
      </c>
      <c r="BJ79" s="32">
        <v>1186.346014</v>
      </c>
      <c r="BK79" s="32">
        <v>16.9478002</v>
      </c>
      <c r="BL79" s="32">
        <v>172.11618699280575</v>
      </c>
      <c r="BM79" s="32">
        <v>2.4588026713257967</v>
      </c>
      <c r="BN79" s="32">
        <v>679.23110049640286</v>
      </c>
      <c r="BO79" s="32">
        <v>9.7033014356628975</v>
      </c>
      <c r="BP79" s="32">
        <v>298.15884530097088</v>
      </c>
      <c r="BQ79" s="32">
        <v>4.2594120757281555</v>
      </c>
      <c r="BR79" s="32">
        <v>1178.3682669223301</v>
      </c>
      <c r="BS79" s="32">
        <v>16.833832384604715</v>
      </c>
      <c r="BT79" s="32">
        <v>0.09</v>
      </c>
      <c r="BU79" s="32">
        <v>-188.50586316666664</v>
      </c>
      <c r="BV79" s="8">
        <v>-2.6929409023809519</v>
      </c>
      <c r="BW79" s="32">
        <v>1209.1712348055555</v>
      </c>
      <c r="BX79" s="32" t="s">
        <v>34</v>
      </c>
      <c r="BY79" s="32">
        <v>4.8000000000000001E-2</v>
      </c>
      <c r="BZ79" s="32">
        <v>42612.510132500014</v>
      </c>
      <c r="CA79" s="32">
        <v>120763.27577899999</v>
      </c>
      <c r="CB79" s="32">
        <v>0.13800000000000001</v>
      </c>
      <c r="CC79" s="32" t="s">
        <v>34</v>
      </c>
      <c r="CD79" s="32">
        <v>65.217391304347814</v>
      </c>
      <c r="CE79" s="32">
        <v>13.228318082246391</v>
      </c>
      <c r="CF79" s="32">
        <v>12.07817958760892</v>
      </c>
      <c r="CG79" s="32">
        <v>20.923169064451557</v>
      </c>
      <c r="CH79" s="32">
        <v>83.251322612294075</v>
      </c>
      <c r="CI79" s="32">
        <v>13.228318082246391</v>
      </c>
      <c r="CJ79" s="32">
        <v>38.657466844441672</v>
      </c>
      <c r="CK79" s="32">
        <v>20.923169064451557</v>
      </c>
      <c r="CL79" s="32">
        <v>24.544764147478574</v>
      </c>
      <c r="CM79" s="32" t="s">
        <v>34</v>
      </c>
      <c r="CN79" s="32" t="s">
        <v>34</v>
      </c>
      <c r="CO79" s="32" t="s">
        <v>34</v>
      </c>
      <c r="CP79" s="32" t="s">
        <v>34</v>
      </c>
      <c r="CQ79" s="17" t="s">
        <v>34</v>
      </c>
      <c r="CR79" s="69"/>
      <c r="CS79" s="32" t="s">
        <v>34</v>
      </c>
      <c r="CT79" s="32" t="s">
        <v>34</v>
      </c>
      <c r="CU79" s="32" t="s">
        <v>34</v>
      </c>
      <c r="CV79" s="32" t="s">
        <v>34</v>
      </c>
      <c r="CW79" s="32" t="s">
        <v>34</v>
      </c>
      <c r="CX79" s="32" t="s">
        <v>34</v>
      </c>
      <c r="CY79" s="32" t="s">
        <v>34</v>
      </c>
      <c r="CZ79" s="32" t="s">
        <v>34</v>
      </c>
      <c r="DA79" s="32" t="s">
        <v>34</v>
      </c>
      <c r="DB79" s="32" t="s">
        <v>34</v>
      </c>
      <c r="DC79" s="32" t="s">
        <v>34</v>
      </c>
      <c r="DD79" s="32" t="s">
        <v>34</v>
      </c>
      <c r="DE79" s="32" t="s">
        <v>34</v>
      </c>
      <c r="DF79" s="32" t="s">
        <v>34</v>
      </c>
      <c r="DG79" s="32" t="s">
        <v>34</v>
      </c>
      <c r="DH79" s="32" t="s">
        <v>34</v>
      </c>
      <c r="DI79" s="32" t="s">
        <v>34</v>
      </c>
      <c r="DJ79" s="32" t="s">
        <v>34</v>
      </c>
      <c r="DK79" s="8" t="s">
        <v>34</v>
      </c>
      <c r="DL79" s="32" t="s">
        <v>34</v>
      </c>
      <c r="DM79" s="32" t="s">
        <v>34</v>
      </c>
      <c r="DN79" s="32" t="s">
        <v>34</v>
      </c>
      <c r="DO79" s="32" t="s">
        <v>34</v>
      </c>
      <c r="DP79" s="32" t="s">
        <v>34</v>
      </c>
      <c r="DQ79" s="32" t="s">
        <v>34</v>
      </c>
      <c r="DR79" s="32" t="s">
        <v>34</v>
      </c>
      <c r="DS79" s="32" t="s">
        <v>34</v>
      </c>
      <c r="DT79" s="32" t="s">
        <v>34</v>
      </c>
      <c r="DU79" s="32" t="s">
        <v>34</v>
      </c>
      <c r="DV79" s="32" t="s">
        <v>34</v>
      </c>
      <c r="DW79" s="32" t="s">
        <v>34</v>
      </c>
      <c r="DX79" s="32" t="s">
        <v>34</v>
      </c>
      <c r="DY79" s="32" t="s">
        <v>34</v>
      </c>
      <c r="DZ79" s="32" t="s">
        <v>34</v>
      </c>
      <c r="EA79" s="32" t="s">
        <v>34</v>
      </c>
      <c r="EB79" s="32" t="s">
        <v>34</v>
      </c>
      <c r="EC79" s="69"/>
      <c r="ED79" s="32" t="s">
        <v>34</v>
      </c>
      <c r="EE79" s="32" t="s">
        <v>34</v>
      </c>
      <c r="EF79" s="32" t="s">
        <v>34</v>
      </c>
      <c r="EG79" s="32" t="s">
        <v>34</v>
      </c>
      <c r="EH79" s="32" t="s">
        <v>34</v>
      </c>
      <c r="EI79" s="32" t="s">
        <v>34</v>
      </c>
      <c r="EJ79" s="32" t="s">
        <v>34</v>
      </c>
      <c r="EK79" s="32" t="s">
        <v>34</v>
      </c>
      <c r="EL79" s="32" t="s">
        <v>34</v>
      </c>
      <c r="EM79" s="32" t="s">
        <v>34</v>
      </c>
      <c r="EN79" s="32" t="s">
        <v>34</v>
      </c>
      <c r="EO79" s="69"/>
      <c r="EP79" s="32">
        <v>1105.6286769999997</v>
      </c>
      <c r="EQ79" s="32">
        <v>15.794695385714281</v>
      </c>
      <c r="ER79" s="32">
        <v>0.26600000000000001</v>
      </c>
      <c r="ES79" s="32">
        <v>540.76539509855081</v>
      </c>
      <c r="ET79" s="32">
        <v>7.7252199299792972</v>
      </c>
      <c r="EU79" s="32">
        <v>303.44522981739135</v>
      </c>
      <c r="EV79" s="32">
        <v>4.3349318545341617</v>
      </c>
      <c r="EW79" s="32">
        <v>422.10531245797108</v>
      </c>
      <c r="EX79" s="32">
        <v>6.0300758922567299</v>
      </c>
      <c r="EY79" s="32">
        <v>0.34399999999999997</v>
      </c>
      <c r="EZ79" s="32">
        <v>7.6999999999999999E-2</v>
      </c>
      <c r="FA79" s="32">
        <v>38.419361564878649</v>
      </c>
      <c r="FB79" s="32">
        <v>61.580638435121344</v>
      </c>
      <c r="FC79" s="32">
        <v>97.807029917668757</v>
      </c>
      <c r="FD79" s="32">
        <v>69.876386625467248</v>
      </c>
      <c r="FE79" s="32">
        <v>0.36876173015609337</v>
      </c>
      <c r="FF79" s="32">
        <v>2.9982196811257977</v>
      </c>
      <c r="FG79" s="69"/>
      <c r="FH79" s="32">
        <v>1520.1695440000003</v>
      </c>
      <c r="FI79" s="32">
        <v>21.716707771428577</v>
      </c>
      <c r="FJ79" s="32">
        <v>9.7000000000000003E-2</v>
      </c>
      <c r="FK79" s="32">
        <v>1520.1695440000003</v>
      </c>
      <c r="FL79" s="32">
        <v>21.716707771428577</v>
      </c>
      <c r="FM79" s="32">
        <v>9.7000000000000003E-2</v>
      </c>
      <c r="FN79" s="32">
        <v>954.01529635566999</v>
      </c>
      <c r="FO79" s="32">
        <v>13.628789947938143</v>
      </c>
      <c r="FP79" s="32">
        <v>364.91917387113398</v>
      </c>
      <c r="FQ79" s="32">
        <v>5.2131310553019139</v>
      </c>
      <c r="FR79" s="32">
        <v>659.46723511340201</v>
      </c>
      <c r="FS79" s="32">
        <v>9.4209605016200282</v>
      </c>
      <c r="FT79" s="32">
        <v>0.193</v>
      </c>
      <c r="FU79" s="32">
        <v>7.6999999999999999E-2</v>
      </c>
      <c r="FV79" s="32">
        <v>29.206940478515747</v>
      </c>
      <c r="FW79" s="32">
        <v>70.793059521484253</v>
      </c>
      <c r="FX79" s="32">
        <v>80.058658465669367</v>
      </c>
      <c r="FY79" s="32">
        <v>98.659400933034775</v>
      </c>
      <c r="FZ79" s="32">
        <v>0.26771787718563278</v>
      </c>
      <c r="GA79" s="32">
        <v>5.6782518970368594</v>
      </c>
      <c r="GB79" s="69"/>
      <c r="GC79" s="32">
        <v>-55.292378824492651</v>
      </c>
      <c r="GD79" s="32">
        <v>-31.574464761586157</v>
      </c>
      <c r="GE79" s="32">
        <v>93.112947658402206</v>
      </c>
      <c r="GF79" s="32">
        <v>56.23836126629422</v>
      </c>
      <c r="GG79" s="32">
        <v>27.245083075669235</v>
      </c>
      <c r="GH79" s="69"/>
      <c r="GI79" s="32">
        <v>1359.0203510000003</v>
      </c>
      <c r="GJ79" s="32">
        <v>19.414576442857147</v>
      </c>
      <c r="GK79" s="32">
        <v>1.7999999999999999E-2</v>
      </c>
      <c r="GL79" s="32">
        <v>1988.4509059999998</v>
      </c>
      <c r="GM79" s="32">
        <v>28.40644151428571</v>
      </c>
      <c r="GN79" s="32">
        <v>6.4000000000000001E-2</v>
      </c>
      <c r="GO79" s="32">
        <v>1267.1946804206896</v>
      </c>
      <c r="GP79" s="32">
        <v>18.102781148866995</v>
      </c>
      <c r="GQ79" s="32">
        <v>107.12620353793102</v>
      </c>
      <c r="GR79" s="32">
        <v>1.5303743362561575</v>
      </c>
      <c r="GS79" s="32">
        <v>687.16044197931024</v>
      </c>
      <c r="GT79" s="32">
        <v>9.8165777425615754</v>
      </c>
      <c r="GU79" s="32">
        <v>290.02021077906977</v>
      </c>
      <c r="GV79" s="32">
        <v>4.1431458682724251</v>
      </c>
      <c r="GW79" s="32">
        <v>1125.2283939883723</v>
      </c>
      <c r="GX79" s="32">
        <v>16.074691342691033</v>
      </c>
      <c r="GY79" s="32">
        <v>8.4000000000000005E-2</v>
      </c>
      <c r="GZ79" s="32">
        <v>-159.46506125423727</v>
      </c>
      <c r="HA79" s="8">
        <v>-2.2780723036319608</v>
      </c>
      <c r="HB79" s="32">
        <v>1474.128589457627</v>
      </c>
      <c r="HC79" s="32">
        <v>9.1325685230024226E-2</v>
      </c>
      <c r="HD79" s="32">
        <v>0.06</v>
      </c>
      <c r="HE79" s="32">
        <v>85959.542289000005</v>
      </c>
      <c r="HF79" s="32">
        <v>96016.346797500024</v>
      </c>
      <c r="HG79" s="32">
        <v>0.14399999999999999</v>
      </c>
      <c r="HH79" s="32" t="s">
        <v>34</v>
      </c>
      <c r="HI79" s="32">
        <v>58.333333333333336</v>
      </c>
      <c r="HJ79" s="32">
        <v>10.504087250449185</v>
      </c>
      <c r="HK79" s="32">
        <v>7.056486103735188</v>
      </c>
      <c r="HL79" s="32">
        <v>19.103856195559352</v>
      </c>
      <c r="HM79" s="32">
        <v>83.471096312580556</v>
      </c>
      <c r="HN79" s="32">
        <v>10.504087250449185</v>
      </c>
      <c r="HO79" s="32">
        <v>32.515046110684729</v>
      </c>
      <c r="HP79" s="32">
        <v>19.103856195559352</v>
      </c>
      <c r="HQ79" s="32">
        <v>23.849681176342834</v>
      </c>
      <c r="HR79" s="32">
        <v>58.333333333333336</v>
      </c>
      <c r="HS79" s="32" t="s">
        <v>34</v>
      </c>
      <c r="HT79" s="32" t="s">
        <v>34</v>
      </c>
      <c r="HU79" s="32" t="s">
        <v>34</v>
      </c>
      <c r="HV79" s="32" t="s">
        <v>34</v>
      </c>
      <c r="HW79" s="17" t="s">
        <v>34</v>
      </c>
      <c r="HX79" s="69"/>
      <c r="HY79" s="32" t="s">
        <v>34</v>
      </c>
      <c r="HZ79" s="32" t="s">
        <v>34</v>
      </c>
      <c r="IA79" s="32" t="s">
        <v>34</v>
      </c>
      <c r="IB79" s="32" t="s">
        <v>34</v>
      </c>
      <c r="IC79" s="32" t="s">
        <v>34</v>
      </c>
      <c r="ID79" s="32" t="s">
        <v>34</v>
      </c>
      <c r="IE79" s="32" t="s">
        <v>34</v>
      </c>
      <c r="IF79" s="32" t="s">
        <v>34</v>
      </c>
      <c r="IG79" s="32" t="s">
        <v>34</v>
      </c>
      <c r="IH79" s="32" t="s">
        <v>34</v>
      </c>
      <c r="II79" s="32" t="s">
        <v>34</v>
      </c>
      <c r="IJ79" s="32" t="s">
        <v>34</v>
      </c>
      <c r="IK79" s="32" t="s">
        <v>34</v>
      </c>
      <c r="IL79" s="32" t="s">
        <v>34</v>
      </c>
      <c r="IM79" s="32" t="s">
        <v>34</v>
      </c>
      <c r="IN79" s="32" t="s">
        <v>34</v>
      </c>
      <c r="IO79" s="32" t="s">
        <v>34</v>
      </c>
      <c r="IP79" s="32" t="s">
        <v>34</v>
      </c>
      <c r="IQ79" s="8" t="s">
        <v>34</v>
      </c>
      <c r="IR79" s="32" t="s">
        <v>34</v>
      </c>
      <c r="IS79" s="32" t="s">
        <v>34</v>
      </c>
      <c r="IT79" s="32" t="s">
        <v>34</v>
      </c>
      <c r="IU79" s="32" t="s">
        <v>34</v>
      </c>
      <c r="IV79" s="32" t="s">
        <v>34</v>
      </c>
      <c r="IW79" s="32" t="s">
        <v>34</v>
      </c>
      <c r="IX79" s="32" t="s">
        <v>34</v>
      </c>
      <c r="IY79" s="32" t="s">
        <v>34</v>
      </c>
      <c r="IZ79" s="32" t="s">
        <v>34</v>
      </c>
      <c r="JA79" s="32" t="s">
        <v>34</v>
      </c>
      <c r="JB79" s="32" t="s">
        <v>34</v>
      </c>
      <c r="JC79" s="32" t="s">
        <v>34</v>
      </c>
      <c r="JD79" s="32" t="s">
        <v>34</v>
      </c>
      <c r="JE79" s="32" t="s">
        <v>34</v>
      </c>
      <c r="JF79" s="32" t="s">
        <v>34</v>
      </c>
      <c r="JG79" s="32" t="s">
        <v>34</v>
      </c>
      <c r="JH79" s="32" t="s">
        <v>34</v>
      </c>
      <c r="JI79" s="69"/>
      <c r="JJ79" s="32" t="s">
        <v>34</v>
      </c>
      <c r="JK79" s="32" t="s">
        <v>34</v>
      </c>
      <c r="JL79" s="32" t="s">
        <v>34</v>
      </c>
      <c r="JM79" s="32" t="s">
        <v>34</v>
      </c>
      <c r="JN79" s="32" t="s">
        <v>34</v>
      </c>
      <c r="JO79" s="32" t="s">
        <v>34</v>
      </c>
      <c r="JP79" s="32" t="s">
        <v>34</v>
      </c>
      <c r="JQ79" s="32" t="s">
        <v>34</v>
      </c>
      <c r="JR79" s="32" t="s">
        <v>34</v>
      </c>
      <c r="JS79" s="32" t="s">
        <v>34</v>
      </c>
      <c r="JT79" s="32" t="s">
        <v>34</v>
      </c>
      <c r="JU79" s="69"/>
      <c r="JV79" s="32">
        <v>1131.3808310000002</v>
      </c>
      <c r="JW79" s="32">
        <v>16.162583300000001</v>
      </c>
      <c r="JX79" s="32">
        <v>0.23200000000000001</v>
      </c>
      <c r="JY79" s="32">
        <v>614.51197448427672</v>
      </c>
      <c r="JZ79" s="32">
        <v>8.7787424926325244</v>
      </c>
      <c r="KA79" s="32">
        <v>312.8935342169811</v>
      </c>
      <c r="KB79" s="32">
        <v>4.4699076316711581</v>
      </c>
      <c r="KC79" s="32">
        <v>463.70275435062888</v>
      </c>
      <c r="KD79" s="32">
        <v>6.6243250621518408</v>
      </c>
      <c r="KE79" s="32">
        <v>0.317</v>
      </c>
      <c r="KF79" s="32">
        <v>7.0999999999999994E-2</v>
      </c>
      <c r="KG79" s="32">
        <v>34.668766114238778</v>
      </c>
      <c r="KH79" s="32">
        <v>65.331233885761222</v>
      </c>
      <c r="KI79" s="32">
        <v>79.213473520249238</v>
      </c>
      <c r="KJ79" s="32">
        <v>72.648946689208387</v>
      </c>
      <c r="KK79" s="32">
        <v>0.38607845534501689</v>
      </c>
      <c r="KL79" s="32">
        <v>2.9304428033647922</v>
      </c>
      <c r="KM79" s="69"/>
      <c r="KN79" s="32">
        <v>1496.761882</v>
      </c>
      <c r="KO79" s="32">
        <v>21.382312599999999</v>
      </c>
      <c r="KP79" s="32">
        <v>0.10199999999999999</v>
      </c>
      <c r="KQ79" s="32">
        <v>1496.761882</v>
      </c>
      <c r="KR79" s="32">
        <v>21.382312599999999</v>
      </c>
      <c r="KS79" s="32">
        <v>0.10199999999999999</v>
      </c>
      <c r="KT79" s="32">
        <v>910.64609135960598</v>
      </c>
      <c r="KU79" s="32">
        <v>13.009229876565799</v>
      </c>
      <c r="KV79" s="32">
        <v>339.85502572906404</v>
      </c>
      <c r="KW79" s="32">
        <v>4.8550717961294865</v>
      </c>
      <c r="KX79" s="32">
        <v>625.25055854433504</v>
      </c>
      <c r="KY79" s="32">
        <v>8.9321508363476436</v>
      </c>
      <c r="KZ79" s="32">
        <v>0.20200000000000001</v>
      </c>
      <c r="LA79" s="32">
        <v>7.0999999999999994E-2</v>
      </c>
      <c r="LB79" s="32">
        <v>29.551397259406951</v>
      </c>
      <c r="LC79" s="32">
        <v>70.448602740593032</v>
      </c>
      <c r="LD79" s="32">
        <v>81.076923470663047</v>
      </c>
      <c r="LE79" s="32">
        <v>96.923920939826374</v>
      </c>
      <c r="LF79" s="32">
        <v>0.27902305661474258</v>
      </c>
      <c r="LG79" s="32">
        <v>5.3642946219553256</v>
      </c>
      <c r="LH79" s="69"/>
      <c r="LI79" s="32">
        <v>-38.833236174963382</v>
      </c>
      <c r="LJ79" s="32">
        <v>-27.805267133527984</v>
      </c>
      <c r="LK79" s="32">
        <v>77.844311377245518</v>
      </c>
      <c r="LL79" s="32">
        <v>44.315992292870895</v>
      </c>
      <c r="LM79" s="32">
        <v>15.93695371049729</v>
      </c>
      <c r="LN79" s="69"/>
      <c r="LO79" s="32">
        <v>1546.6249980000002</v>
      </c>
      <c r="LP79" s="32">
        <v>22.09464282857143</v>
      </c>
      <c r="LQ79" s="32">
        <v>1.7999999999999999E-2</v>
      </c>
      <c r="LR79" s="32">
        <v>1934.0792389999999</v>
      </c>
      <c r="LS79" s="32">
        <v>27.629703414285714</v>
      </c>
      <c r="LT79" s="32">
        <v>4.2999999999999997E-2</v>
      </c>
      <c r="LU79" s="32">
        <v>1262.8089068231293</v>
      </c>
      <c r="LV79" s="32">
        <v>18.040127240330417</v>
      </c>
      <c r="LW79" s="32">
        <v>100.35820519047617</v>
      </c>
      <c r="LX79" s="32">
        <v>1.4336886455782309</v>
      </c>
      <c r="LY79" s="32">
        <v>681.58355600680272</v>
      </c>
      <c r="LZ79" s="32">
        <v>9.7369079429543248</v>
      </c>
      <c r="MA79" s="32">
        <v>271.43150236263739</v>
      </c>
      <c r="MB79" s="32">
        <v>3.8775928908948196</v>
      </c>
      <c r="MC79" s="32">
        <v>1122.7244509780221</v>
      </c>
      <c r="MD79" s="32">
        <v>16.038920728257459</v>
      </c>
      <c r="ME79" s="32">
        <v>8.5000000000000006E-2</v>
      </c>
      <c r="MF79" s="32">
        <v>-177.63590271428569</v>
      </c>
      <c r="MG79" s="8">
        <v>-2.537655753061224</v>
      </c>
      <c r="MH79" s="32">
        <v>1490.4461475714286</v>
      </c>
      <c r="MI79" s="32">
        <v>-0.67337043418367326</v>
      </c>
      <c r="MJ79" s="32">
        <v>6.0999999999999999E-2</v>
      </c>
      <c r="MK79" s="32">
        <v>82494.960058000011</v>
      </c>
      <c r="ML79" s="32">
        <v>101417.560429</v>
      </c>
      <c r="MM79" s="32">
        <v>0.14599999999999999</v>
      </c>
      <c r="MN79" s="32" t="s">
        <v>34</v>
      </c>
      <c r="MO79" s="32">
        <v>58.219178082191789</v>
      </c>
      <c r="MP79" s="32">
        <v>12.037311034265498</v>
      </c>
      <c r="MQ79" s="32">
        <v>6.8006687401558015</v>
      </c>
      <c r="MR79" s="32">
        <v>18.393271678261218</v>
      </c>
      <c r="MS79" s="32">
        <v>85.572923919103317</v>
      </c>
      <c r="MT79" s="32">
        <v>12.037311034265498</v>
      </c>
      <c r="MU79" s="32">
        <v>32.844645289734395</v>
      </c>
      <c r="MV79" s="32">
        <v>18.393271678261218</v>
      </c>
      <c r="MW79" s="32">
        <v>22.455147391103012</v>
      </c>
      <c r="MX79" s="32" t="s">
        <v>34</v>
      </c>
      <c r="MY79" s="32" t="s">
        <v>34</v>
      </c>
      <c r="MZ79" s="32" t="s">
        <v>34</v>
      </c>
      <c r="NA79" s="32" t="s">
        <v>34</v>
      </c>
      <c r="NB79" s="17" t="s">
        <v>34</v>
      </c>
      <c r="NC79" s="69"/>
      <c r="ND79" s="32" t="s">
        <v>34</v>
      </c>
      <c r="NE79" s="32" t="s">
        <v>34</v>
      </c>
      <c r="NF79" s="32" t="s">
        <v>34</v>
      </c>
      <c r="NG79" s="32" t="s">
        <v>34</v>
      </c>
      <c r="NH79" s="32" t="s">
        <v>34</v>
      </c>
      <c r="NI79" s="32" t="s">
        <v>34</v>
      </c>
      <c r="NJ79" s="32" t="s">
        <v>34</v>
      </c>
      <c r="NK79" s="32" t="s">
        <v>34</v>
      </c>
      <c r="NL79" s="32" t="s">
        <v>34</v>
      </c>
      <c r="NM79" s="32" t="s">
        <v>34</v>
      </c>
      <c r="NN79" s="32" t="s">
        <v>34</v>
      </c>
      <c r="NO79" s="32" t="s">
        <v>34</v>
      </c>
      <c r="NP79" s="32" t="s">
        <v>34</v>
      </c>
      <c r="NQ79" s="32" t="s">
        <v>34</v>
      </c>
      <c r="NR79" s="32" t="s">
        <v>34</v>
      </c>
      <c r="NS79" s="32" t="s">
        <v>34</v>
      </c>
      <c r="NT79" s="32" t="s">
        <v>34</v>
      </c>
      <c r="NU79" s="32" t="s">
        <v>34</v>
      </c>
      <c r="NV79" s="8" t="s">
        <v>34</v>
      </c>
      <c r="NW79" s="32" t="s">
        <v>34</v>
      </c>
      <c r="NX79" s="32" t="s">
        <v>34</v>
      </c>
      <c r="NY79" s="32" t="s">
        <v>34</v>
      </c>
      <c r="NZ79" s="32" t="s">
        <v>34</v>
      </c>
      <c r="OA79" s="32" t="s">
        <v>34</v>
      </c>
      <c r="OB79" s="32" t="s">
        <v>34</v>
      </c>
      <c r="OC79" s="32" t="s">
        <v>34</v>
      </c>
      <c r="OD79" s="32" t="s">
        <v>34</v>
      </c>
      <c r="OE79" s="32" t="s">
        <v>34</v>
      </c>
      <c r="OF79" s="32" t="s">
        <v>34</v>
      </c>
      <c r="OG79" s="32" t="s">
        <v>34</v>
      </c>
      <c r="OH79" s="32" t="s">
        <v>34</v>
      </c>
      <c r="OI79" s="32" t="s">
        <v>34</v>
      </c>
      <c r="OJ79" s="32" t="s">
        <v>34</v>
      </c>
      <c r="OK79" s="32" t="s">
        <v>34</v>
      </c>
      <c r="OL79" s="32" t="s">
        <v>34</v>
      </c>
      <c r="OM79" s="32" t="s">
        <v>34</v>
      </c>
      <c r="ON79" s="69"/>
      <c r="OO79" s="32" t="s">
        <v>34</v>
      </c>
      <c r="OP79" s="32" t="s">
        <v>34</v>
      </c>
      <c r="OQ79" s="32" t="s">
        <v>34</v>
      </c>
      <c r="OR79" s="32" t="s">
        <v>34</v>
      </c>
      <c r="OS79" s="32" t="s">
        <v>34</v>
      </c>
      <c r="OT79" s="32" t="s">
        <v>34</v>
      </c>
      <c r="OU79" s="32" t="s">
        <v>34</v>
      </c>
      <c r="OV79" s="32" t="s">
        <v>34</v>
      </c>
      <c r="OW79" s="32" t="s">
        <v>34</v>
      </c>
      <c r="OX79" s="32" t="s">
        <v>34</v>
      </c>
      <c r="OY79" s="32" t="s">
        <v>34</v>
      </c>
    </row>
    <row r="80" spans="1:415" ht="15.75" x14ac:dyDescent="0.25">
      <c r="A80" s="10">
        <v>79</v>
      </c>
      <c r="B80" s="3" t="s">
        <v>428</v>
      </c>
      <c r="C80" s="3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9"/>
      <c r="K80" s="32">
        <v>1891.1590069999997</v>
      </c>
      <c r="L80" s="32">
        <v>17.510731546296295</v>
      </c>
      <c r="M80" s="32">
        <v>0.23799999999999999</v>
      </c>
      <c r="N80" s="32">
        <v>1064.4482912699725</v>
      </c>
      <c r="O80" s="32">
        <v>9.8560026969441896</v>
      </c>
      <c r="P80" s="32">
        <v>529.23566543526169</v>
      </c>
      <c r="Q80" s="32">
        <v>4.9003302355116825</v>
      </c>
      <c r="R80" s="32">
        <v>796.84197835261716</v>
      </c>
      <c r="S80" s="32">
        <v>7.3781664662279365</v>
      </c>
      <c r="T80" s="32">
        <v>0.36199999999999999</v>
      </c>
      <c r="U80" s="32">
        <v>0.105</v>
      </c>
      <c r="V80" s="32">
        <v>35.339039435075073</v>
      </c>
      <c r="W80" s="32">
        <v>64.66096056492492</v>
      </c>
      <c r="X80" s="32">
        <v>78.548914274618951</v>
      </c>
      <c r="Y80" s="32">
        <v>72.150377487880718</v>
      </c>
      <c r="Z80" s="32">
        <v>0.60856671524946382</v>
      </c>
      <c r="AA80" s="32">
        <v>3.1075623421579595</v>
      </c>
      <c r="AB80" s="69"/>
      <c r="AC80" s="32">
        <v>2265.2683739999993</v>
      </c>
      <c r="AD80" s="32">
        <v>20.974707166666661</v>
      </c>
      <c r="AE80" s="32">
        <v>6.6000000000000003E-2</v>
      </c>
      <c r="AF80" s="32">
        <v>2265.2683739999993</v>
      </c>
      <c r="AG80" s="32">
        <v>20.974707166666661</v>
      </c>
      <c r="AH80" s="32">
        <v>6.6000000000000003E-2</v>
      </c>
      <c r="AI80" s="32">
        <v>1966.8167555104897</v>
      </c>
      <c r="AJ80" s="32">
        <v>18.211266254726755</v>
      </c>
      <c r="AK80" s="32">
        <v>644.3580565244755</v>
      </c>
      <c r="AL80" s="32">
        <v>5.9662783011525509</v>
      </c>
      <c r="AM80" s="32">
        <v>1305.5874060174826</v>
      </c>
      <c r="AN80" s="32">
        <v>12.088772277939654</v>
      </c>
      <c r="AO80" s="32">
        <v>0.14199999999999999</v>
      </c>
      <c r="AP80" s="32">
        <v>0.105</v>
      </c>
      <c r="AQ80" s="32">
        <v>24.481219641925616</v>
      </c>
      <c r="AR80" s="32">
        <v>75.51878035807438</v>
      </c>
      <c r="AS80" s="32">
        <v>35.727917062904176</v>
      </c>
      <c r="AT80" s="32">
        <v>88.340238794389919</v>
      </c>
      <c r="AU80" s="32">
        <v>0.1886355739684297</v>
      </c>
      <c r="AV80" s="32">
        <v>12.008701891930086</v>
      </c>
      <c r="AW80" s="69"/>
      <c r="AX80" s="32">
        <v>59.537417567555295</v>
      </c>
      <c r="AY80" s="32">
        <v>18.001486984237513</v>
      </c>
      <c r="AZ80" s="32">
        <v>-113.1578947368421</v>
      </c>
      <c r="BA80" s="32">
        <v>-87.301587301587304</v>
      </c>
      <c r="BB80" s="32">
        <v>-36.301480336864685</v>
      </c>
      <c r="BC80" s="69"/>
      <c r="BD80" s="32">
        <v>2171.0963530000004</v>
      </c>
      <c r="BE80" s="32">
        <v>20.102744009259261</v>
      </c>
      <c r="BF80" s="32">
        <v>3.3000000000000002E-2</v>
      </c>
      <c r="BG80" s="32">
        <v>2481.1678879999999</v>
      </c>
      <c r="BH80" s="32">
        <v>22.973776740740739</v>
      </c>
      <c r="BI80" s="32">
        <v>0.09</v>
      </c>
      <c r="BJ80" s="32">
        <v>1663.8730215414364</v>
      </c>
      <c r="BK80" s="32">
        <v>15.406231680939227</v>
      </c>
      <c r="BL80" s="32">
        <v>183.11348724861881</v>
      </c>
      <c r="BM80" s="32">
        <v>1.6954952523020259</v>
      </c>
      <c r="BN80" s="32">
        <v>923.49325439502763</v>
      </c>
      <c r="BO80" s="32">
        <v>8.5508634666206262</v>
      </c>
      <c r="BP80" s="32">
        <v>352.06791354263561</v>
      </c>
      <c r="BQ80" s="32">
        <v>3.2598880883577372</v>
      </c>
      <c r="BR80" s="32">
        <v>1605.9912891240308</v>
      </c>
      <c r="BS80" s="32">
        <v>14.870289714111395</v>
      </c>
      <c r="BT80" s="32">
        <v>0.113</v>
      </c>
      <c r="BU80" s="32">
        <v>-236.02345490384613</v>
      </c>
      <c r="BV80" s="8">
        <v>-2.1854023602207975</v>
      </c>
      <c r="BW80" s="32">
        <v>1807.4642423461535</v>
      </c>
      <c r="BX80" s="32" t="s">
        <v>34</v>
      </c>
      <c r="BY80" s="32">
        <v>6.7000000000000004E-2</v>
      </c>
      <c r="BZ80" s="32">
        <v>92797.843646999987</v>
      </c>
      <c r="CA80" s="32">
        <v>206154.63896549999</v>
      </c>
      <c r="CB80" s="32">
        <v>0.18</v>
      </c>
      <c r="CC80" s="32">
        <v>9.9000000000000005E-2</v>
      </c>
      <c r="CD80" s="32">
        <v>62.777777777777779</v>
      </c>
      <c r="CE80" s="32">
        <v>12.641063254357759</v>
      </c>
      <c r="CF80" s="32">
        <v>9.807284517459637</v>
      </c>
      <c r="CG80" s="32">
        <v>18.856230906099206</v>
      </c>
      <c r="CH80" s="32">
        <v>89.114550590293561</v>
      </c>
      <c r="CI80" s="32">
        <v>12.641063254357759</v>
      </c>
      <c r="CJ80" s="32">
        <v>33.04974683730233</v>
      </c>
      <c r="CK80" s="32">
        <v>18.856230906099206</v>
      </c>
      <c r="CL80" s="32">
        <v>22.925093367832751</v>
      </c>
      <c r="CM80" s="32" t="s">
        <v>34</v>
      </c>
      <c r="CN80" s="32" t="s">
        <v>34</v>
      </c>
      <c r="CO80" s="32" t="s">
        <v>34</v>
      </c>
      <c r="CP80" s="32" t="s">
        <v>34</v>
      </c>
      <c r="CQ80" s="17" t="s">
        <v>34</v>
      </c>
      <c r="CR80" s="69"/>
      <c r="CS80" s="32">
        <v>2301.1914769999998</v>
      </c>
      <c r="CT80" s="32">
        <v>21.307328490740741</v>
      </c>
      <c r="CU80" s="32">
        <v>0.02</v>
      </c>
      <c r="CV80" s="32">
        <v>2585.7994659999999</v>
      </c>
      <c r="CW80" s="32">
        <v>23.942587648148148</v>
      </c>
      <c r="CX80" s="32">
        <v>8.3000000000000004E-2</v>
      </c>
      <c r="CY80" s="32">
        <v>1683.1534769247312</v>
      </c>
      <c r="CZ80" s="32">
        <v>15.584754415969734</v>
      </c>
      <c r="DA80" s="32">
        <v>150.53318927956994</v>
      </c>
      <c r="DB80" s="32">
        <v>1.3938258266626846</v>
      </c>
      <c r="DC80" s="32">
        <v>916.84333310215061</v>
      </c>
      <c r="DD80" s="32">
        <v>8.4892901213162091</v>
      </c>
      <c r="DE80" s="32">
        <v>326.8555173484848</v>
      </c>
      <c r="DF80" s="32">
        <v>3.0264399754489335</v>
      </c>
      <c r="DG80" s="32">
        <v>1587.9302699090906</v>
      </c>
      <c r="DH80" s="32">
        <v>14.703058054713802</v>
      </c>
      <c r="DI80" s="32">
        <v>0.11799999999999999</v>
      </c>
      <c r="DJ80" s="32">
        <v>-280.47694600000005</v>
      </c>
      <c r="DK80" s="8">
        <v>-2.5970087592592597</v>
      </c>
      <c r="DL80" s="32">
        <v>1915.921316296296</v>
      </c>
      <c r="DM80" s="32">
        <v>1.334871736282579</v>
      </c>
      <c r="DN80" s="32">
        <v>6.6000000000000003E-2</v>
      </c>
      <c r="DO80" s="32">
        <v>102251.87122250001</v>
      </c>
      <c r="DP80" s="32">
        <v>209608.1752075</v>
      </c>
      <c r="DQ80" s="32">
        <v>0.185</v>
      </c>
      <c r="DR80" s="32">
        <v>9.9000000000000005E-2</v>
      </c>
      <c r="DS80" s="32">
        <v>63.783783783783775</v>
      </c>
      <c r="DT80" s="32">
        <v>7.5396871093145172</v>
      </c>
      <c r="DU80" s="32">
        <v>14.048120712361129</v>
      </c>
      <c r="DV80" s="32">
        <v>16.37106303636364</v>
      </c>
      <c r="DW80" s="32">
        <v>84.303339573830655</v>
      </c>
      <c r="DX80" s="32">
        <v>7.5396871093145172</v>
      </c>
      <c r="DY80" s="32">
        <v>14.048120712361129</v>
      </c>
      <c r="DZ80" s="32">
        <v>16.37106303636364</v>
      </c>
      <c r="EA80" s="32">
        <v>0.31652596742260386</v>
      </c>
      <c r="EB80" s="32">
        <v>8.1693122591348626</v>
      </c>
      <c r="EC80" s="69"/>
      <c r="ED80" s="32">
        <v>1.1520945766118311</v>
      </c>
      <c r="EE80" s="32">
        <v>17.213342339468802</v>
      </c>
      <c r="EF80" s="32">
        <v>-7.427169264451015</v>
      </c>
      <c r="EG80" s="32">
        <v>4.129948771720465</v>
      </c>
      <c r="EH80" s="32">
        <v>-8.0924855491329399</v>
      </c>
      <c r="EI80" s="32">
        <v>5.8178332408448528</v>
      </c>
      <c r="EJ80" s="32">
        <v>2.7397260273972628</v>
      </c>
      <c r="EK80" s="32">
        <v>117.07964167210203</v>
      </c>
      <c r="EL80" s="32">
        <v>26.144014724105503</v>
      </c>
      <c r="EM80" s="32">
        <v>10.544027571303456</v>
      </c>
      <c r="EN80" s="32">
        <v>-14.109331666489169</v>
      </c>
      <c r="EO80" s="69"/>
      <c r="EP80" s="32">
        <v>1839.5645929999998</v>
      </c>
      <c r="EQ80" s="32">
        <v>17.033005490740738</v>
      </c>
      <c r="ER80" s="32">
        <v>0.255</v>
      </c>
      <c r="ES80" s="32">
        <v>1056.5276283974029</v>
      </c>
      <c r="ET80" s="32">
        <v>9.782663225901878</v>
      </c>
      <c r="EU80" s="32">
        <v>461.495222664935</v>
      </c>
      <c r="EV80" s="32">
        <v>4.2731039135642126</v>
      </c>
      <c r="EW80" s="32">
        <v>759.01142553116892</v>
      </c>
      <c r="EX80" s="32">
        <v>7.0278835697330457</v>
      </c>
      <c r="EY80" s="32">
        <v>0.38400000000000001</v>
      </c>
      <c r="EZ80" s="32">
        <v>8.3000000000000004E-2</v>
      </c>
      <c r="FA80" s="32">
        <v>33.394336319594828</v>
      </c>
      <c r="FB80" s="32">
        <v>66.605663680405158</v>
      </c>
      <c r="FC80" s="32">
        <v>77.150550537240747</v>
      </c>
      <c r="FD80" s="32">
        <v>81.6250561154868</v>
      </c>
      <c r="FE80" s="32">
        <v>0.68366995264724173</v>
      </c>
      <c r="FF80" s="32">
        <v>2.6907202603785829</v>
      </c>
      <c r="FG80" s="69"/>
      <c r="FH80" s="32">
        <v>664.83074199999999</v>
      </c>
      <c r="FI80" s="32">
        <v>6.1558402037037032</v>
      </c>
      <c r="FJ80" s="32">
        <v>1.7999999999999999E-2</v>
      </c>
      <c r="FK80" s="32">
        <v>2449.7892239999996</v>
      </c>
      <c r="FL80" s="32">
        <v>22.683233555555553</v>
      </c>
      <c r="FM80" s="32">
        <v>0.123</v>
      </c>
      <c r="FN80" s="32">
        <v>1718.398618888112</v>
      </c>
      <c r="FO80" s="32">
        <v>15.911098323038074</v>
      </c>
      <c r="FP80" s="32">
        <v>430.54447059440571</v>
      </c>
      <c r="FQ80" s="32">
        <v>3.9865228758741269</v>
      </c>
      <c r="FR80" s="32">
        <v>1074.4715447412589</v>
      </c>
      <c r="FS80" s="32">
        <v>9.9488105994561007</v>
      </c>
      <c r="FT80" s="32">
        <v>0.14199999999999999</v>
      </c>
      <c r="FU80" s="32">
        <v>8.3000000000000004E-2</v>
      </c>
      <c r="FV80" s="32">
        <v>21.279028627924887</v>
      </c>
      <c r="FW80" s="32">
        <v>78.720971372075113</v>
      </c>
      <c r="FX80" s="32">
        <v>35.172429881344868</v>
      </c>
      <c r="FY80" s="32">
        <v>96.76658027660622</v>
      </c>
      <c r="FZ80" s="32">
        <v>0.12475500046481207</v>
      </c>
      <c r="GA80" s="32">
        <v>19.636801850607807</v>
      </c>
      <c r="GB80" s="69"/>
      <c r="GC80" s="32">
        <v>47.703681576269915</v>
      </c>
      <c r="GD80" s="32">
        <v>28.452986488617288</v>
      </c>
      <c r="GE80" s="32">
        <v>-69.841269841269849</v>
      </c>
      <c r="GF80" s="32">
        <v>-92.01520912547528</v>
      </c>
      <c r="GG80" s="32">
        <v>-44.318866063207466</v>
      </c>
      <c r="GH80" s="69"/>
      <c r="GI80" s="32">
        <v>2602.823308</v>
      </c>
      <c r="GJ80" s="32">
        <v>24.100215814814813</v>
      </c>
      <c r="GK80" s="32">
        <v>4.4999999999999998E-2</v>
      </c>
      <c r="GL80" s="32">
        <v>2749.7980389999998</v>
      </c>
      <c r="GM80" s="32">
        <v>25.461092953703702</v>
      </c>
      <c r="GN80" s="32">
        <v>8.7999999999999995E-2</v>
      </c>
      <c r="GO80" s="32">
        <v>1708.6910388162162</v>
      </c>
      <c r="GP80" s="32">
        <v>15.821213322372373</v>
      </c>
      <c r="GQ80" s="32">
        <v>166.81883071351351</v>
      </c>
      <c r="GR80" s="32">
        <v>1.5446188029029029</v>
      </c>
      <c r="GS80" s="32">
        <v>937.75493476486486</v>
      </c>
      <c r="GT80" s="32">
        <v>8.6829160626376378</v>
      </c>
      <c r="GU80" s="32">
        <v>313.94827889763781</v>
      </c>
      <c r="GV80" s="32">
        <v>2.9069285083114611</v>
      </c>
      <c r="GW80" s="32">
        <v>1616.7809761889769</v>
      </c>
      <c r="GX80" s="32">
        <v>14.970194223972008</v>
      </c>
      <c r="GY80" s="32">
        <v>0.11600000000000001</v>
      </c>
      <c r="GZ80" s="32">
        <v>-155.34392651724136</v>
      </c>
      <c r="HA80" s="8">
        <v>-1.4383696899744569</v>
      </c>
      <c r="HB80" s="32">
        <v>1909.9423828448278</v>
      </c>
      <c r="HC80" s="32">
        <v>-1.1436348515325672</v>
      </c>
      <c r="HD80" s="32">
        <v>6.7000000000000004E-2</v>
      </c>
      <c r="HE80" s="32">
        <v>109387.32320099999</v>
      </c>
      <c r="HF80" s="32">
        <v>205313.07813199997</v>
      </c>
      <c r="HG80" s="32">
        <v>0.184</v>
      </c>
      <c r="HH80" s="32" t="s">
        <v>34</v>
      </c>
      <c r="HI80" s="32">
        <v>63.04347826086957</v>
      </c>
      <c r="HJ80" s="32">
        <v>8.1474354217161853</v>
      </c>
      <c r="HK80" s="32">
        <v>8.7492680327847037</v>
      </c>
      <c r="HL80" s="32">
        <v>16.46587276003708</v>
      </c>
      <c r="HM80" s="32">
        <v>89.616956430383169</v>
      </c>
      <c r="HN80" s="32">
        <v>8.1474354217161853</v>
      </c>
      <c r="HO80" s="32">
        <v>29.365091487496702</v>
      </c>
      <c r="HP80" s="32">
        <v>16.46587276003708</v>
      </c>
      <c r="HQ80" s="32">
        <v>20.536579856323595</v>
      </c>
      <c r="HR80" s="32">
        <v>63.04347826086957</v>
      </c>
      <c r="HS80" s="32" t="s">
        <v>34</v>
      </c>
      <c r="HT80" s="32" t="s">
        <v>34</v>
      </c>
      <c r="HU80" s="32" t="s">
        <v>34</v>
      </c>
      <c r="HV80" s="32" t="s">
        <v>34</v>
      </c>
      <c r="HW80" s="17" t="s">
        <v>34</v>
      </c>
      <c r="HX80" s="69"/>
      <c r="HY80" s="32" t="s">
        <v>34</v>
      </c>
      <c r="HZ80" s="32" t="s">
        <v>34</v>
      </c>
      <c r="IA80" s="32" t="s">
        <v>34</v>
      </c>
      <c r="IB80" s="32" t="s">
        <v>34</v>
      </c>
      <c r="IC80" s="32" t="s">
        <v>34</v>
      </c>
      <c r="ID80" s="32" t="s">
        <v>34</v>
      </c>
      <c r="IE80" s="32" t="s">
        <v>34</v>
      </c>
      <c r="IF80" s="32" t="s">
        <v>34</v>
      </c>
      <c r="IG80" s="32" t="s">
        <v>34</v>
      </c>
      <c r="IH80" s="32" t="s">
        <v>34</v>
      </c>
      <c r="II80" s="32" t="s">
        <v>34</v>
      </c>
      <c r="IJ80" s="32" t="s">
        <v>34</v>
      </c>
      <c r="IK80" s="32" t="s">
        <v>34</v>
      </c>
      <c r="IL80" s="32" t="s">
        <v>34</v>
      </c>
      <c r="IM80" s="32" t="s">
        <v>34</v>
      </c>
      <c r="IN80" s="32" t="s">
        <v>34</v>
      </c>
      <c r="IO80" s="32" t="s">
        <v>34</v>
      </c>
      <c r="IP80" s="32" t="s">
        <v>34</v>
      </c>
      <c r="IQ80" s="8" t="s">
        <v>34</v>
      </c>
      <c r="IR80" s="32" t="s">
        <v>34</v>
      </c>
      <c r="IS80" s="32" t="s">
        <v>34</v>
      </c>
      <c r="IT80" s="32" t="s">
        <v>34</v>
      </c>
      <c r="IU80" s="32" t="s">
        <v>34</v>
      </c>
      <c r="IV80" s="32" t="s">
        <v>34</v>
      </c>
      <c r="IW80" s="32" t="s">
        <v>34</v>
      </c>
      <c r="IX80" s="32" t="s">
        <v>34</v>
      </c>
      <c r="IY80" s="32" t="s">
        <v>34</v>
      </c>
      <c r="IZ80" s="32" t="s">
        <v>34</v>
      </c>
      <c r="JA80" s="32" t="s">
        <v>34</v>
      </c>
      <c r="JB80" s="32" t="s">
        <v>34</v>
      </c>
      <c r="JC80" s="32" t="s">
        <v>34</v>
      </c>
      <c r="JD80" s="32" t="s">
        <v>34</v>
      </c>
      <c r="JE80" s="32" t="s">
        <v>34</v>
      </c>
      <c r="JF80" s="32" t="s">
        <v>34</v>
      </c>
      <c r="JG80" s="32" t="s">
        <v>34</v>
      </c>
      <c r="JH80" s="32" t="s">
        <v>34</v>
      </c>
      <c r="JI80" s="69"/>
      <c r="JJ80" s="32" t="s">
        <v>34</v>
      </c>
      <c r="JK80" s="32" t="s">
        <v>34</v>
      </c>
      <c r="JL80" s="32" t="s">
        <v>34</v>
      </c>
      <c r="JM80" s="32" t="s">
        <v>34</v>
      </c>
      <c r="JN80" s="32" t="s">
        <v>34</v>
      </c>
      <c r="JO80" s="32" t="s">
        <v>34</v>
      </c>
      <c r="JP80" s="32" t="s">
        <v>34</v>
      </c>
      <c r="JQ80" s="32" t="s">
        <v>34</v>
      </c>
      <c r="JR80" s="32" t="s">
        <v>34</v>
      </c>
      <c r="JS80" s="32" t="s">
        <v>34</v>
      </c>
      <c r="JT80" s="32" t="s">
        <v>34</v>
      </c>
      <c r="JU80" s="69"/>
      <c r="JV80" s="32">
        <v>1847.7338370000004</v>
      </c>
      <c r="JW80" s="32">
        <v>17.108646638888892</v>
      </c>
      <c r="JX80" s="32">
        <v>3.202</v>
      </c>
      <c r="JY80" s="32">
        <v>744.12157215462992</v>
      </c>
      <c r="JZ80" s="32">
        <v>6.8900145569873139</v>
      </c>
      <c r="KA80" s="32">
        <v>-3.0769928630506476</v>
      </c>
      <c r="KB80" s="32">
        <v>-2.8490674657876365E-2</v>
      </c>
      <c r="KC80" s="32">
        <v>370.52228964578961</v>
      </c>
      <c r="KD80" s="32">
        <v>3.4307619411647186</v>
      </c>
      <c r="KE80" s="32">
        <v>0.43</v>
      </c>
      <c r="KF80" s="32">
        <v>2.083296557779241E-2</v>
      </c>
      <c r="KG80" s="32">
        <v>85.687157361318185</v>
      </c>
      <c r="KH80" s="32">
        <v>70.531390613234095</v>
      </c>
      <c r="KI80" s="32">
        <v>99.948935866809123</v>
      </c>
      <c r="KJ80" s="32">
        <v>38.256396311132377</v>
      </c>
      <c r="KK80" s="32">
        <v>4.829869028887912E-2</v>
      </c>
      <c r="KL80" s="32" t="s">
        <v>34</v>
      </c>
      <c r="KM80" s="69"/>
      <c r="KN80" s="32" t="s">
        <v>34</v>
      </c>
      <c r="KO80" s="32" t="s">
        <v>34</v>
      </c>
      <c r="KP80" s="32" t="s">
        <v>34</v>
      </c>
      <c r="KQ80" s="32" t="s">
        <v>34</v>
      </c>
      <c r="KR80" s="32" t="s">
        <v>34</v>
      </c>
      <c r="KS80" s="32" t="s">
        <v>34</v>
      </c>
      <c r="KT80" s="32" t="s">
        <v>34</v>
      </c>
      <c r="KU80" s="32" t="s">
        <v>34</v>
      </c>
      <c r="KV80" s="32" t="s">
        <v>34</v>
      </c>
      <c r="KW80" s="32" t="s">
        <v>34</v>
      </c>
      <c r="KX80" s="32" t="s">
        <v>34</v>
      </c>
      <c r="KY80" s="32" t="s">
        <v>34</v>
      </c>
      <c r="KZ80" s="32" t="s">
        <v>34</v>
      </c>
      <c r="LA80" s="32" t="s">
        <v>34</v>
      </c>
      <c r="LB80" s="32" t="s">
        <v>34</v>
      </c>
      <c r="LC80" s="32" t="s">
        <v>34</v>
      </c>
      <c r="LD80" s="32" t="s">
        <v>34</v>
      </c>
      <c r="LE80" s="32" t="s">
        <v>34</v>
      </c>
      <c r="LF80" s="32" t="s">
        <v>34</v>
      </c>
      <c r="LG80" s="32" t="s">
        <v>34</v>
      </c>
      <c r="LH80" s="69"/>
      <c r="LI80" s="32" t="s">
        <v>34</v>
      </c>
      <c r="LJ80" s="32" t="s">
        <v>34</v>
      </c>
      <c r="LK80" s="32" t="s">
        <v>34</v>
      </c>
      <c r="LL80" s="32" t="s">
        <v>34</v>
      </c>
      <c r="LM80" s="32" t="s">
        <v>34</v>
      </c>
      <c r="LN80" s="69"/>
      <c r="LO80" s="32">
        <v>2377.8167800000001</v>
      </c>
      <c r="LP80" s="32">
        <v>22.016822037037038</v>
      </c>
      <c r="LQ80" s="32">
        <v>3.5999999999999997E-2</v>
      </c>
      <c r="LR80" s="32">
        <v>2626.8803079999998</v>
      </c>
      <c r="LS80" s="32">
        <v>24.322965814814811</v>
      </c>
      <c r="LT80" s="32">
        <v>0.09</v>
      </c>
      <c r="LU80" s="32">
        <v>1675.6663236878308</v>
      </c>
      <c r="LV80" s="32">
        <v>15.51542892303547</v>
      </c>
      <c r="LW80" s="32">
        <v>149.50756011640209</v>
      </c>
      <c r="LX80" s="32">
        <v>1.3843292603370563</v>
      </c>
      <c r="LY80" s="32">
        <v>912.58694190211645</v>
      </c>
      <c r="LZ80" s="32">
        <v>8.4498790916862632</v>
      </c>
      <c r="MA80" s="32">
        <v>316.3390691221374</v>
      </c>
      <c r="MB80" s="32">
        <v>2.9290654548346056</v>
      </c>
      <c r="MC80" s="32">
        <v>1574.5516608167939</v>
      </c>
      <c r="MD80" s="32">
        <v>14.579182044599943</v>
      </c>
      <c r="ME80" s="32">
        <v>0.11700000000000001</v>
      </c>
      <c r="MF80" s="32">
        <v>-227.30153781034485</v>
      </c>
      <c r="MG80" s="8">
        <v>-2.1046438686143043</v>
      </c>
      <c r="MH80" s="32">
        <v>1904.0459932758622</v>
      </c>
      <c r="MI80" s="32">
        <v>-1.3489266355363985</v>
      </c>
      <c r="MJ80" s="32">
        <v>7.0999999999999994E-2</v>
      </c>
      <c r="MK80" s="32">
        <v>109123.70711949997</v>
      </c>
      <c r="ML80" s="32">
        <v>205279.93189449998</v>
      </c>
      <c r="MM80" s="32">
        <v>0.188</v>
      </c>
      <c r="MN80" s="32">
        <v>9.4E-2</v>
      </c>
      <c r="MO80" s="32">
        <v>62.234042553191493</v>
      </c>
      <c r="MP80" s="32">
        <v>11.965747989764751</v>
      </c>
      <c r="MQ80" s="32">
        <v>7.8704693516422504</v>
      </c>
      <c r="MR80" s="32">
        <v>16.652916724173593</v>
      </c>
      <c r="MS80" s="32">
        <v>88.211461907987228</v>
      </c>
      <c r="MT80" s="32">
        <v>11.965747989764751</v>
      </c>
      <c r="MU80" s="32">
        <v>29.384972829532312</v>
      </c>
      <c r="MV80" s="32">
        <v>16.652916724173593</v>
      </c>
      <c r="MW80" s="32">
        <v>20.450266838171515</v>
      </c>
      <c r="MX80" s="32" t="s">
        <v>34</v>
      </c>
      <c r="MY80" s="32" t="s">
        <v>34</v>
      </c>
      <c r="MZ80" s="32" t="s">
        <v>34</v>
      </c>
      <c r="NA80" s="32" t="s">
        <v>34</v>
      </c>
      <c r="NB80" s="17" t="s">
        <v>34</v>
      </c>
      <c r="NC80" s="69"/>
      <c r="ND80" s="32">
        <v>3.8411810000000002</v>
      </c>
      <c r="NE80" s="32">
        <v>3.5566490740740746E-2</v>
      </c>
      <c r="NF80" s="32">
        <v>8.0000000000000002E-3</v>
      </c>
      <c r="NG80" s="32">
        <v>2705.2547140000001</v>
      </c>
      <c r="NH80" s="32">
        <v>25.048654759259261</v>
      </c>
      <c r="NI80" s="32">
        <v>0.10199999999999999</v>
      </c>
      <c r="NJ80" s="32">
        <v>1023.7076770130133</v>
      </c>
      <c r="NK80" s="32">
        <v>9.4787747871575299</v>
      </c>
      <c r="NL80" s="32">
        <v>67.376585296636108</v>
      </c>
      <c r="NM80" s="32">
        <v>0.62385727126514912</v>
      </c>
      <c r="NN80" s="32">
        <v>545.54213115482469</v>
      </c>
      <c r="NO80" s="32">
        <v>5.0513160292113399</v>
      </c>
      <c r="NP80" s="32">
        <v>150.75699220229009</v>
      </c>
      <c r="NQ80" s="32">
        <v>1.3958980759471304</v>
      </c>
      <c r="NR80" s="32">
        <v>781.18334064601277</v>
      </c>
      <c r="NS80" s="32">
        <v>7.2331790800556739</v>
      </c>
      <c r="NT80" s="32">
        <v>0.23599999999999999</v>
      </c>
      <c r="NU80" s="32">
        <v>-268.71059330769231</v>
      </c>
      <c r="NV80" s="8">
        <v>-2.488061049145299</v>
      </c>
      <c r="NW80" s="32">
        <v>2001.2673097538463</v>
      </c>
      <c r="NX80" s="32">
        <v>0.58167960156695164</v>
      </c>
      <c r="NY80" s="32">
        <v>7.4999999999999997E-2</v>
      </c>
      <c r="NZ80" s="32">
        <v>128768.3668895</v>
      </c>
      <c r="OA80" s="32">
        <v>204669.62949075535</v>
      </c>
      <c r="OB80" s="32">
        <v>0.32600000000000001</v>
      </c>
      <c r="OC80" s="32">
        <v>9.4E-2</v>
      </c>
      <c r="OD80" s="32">
        <v>72.392638036809814</v>
      </c>
      <c r="OE80" s="32">
        <v>5.6245062834235586</v>
      </c>
      <c r="OF80" s="32">
        <v>22.43159717619357</v>
      </c>
      <c r="OG80" s="32">
        <v>12.584989966152998</v>
      </c>
      <c r="OH80" s="32">
        <v>85.457733371300705</v>
      </c>
      <c r="OI80" s="32">
        <v>5.6245062834235586</v>
      </c>
      <c r="OJ80" s="32">
        <v>22.43159717619357</v>
      </c>
      <c r="OK80" s="32">
        <v>12.584989966152998</v>
      </c>
      <c r="OL80" s="32">
        <v>0.72110705584109003</v>
      </c>
      <c r="OM80" s="32">
        <v>3.7515299456397995</v>
      </c>
      <c r="ON80" s="69"/>
      <c r="OO80" s="32">
        <v>-48.30443254662363</v>
      </c>
      <c r="OP80" s="32">
        <v>16.696791428874651</v>
      </c>
      <c r="OQ80" s="32">
        <v>-70.898511304226204</v>
      </c>
      <c r="OR80" s="32">
        <v>2.9397007268808188</v>
      </c>
      <c r="OS80" s="32">
        <v>12.499999999999996</v>
      </c>
      <c r="OT80" s="32">
        <v>-199.35487277133834</v>
      </c>
      <c r="OU80" s="32">
        <v>53.696498054474709</v>
      </c>
      <c r="OV80" s="32">
        <v>42.659391918021974</v>
      </c>
      <c r="OW80" s="32">
        <v>33.285915128037786</v>
      </c>
      <c r="OX80" s="32">
        <v>60.852656714835383</v>
      </c>
      <c r="OY80" s="32">
        <v>-27.826388538044522</v>
      </c>
    </row>
    <row r="81" spans="1:415" ht="15.75" x14ac:dyDescent="0.25">
      <c r="A81" s="10">
        <v>80</v>
      </c>
      <c r="B81" s="3" t="s">
        <v>430</v>
      </c>
      <c r="C81" s="3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9"/>
      <c r="K81" s="32">
        <v>1245.2095919999999</v>
      </c>
      <c r="L81" s="32">
        <v>16.171553142857142</v>
      </c>
      <c r="M81" s="32">
        <v>0.309</v>
      </c>
      <c r="N81" s="32">
        <v>623.26359967639917</v>
      </c>
      <c r="O81" s="32">
        <v>8.0943324633298595</v>
      </c>
      <c r="P81" s="32">
        <v>302.81445709732361</v>
      </c>
      <c r="Q81" s="32">
        <v>3.9326552869782287</v>
      </c>
      <c r="R81" s="32">
        <v>463.03902838686139</v>
      </c>
      <c r="S81" s="32">
        <v>6.0134938751540439</v>
      </c>
      <c r="T81" s="32">
        <v>0.41</v>
      </c>
      <c r="U81" s="32">
        <v>6.4000000000000001E-2</v>
      </c>
      <c r="V81" s="32">
        <v>32.73237223596449</v>
      </c>
      <c r="W81" s="32">
        <v>63.016070619206928</v>
      </c>
      <c r="X81" s="32">
        <v>80.815709754684804</v>
      </c>
      <c r="Y81" s="32">
        <v>99.290778922868554</v>
      </c>
      <c r="Z81" s="32">
        <v>0.53054610695420623</v>
      </c>
      <c r="AA81" s="32">
        <v>2.3470336991983229</v>
      </c>
      <c r="AB81" s="69"/>
      <c r="AC81" s="32">
        <v>443.71942499999994</v>
      </c>
      <c r="AD81" s="32">
        <v>5.7625899350649341</v>
      </c>
      <c r="AE81" s="32">
        <v>1.4E-2</v>
      </c>
      <c r="AF81" s="32">
        <v>1609.2379980000001</v>
      </c>
      <c r="AG81" s="32">
        <v>20.899194779220782</v>
      </c>
      <c r="AH81" s="32">
        <v>9.0999999999999998E-2</v>
      </c>
      <c r="AI81" s="32">
        <v>1004.1623292000002</v>
      </c>
      <c r="AJ81" s="32">
        <v>13.041069210389612</v>
      </c>
      <c r="AK81" s="32">
        <v>380.56827262926834</v>
      </c>
      <c r="AL81" s="32">
        <v>4.9424450990814073</v>
      </c>
      <c r="AM81" s="32">
        <v>692.36530091463419</v>
      </c>
      <c r="AN81" s="32">
        <v>8.9917571547355095</v>
      </c>
      <c r="AO81" s="32">
        <v>0.20399999999999999</v>
      </c>
      <c r="AP81" s="32">
        <v>6.4000000000000001E-2</v>
      </c>
      <c r="AQ81" s="32">
        <v>30.926601171605363</v>
      </c>
      <c r="AR81" s="32">
        <v>69.07339882839463</v>
      </c>
      <c r="AS81" s="32">
        <v>94.573661071701451</v>
      </c>
      <c r="AT81" s="32">
        <v>97.824071241055961</v>
      </c>
      <c r="AU81" s="32">
        <v>0.28903880220604439</v>
      </c>
      <c r="AV81" s="32">
        <v>5.567550051127176</v>
      </c>
      <c r="AW81" s="69"/>
      <c r="AX81" s="32">
        <v>46.809962009955136</v>
      </c>
      <c r="AY81" s="32">
        <v>25.506049385898876</v>
      </c>
      <c r="AZ81" s="32">
        <v>-108.99999999999999</v>
      </c>
      <c r="BA81" s="32">
        <v>-67.100977198697066</v>
      </c>
      <c r="BB81" s="32">
        <v>-5.6732647974005781</v>
      </c>
      <c r="BC81" s="69"/>
      <c r="BD81" s="32">
        <v>1242.2340489999999</v>
      </c>
      <c r="BE81" s="32">
        <v>16.132909727272725</v>
      </c>
      <c r="BF81" s="32">
        <v>1.4E-2</v>
      </c>
      <c r="BG81" s="32">
        <v>2184.8920310000003</v>
      </c>
      <c r="BH81" s="32">
        <v>28.375221181818187</v>
      </c>
      <c r="BI81" s="32">
        <v>6.7000000000000004E-2</v>
      </c>
      <c r="BJ81" s="32">
        <v>1376.0714405641027</v>
      </c>
      <c r="BK81" s="32">
        <v>17.871057669663671</v>
      </c>
      <c r="BL81" s="32">
        <v>115.91594565384614</v>
      </c>
      <c r="BM81" s="32">
        <v>1.5054018916083913</v>
      </c>
      <c r="BN81" s="32">
        <v>745.99369310897441</v>
      </c>
      <c r="BO81" s="32">
        <v>9.688229780636032</v>
      </c>
      <c r="BP81" s="32">
        <v>273.75443149056599</v>
      </c>
      <c r="BQ81" s="32">
        <v>3.5552523570203376</v>
      </c>
      <c r="BR81" s="32">
        <v>1292.3144959245285</v>
      </c>
      <c r="BS81" s="32">
        <v>16.783305141876994</v>
      </c>
      <c r="BT81" s="32">
        <v>9.8000000000000004E-2</v>
      </c>
      <c r="BU81" s="32">
        <v>-218.70164432000001</v>
      </c>
      <c r="BV81" s="8">
        <v>-2.8402810950649351</v>
      </c>
      <c r="BW81" s="32">
        <v>1553.6361632000001</v>
      </c>
      <c r="BX81" s="32" t="s">
        <v>34</v>
      </c>
      <c r="BY81" s="32">
        <v>5.7000000000000002E-2</v>
      </c>
      <c r="BZ81" s="32">
        <v>76578.550918499997</v>
      </c>
      <c r="CA81" s="32">
        <v>136275.00677799998</v>
      </c>
      <c r="CB81" s="32">
        <v>0.155</v>
      </c>
      <c r="CC81" s="32">
        <v>0.126</v>
      </c>
      <c r="CD81" s="32">
        <v>63.225806451612911</v>
      </c>
      <c r="CE81" s="32">
        <v>13.030841555219808</v>
      </c>
      <c r="CF81" s="32">
        <v>6.9065887741046463</v>
      </c>
      <c r="CG81" s="32">
        <v>16.311037042653915</v>
      </c>
      <c r="CH81" s="32">
        <v>81.990096445809343</v>
      </c>
      <c r="CI81" s="32">
        <v>13.030841555219808</v>
      </c>
      <c r="CJ81" s="32">
        <v>28.14861653763267</v>
      </c>
      <c r="CK81" s="32">
        <v>16.311037042653915</v>
      </c>
      <c r="CL81" s="32">
        <v>22.411290072616858</v>
      </c>
      <c r="CM81" s="32" t="s">
        <v>34</v>
      </c>
      <c r="CN81" s="32" t="s">
        <v>34</v>
      </c>
      <c r="CO81" s="32" t="s">
        <v>34</v>
      </c>
      <c r="CP81" s="32" t="s">
        <v>34</v>
      </c>
      <c r="CQ81" s="17" t="s">
        <v>34</v>
      </c>
      <c r="CR81" s="69"/>
      <c r="CS81" s="32">
        <v>2019.252522</v>
      </c>
      <c r="CT81" s="32">
        <v>26.224058727272727</v>
      </c>
      <c r="CU81" s="32">
        <v>3.7999999999999999E-2</v>
      </c>
      <c r="CV81" s="32">
        <v>2115.6245950000002</v>
      </c>
      <c r="CW81" s="32">
        <v>27.475644090909093</v>
      </c>
      <c r="CX81" s="32">
        <v>6.7000000000000004E-2</v>
      </c>
      <c r="CY81" s="32">
        <v>1328.3169578903226</v>
      </c>
      <c r="CZ81" s="32">
        <v>17.250869582991204</v>
      </c>
      <c r="DA81" s="32">
        <v>105.11756078064515</v>
      </c>
      <c r="DB81" s="32">
        <v>1.3651631270213656</v>
      </c>
      <c r="DC81" s="32">
        <v>716.71725933548385</v>
      </c>
      <c r="DD81" s="32">
        <v>9.3080163550062842</v>
      </c>
      <c r="DE81" s="32">
        <v>253.81738640196082</v>
      </c>
      <c r="DF81" s="32">
        <v>3.2963296935319586</v>
      </c>
      <c r="DG81" s="32">
        <v>1221.5377011470587</v>
      </c>
      <c r="DH81" s="32">
        <v>15.86412598892284</v>
      </c>
      <c r="DI81" s="32">
        <v>9.1999999999999998E-2</v>
      </c>
      <c r="DJ81" s="32">
        <v>-181.05946211320753</v>
      </c>
      <c r="DK81" s="8">
        <v>-2.3514215858858121</v>
      </c>
      <c r="DL81" s="32">
        <v>1533.8166595471698</v>
      </c>
      <c r="DM81" s="32">
        <v>-1.3202301538838521</v>
      </c>
      <c r="DN81" s="32">
        <v>6.0999999999999999E-2</v>
      </c>
      <c r="DO81" s="32">
        <v>80238.861877499992</v>
      </c>
      <c r="DP81" s="32">
        <v>124599.17186599999</v>
      </c>
      <c r="DQ81" s="32">
        <v>0.154</v>
      </c>
      <c r="DR81" s="32">
        <v>0.126</v>
      </c>
      <c r="DS81" s="32">
        <v>59.740259740259738</v>
      </c>
      <c r="DT81" s="32">
        <v>6.7501793137675969</v>
      </c>
      <c r="DU81" s="32">
        <v>11.626828349535836</v>
      </c>
      <c r="DV81" s="32">
        <v>16.299016629013501</v>
      </c>
      <c r="DW81" s="32">
        <v>85.29857033106596</v>
      </c>
      <c r="DX81" s="32">
        <v>6.7501793137675969</v>
      </c>
      <c r="DY81" s="32">
        <v>11.626828349535836</v>
      </c>
      <c r="DZ81" s="32">
        <v>16.299016629013501</v>
      </c>
      <c r="EA81" s="32">
        <v>0.23729964699316539</v>
      </c>
      <c r="EB81" s="32">
        <v>8.915414000008747</v>
      </c>
      <c r="EC81" s="69"/>
      <c r="ED81" s="32">
        <v>-3.5316290146098899</v>
      </c>
      <c r="EE81" s="32">
        <v>-18.832338414633529</v>
      </c>
      <c r="EF81" s="32">
        <v>-7.5580402183903637</v>
      </c>
      <c r="EG81" s="32">
        <v>-3.2213541778317536</v>
      </c>
      <c r="EH81" s="32">
        <v>0</v>
      </c>
      <c r="EI81" s="32">
        <v>47.64811726707552</v>
      </c>
      <c r="EJ81" s="32">
        <v>-0.64724919093851185</v>
      </c>
      <c r="EK81" s="32">
        <v>119.34939858754908</v>
      </c>
      <c r="EL81" s="32">
        <v>2.2905779658943937</v>
      </c>
      <c r="EM81" s="32">
        <v>-11.388044459247016</v>
      </c>
      <c r="EN81" s="32">
        <v>-7.3722133434314191E-2</v>
      </c>
      <c r="EO81" s="69"/>
      <c r="EP81" s="32">
        <v>1256.4626539999999</v>
      </c>
      <c r="EQ81" s="32">
        <v>16.317696805194803</v>
      </c>
      <c r="ER81" s="32">
        <v>0.318</v>
      </c>
      <c r="ES81" s="32">
        <v>641.66372081690167</v>
      </c>
      <c r="ET81" s="32">
        <v>8.3332950755441768</v>
      </c>
      <c r="EU81" s="32">
        <v>277.47774356103287</v>
      </c>
      <c r="EV81" s="32">
        <v>3.6036070592341929</v>
      </c>
      <c r="EW81" s="32">
        <v>459.57073218896727</v>
      </c>
      <c r="EX81" s="32">
        <v>5.9684510673891857</v>
      </c>
      <c r="EY81" s="32">
        <v>0.42499999999999999</v>
      </c>
      <c r="EZ81" s="32">
        <v>4.7E-2</v>
      </c>
      <c r="FA81" s="32">
        <v>31.908988504320138</v>
      </c>
      <c r="FB81" s="32">
        <v>67.704144797453935</v>
      </c>
      <c r="FC81" s="32">
        <v>93.530487878626985</v>
      </c>
      <c r="FD81" s="32">
        <v>96.430439878501602</v>
      </c>
      <c r="FE81" s="32">
        <v>0.61480223530189015</v>
      </c>
      <c r="FF81" s="32">
        <v>2.0436858909321165</v>
      </c>
      <c r="FG81" s="69"/>
      <c r="FH81" s="32">
        <v>-4.3280909999999997</v>
      </c>
      <c r="FI81" s="32">
        <v>-5.6208974025974023E-2</v>
      </c>
      <c r="FJ81" s="32">
        <v>4.0000000000000001E-3</v>
      </c>
      <c r="FK81" s="32">
        <v>1551.3498300000001</v>
      </c>
      <c r="FL81" s="32">
        <v>20.147400389610389</v>
      </c>
      <c r="FM81" s="32">
        <v>0.11799999999999999</v>
      </c>
      <c r="FN81" s="32">
        <v>605.25591344915267</v>
      </c>
      <c r="FO81" s="32">
        <v>7.860466408430554</v>
      </c>
      <c r="FP81" s="32">
        <v>181.82869511016949</v>
      </c>
      <c r="FQ81" s="32">
        <v>2.361411624807396</v>
      </c>
      <c r="FR81" s="32">
        <v>393.5423042796611</v>
      </c>
      <c r="FS81" s="32">
        <v>5.1109390166189756</v>
      </c>
      <c r="FT81" s="32">
        <v>0.11700000000000001</v>
      </c>
      <c r="FU81" s="32">
        <v>4.7E-2</v>
      </c>
      <c r="FV81" s="32">
        <v>30.245342115384759</v>
      </c>
      <c r="FW81" s="32">
        <v>69.754657884615256</v>
      </c>
      <c r="FX81" s="32">
        <v>90.769236281589542</v>
      </c>
      <c r="FY81" s="32">
        <v>99.66891159789553</v>
      </c>
      <c r="FZ81" s="32">
        <v>2.5321563059386501E-2</v>
      </c>
      <c r="GA81" s="32">
        <v>61.265958438727857</v>
      </c>
      <c r="GB81" s="69"/>
      <c r="GC81" s="32">
        <v>-5.8396397598116083</v>
      </c>
      <c r="GD81" s="32">
        <v>21.004762795263659</v>
      </c>
      <c r="GE81" s="32">
        <v>-91.743119266055047</v>
      </c>
      <c r="GF81" s="32">
        <v>-113.65313653136531</v>
      </c>
      <c r="GG81" s="32">
        <v>-5.3532758613860807</v>
      </c>
      <c r="GH81" s="69"/>
      <c r="GI81" s="32">
        <v>2189.6710269999999</v>
      </c>
      <c r="GJ81" s="32">
        <v>28.437286064935062</v>
      </c>
      <c r="GK81" s="32">
        <v>6.9000000000000006E-2</v>
      </c>
      <c r="GL81" s="32">
        <v>2189.6710269999999</v>
      </c>
      <c r="GM81" s="32">
        <v>28.437286064935062</v>
      </c>
      <c r="GN81" s="32">
        <v>6.9000000000000006E-2</v>
      </c>
      <c r="GO81" s="32">
        <v>1327.1650979559745</v>
      </c>
      <c r="GP81" s="32">
        <v>17.235910363064605</v>
      </c>
      <c r="GQ81" s="32">
        <v>151.30803889308177</v>
      </c>
      <c r="GR81" s="32">
        <v>1.9650394661439192</v>
      </c>
      <c r="GS81" s="32">
        <v>739.23656842452817</v>
      </c>
      <c r="GT81" s="32">
        <v>9.6004749146042627</v>
      </c>
      <c r="GU81" s="32">
        <v>276.58626540517241</v>
      </c>
      <c r="GV81" s="32">
        <v>3.5920294208463948</v>
      </c>
      <c r="GW81" s="32">
        <v>1301.9347907758618</v>
      </c>
      <c r="GX81" s="32">
        <v>16.908244036050153</v>
      </c>
      <c r="GY81" s="32">
        <v>0.105</v>
      </c>
      <c r="GZ81" s="32">
        <v>-186.65182797674422</v>
      </c>
      <c r="HA81" s="8">
        <v>-2.424049713983691</v>
      </c>
      <c r="HB81" s="32">
        <v>1395.2282522093026</v>
      </c>
      <c r="HC81" s="32">
        <v>0.29447070884929027</v>
      </c>
      <c r="HD81" s="32">
        <v>5.2999999999999999E-2</v>
      </c>
      <c r="HE81" s="32">
        <v>58960.545538999992</v>
      </c>
      <c r="HF81" s="32">
        <v>150353.5546755</v>
      </c>
      <c r="HG81" s="32">
        <v>0.158</v>
      </c>
      <c r="HH81" s="32">
        <v>0.113</v>
      </c>
      <c r="HI81" s="32">
        <v>66.455696202531641</v>
      </c>
      <c r="HJ81" s="32">
        <v>11.2841605608408</v>
      </c>
      <c r="HK81" s="32">
        <v>9.1474282546443089</v>
      </c>
      <c r="HL81" s="32">
        <v>16.721206867281026</v>
      </c>
      <c r="HM81" s="32">
        <v>80.234649820547943</v>
      </c>
      <c r="HN81" s="32">
        <v>11.2841605608408</v>
      </c>
      <c r="HO81" s="32">
        <v>30.036108832630497</v>
      </c>
      <c r="HP81" s="32">
        <v>16.721206867281026</v>
      </c>
      <c r="HQ81" s="32">
        <v>22.525184512044408</v>
      </c>
      <c r="HR81" s="32">
        <v>66.455696202531641</v>
      </c>
      <c r="HS81" s="32" t="s">
        <v>34</v>
      </c>
      <c r="HT81" s="32" t="s">
        <v>34</v>
      </c>
      <c r="HU81" s="32" t="s">
        <v>34</v>
      </c>
      <c r="HV81" s="32" t="s">
        <v>34</v>
      </c>
      <c r="HW81" s="17" t="s">
        <v>34</v>
      </c>
      <c r="HX81" s="69"/>
      <c r="HY81" s="32">
        <v>1985.042512</v>
      </c>
      <c r="HZ81" s="32">
        <v>25.779772883116884</v>
      </c>
      <c r="IA81" s="32">
        <v>3.7999999999999999E-2</v>
      </c>
      <c r="IB81" s="32">
        <v>2074.7241239999998</v>
      </c>
      <c r="IC81" s="32">
        <v>26.944469142857141</v>
      </c>
      <c r="ID81" s="32">
        <v>6.9000000000000006E-2</v>
      </c>
      <c r="IE81" s="32">
        <v>1311.2321323602484</v>
      </c>
      <c r="IF81" s="32">
        <v>17.02898873195128</v>
      </c>
      <c r="IG81" s="32">
        <v>107.86465673291926</v>
      </c>
      <c r="IH81" s="32">
        <v>1.4008396978301203</v>
      </c>
      <c r="II81" s="32">
        <v>709.54839454658384</v>
      </c>
      <c r="IJ81" s="32">
        <v>9.2149142148906993</v>
      </c>
      <c r="IK81" s="32">
        <v>251.85531119266057</v>
      </c>
      <c r="IL81" s="32">
        <v>3.2708481973072803</v>
      </c>
      <c r="IM81" s="32">
        <v>1193.7738223027523</v>
      </c>
      <c r="IN81" s="32">
        <v>15.503556133801977</v>
      </c>
      <c r="IO81" s="32">
        <v>9.7000000000000003E-2</v>
      </c>
      <c r="IP81" s="32">
        <v>-193.96190742307692</v>
      </c>
      <c r="IQ81" s="8">
        <v>-2.5189858106893106</v>
      </c>
      <c r="IR81" s="32">
        <v>1557.44282075</v>
      </c>
      <c r="IS81" s="32">
        <v>-9.1380113386613365E-2</v>
      </c>
      <c r="IT81" s="32">
        <v>6.2E-2</v>
      </c>
      <c r="IU81" s="32">
        <v>79930.494745500007</v>
      </c>
      <c r="IV81" s="32">
        <v>130123.75413099999</v>
      </c>
      <c r="IW81" s="32">
        <v>0.16</v>
      </c>
      <c r="IX81" s="32">
        <v>0.113</v>
      </c>
      <c r="IY81" s="32">
        <v>60.624999999999993</v>
      </c>
      <c r="IZ81" s="32">
        <v>6.9842934664072276</v>
      </c>
      <c r="JA81" s="32">
        <v>12.559135900290148</v>
      </c>
      <c r="JB81" s="32">
        <v>16.307764356941757</v>
      </c>
      <c r="JC81" s="32">
        <v>84.902972784337038</v>
      </c>
      <c r="JD81" s="32">
        <v>6.9842934664072276</v>
      </c>
      <c r="JE81" s="32">
        <v>12.559135900290148</v>
      </c>
      <c r="JF81" s="32">
        <v>16.307764356941757</v>
      </c>
      <c r="JG81" s="32">
        <v>0.25713570176397815</v>
      </c>
      <c r="JH81" s="32">
        <v>8.0685961139086189</v>
      </c>
      <c r="JI81" s="69"/>
      <c r="JJ81" s="32">
        <v>-1.2077761007819443</v>
      </c>
      <c r="JK81" s="32">
        <v>3.8412063288539655</v>
      </c>
      <c r="JL81" s="32">
        <v>-9.3599577730929298</v>
      </c>
      <c r="JM81" s="32">
        <v>-5.3910061769507918</v>
      </c>
      <c r="JN81" s="32">
        <v>0</v>
      </c>
      <c r="JO81" s="32">
        <v>-9.8032362263120003</v>
      </c>
      <c r="JP81" s="32">
        <v>1.2578616352201268</v>
      </c>
      <c r="JQ81" s="32">
        <v>114.8187524524287</v>
      </c>
      <c r="JR81" s="32">
        <v>26.81839949438551</v>
      </c>
      <c r="JS81" s="32">
        <v>10.694623048686221</v>
      </c>
      <c r="JT81" s="32">
        <v>-2.5035143088929086</v>
      </c>
      <c r="JU81" s="69"/>
      <c r="JV81" s="32">
        <v>1247.806439</v>
      </c>
      <c r="JW81" s="32">
        <v>16.205278428571429</v>
      </c>
      <c r="JX81" s="32">
        <v>0.30599999999999999</v>
      </c>
      <c r="JY81" s="32">
        <v>647.00991462530408</v>
      </c>
      <c r="JZ81" s="32">
        <v>8.4027261639649886</v>
      </c>
      <c r="KA81" s="32">
        <v>297.58915605109496</v>
      </c>
      <c r="KB81" s="32">
        <v>3.8647942344298047</v>
      </c>
      <c r="KC81" s="32">
        <v>472.29953533819952</v>
      </c>
      <c r="KD81" s="32">
        <v>6.133760199197396</v>
      </c>
      <c r="KE81" s="32">
        <v>0.41</v>
      </c>
      <c r="KF81" s="32">
        <v>6.3E-2</v>
      </c>
      <c r="KG81" s="32">
        <v>34.53100077977065</v>
      </c>
      <c r="KH81" s="32">
        <v>65.46899922022935</v>
      </c>
      <c r="KI81" s="32">
        <v>88.541679061470646</v>
      </c>
      <c r="KJ81" s="32">
        <v>77.418958299420254</v>
      </c>
      <c r="KK81" s="32">
        <v>0.58360170134931666</v>
      </c>
      <c r="KL81" s="32">
        <v>2.1381130934248622</v>
      </c>
      <c r="KM81" s="69"/>
      <c r="KN81" s="32">
        <v>429.16620799999993</v>
      </c>
      <c r="KO81" s="32">
        <v>5.5735871168831164</v>
      </c>
      <c r="KP81" s="32">
        <v>2.4E-2</v>
      </c>
      <c r="KQ81" s="32">
        <v>1457.4302890000001</v>
      </c>
      <c r="KR81" s="32">
        <v>18.927666090909092</v>
      </c>
      <c r="KS81" s="32">
        <v>0.108</v>
      </c>
      <c r="KT81" s="32">
        <v>1009.3107957711866</v>
      </c>
      <c r="KU81" s="32">
        <v>13.107932412612813</v>
      </c>
      <c r="KV81" s="32">
        <v>350.9812188220339</v>
      </c>
      <c r="KW81" s="32">
        <v>4.5581976470394014</v>
      </c>
      <c r="KX81" s="32">
        <v>680.14600729661026</v>
      </c>
      <c r="KY81" s="32">
        <v>8.8330650298261073</v>
      </c>
      <c r="KZ81" s="32">
        <v>0.11700000000000001</v>
      </c>
      <c r="LA81" s="32">
        <v>6.3E-2</v>
      </c>
      <c r="LB81" s="32">
        <v>25.854025792257158</v>
      </c>
      <c r="LC81" s="32">
        <v>74.145974207742839</v>
      </c>
      <c r="LD81" s="32">
        <v>42.909092983128943</v>
      </c>
      <c r="LE81" s="32">
        <v>99.651296307035182</v>
      </c>
      <c r="LF81" s="32">
        <v>6.8752080842663613E-2</v>
      </c>
      <c r="LG81" s="32">
        <v>21.198344415716971</v>
      </c>
      <c r="LH81" s="69"/>
      <c r="LI81" s="32">
        <v>43.747672642353763</v>
      </c>
      <c r="LJ81" s="32">
        <v>15.497634482803768</v>
      </c>
      <c r="LK81" s="32">
        <v>-95.652173913043498</v>
      </c>
      <c r="LL81" s="32">
        <v>-111.1954459203036</v>
      </c>
      <c r="LM81" s="32">
        <v>-28.738829740063188</v>
      </c>
      <c r="LN81" s="69"/>
      <c r="LO81" s="32">
        <v>1379.0197089999997</v>
      </c>
      <c r="LP81" s="32">
        <v>17.909346870129866</v>
      </c>
      <c r="LQ81" s="32">
        <v>1.7000000000000001E-2</v>
      </c>
      <c r="LR81" s="32">
        <v>2202.4930239999994</v>
      </c>
      <c r="LS81" s="32">
        <v>28.603805506493497</v>
      </c>
      <c r="LT81" s="32">
        <v>6.9000000000000006E-2</v>
      </c>
      <c r="LU81" s="32">
        <v>1232.797922118644</v>
      </c>
      <c r="LV81" s="32">
        <v>16.010362624917455</v>
      </c>
      <c r="LW81" s="32">
        <v>101.28210088700567</v>
      </c>
      <c r="LX81" s="32">
        <v>1.3153519595715022</v>
      </c>
      <c r="LY81" s="32">
        <v>667.04001150282488</v>
      </c>
      <c r="LZ81" s="32">
        <v>8.6628572922444782</v>
      </c>
      <c r="MA81" s="32">
        <v>228.34686808800001</v>
      </c>
      <c r="MB81" s="32">
        <v>2.9655437414025974</v>
      </c>
      <c r="MC81" s="32">
        <v>1121.6258857199996</v>
      </c>
      <c r="MD81" s="32">
        <v>14.56656994441558</v>
      </c>
      <c r="ME81" s="32">
        <v>0.11799999999999999</v>
      </c>
      <c r="MF81" s="32">
        <v>-204.16205103846156</v>
      </c>
      <c r="MG81" s="8">
        <v>-2.6514552082917087</v>
      </c>
      <c r="MH81" s="32">
        <v>1500.0383942307692</v>
      </c>
      <c r="MI81" s="32">
        <v>-0.58760438811188809</v>
      </c>
      <c r="MJ81" s="32">
        <v>5.8000000000000003E-2</v>
      </c>
      <c r="MK81" s="32">
        <v>76929.306401000009</v>
      </c>
      <c r="ML81" s="32">
        <v>139537.1155745</v>
      </c>
      <c r="MM81" s="32">
        <v>0.17599999999999999</v>
      </c>
      <c r="MN81" s="32">
        <v>1.0999999999999999E-2</v>
      </c>
      <c r="MO81" s="32">
        <v>67.045454545454547</v>
      </c>
      <c r="MP81" s="32">
        <v>14.030959107244836</v>
      </c>
      <c r="MQ81" s="32">
        <v>6.9605737629159483</v>
      </c>
      <c r="MR81" s="32">
        <v>15.693051436902836</v>
      </c>
      <c r="MS81" s="32">
        <v>84.72356711132619</v>
      </c>
      <c r="MT81" s="32">
        <v>14.030959107244836</v>
      </c>
      <c r="MU81" s="32">
        <v>30.686549470162028</v>
      </c>
      <c r="MV81" s="32">
        <v>15.693051436902836</v>
      </c>
      <c r="MW81" s="32">
        <v>22.070870060023257</v>
      </c>
      <c r="MX81" s="32" t="s">
        <v>34</v>
      </c>
      <c r="MY81" s="32" t="s">
        <v>34</v>
      </c>
      <c r="MZ81" s="32" t="s">
        <v>34</v>
      </c>
      <c r="NA81" s="32" t="s">
        <v>34</v>
      </c>
      <c r="NB81" s="17" t="s">
        <v>34</v>
      </c>
      <c r="NC81" s="69"/>
      <c r="ND81" s="32">
        <v>4.7789320000000011</v>
      </c>
      <c r="NE81" s="32">
        <v>6.2064051948051965E-2</v>
      </c>
      <c r="NF81" s="32">
        <v>1.2E-2</v>
      </c>
      <c r="NG81" s="32">
        <v>2007.602609</v>
      </c>
      <c r="NH81" s="32">
        <v>26.072761155844155</v>
      </c>
      <c r="NI81" s="32">
        <v>0.16700000000000001</v>
      </c>
      <c r="NJ81" s="32">
        <v>530.03932320845411</v>
      </c>
      <c r="NK81" s="32">
        <v>6.883627574135768</v>
      </c>
      <c r="NL81" s="32">
        <v>39.176734923076928</v>
      </c>
      <c r="NM81" s="32">
        <v>0.50878876523476535</v>
      </c>
      <c r="NN81" s="32">
        <v>284.60802906576549</v>
      </c>
      <c r="NO81" s="32">
        <v>3.6962081696852662</v>
      </c>
      <c r="NP81" s="32">
        <v>79.845649932551311</v>
      </c>
      <c r="NQ81" s="32">
        <v>1.0369564926305366</v>
      </c>
      <c r="NR81" s="32">
        <v>356.8899755249472</v>
      </c>
      <c r="NS81" s="32">
        <v>4.6349347470772368</v>
      </c>
      <c r="NT81" s="32">
        <v>0.23799999999999999</v>
      </c>
      <c r="NU81" s="32">
        <v>-184.50229762903226</v>
      </c>
      <c r="NV81" s="8">
        <v>-2.3961337354419774</v>
      </c>
      <c r="NW81" s="32">
        <v>1482.3607354677422</v>
      </c>
      <c r="NX81" s="32">
        <v>-0.19596455781315458</v>
      </c>
      <c r="NY81" s="32">
        <v>6.9000000000000006E-2</v>
      </c>
      <c r="NZ81" s="32">
        <v>90879.742619500001</v>
      </c>
      <c r="OA81" s="32">
        <v>121699.517722007</v>
      </c>
      <c r="OB81" s="32">
        <v>0.40200000000000002</v>
      </c>
      <c r="OC81" s="32">
        <v>1.0999999999999999E-2</v>
      </c>
      <c r="OD81" s="32">
        <v>59.203980099502488</v>
      </c>
      <c r="OE81" s="32">
        <v>6.2584043703778143</v>
      </c>
      <c r="OF81" s="32">
        <v>29.473869838655631</v>
      </c>
      <c r="OG81" s="32">
        <v>12.755181499292984</v>
      </c>
      <c r="OH81" s="32">
        <v>84.672712602343552</v>
      </c>
      <c r="OI81" s="32">
        <v>6.2584043703778143</v>
      </c>
      <c r="OJ81" s="32">
        <v>29.473869838655631</v>
      </c>
      <c r="OK81" s="32">
        <v>12.755181499292984</v>
      </c>
      <c r="OL81" s="32">
        <v>0.65707350730096514</v>
      </c>
      <c r="OM81" s="32">
        <v>3.0553698888980469</v>
      </c>
      <c r="ON81" s="69"/>
      <c r="OO81" s="32">
        <v>-79.73040061106623</v>
      </c>
      <c r="OP81" s="32">
        <v>-10.116571523388378</v>
      </c>
      <c r="OQ81" s="32">
        <v>-96.369126096400635</v>
      </c>
      <c r="OR81" s="32">
        <v>-9.25824171177441</v>
      </c>
      <c r="OS81" s="32">
        <v>83.050847457627114</v>
      </c>
      <c r="OT81" s="32">
        <v>-198.61860480032081</v>
      </c>
      <c r="OU81" s="32">
        <v>78.200692041522487</v>
      </c>
      <c r="OV81" s="32">
        <v>40.642247266711323</v>
      </c>
      <c r="OW81" s="32">
        <v>10.623656162493022</v>
      </c>
      <c r="OX81" s="32">
        <v>70.994007357732656</v>
      </c>
      <c r="OY81" s="32">
        <v>-20.654147090253065</v>
      </c>
    </row>
    <row r="82" spans="1:415" ht="15.75" x14ac:dyDescent="0.25">
      <c r="A82" s="10">
        <v>81</v>
      </c>
      <c r="B82" s="3" t="s">
        <v>432</v>
      </c>
      <c r="C82" s="3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9"/>
      <c r="K82" s="32">
        <v>1266.2729939999999</v>
      </c>
      <c r="L82" s="32">
        <v>15.442353585365852</v>
      </c>
      <c r="M82" s="32">
        <v>0.35499999999999998</v>
      </c>
      <c r="N82" s="32">
        <v>466.91320392219689</v>
      </c>
      <c r="O82" s="32">
        <v>5.6940634624658157</v>
      </c>
      <c r="P82" s="32">
        <v>296.89898468421046</v>
      </c>
      <c r="Q82" s="32">
        <v>3.6207193254172005</v>
      </c>
      <c r="R82" s="32">
        <v>381.90609430320364</v>
      </c>
      <c r="S82" s="32">
        <v>4.6573913939415075</v>
      </c>
      <c r="T82" s="32">
        <v>0.436</v>
      </c>
      <c r="U82" s="32">
        <v>8.1000000000000003E-2</v>
      </c>
      <c r="V82" s="32">
        <v>40.368334507150323</v>
      </c>
      <c r="W82" s="32">
        <v>59.63166549284967</v>
      </c>
      <c r="X82" s="32">
        <v>93.861879307877643</v>
      </c>
      <c r="Y82" s="32">
        <v>69.641461869334663</v>
      </c>
      <c r="Z82" s="32">
        <v>0.38214306594016834</v>
      </c>
      <c r="AA82" s="32">
        <v>3.3136097625758274</v>
      </c>
      <c r="AB82" s="69"/>
      <c r="AC82" s="32">
        <v>961.34096700000009</v>
      </c>
      <c r="AD82" s="32">
        <v>11.723670329268295</v>
      </c>
      <c r="AE82" s="32">
        <v>1.4E-2</v>
      </c>
      <c r="AF82" s="32">
        <v>1964.2676850000003</v>
      </c>
      <c r="AG82" s="32">
        <v>23.954483963414638</v>
      </c>
      <c r="AH82" s="32">
        <v>9.7000000000000003E-2</v>
      </c>
      <c r="AI82" s="32">
        <v>1193.7597216994536</v>
      </c>
      <c r="AJ82" s="32">
        <v>14.558045386578703</v>
      </c>
      <c r="AK82" s="32">
        <v>474.07261560655746</v>
      </c>
      <c r="AL82" s="32">
        <v>5.7813733610555786</v>
      </c>
      <c r="AM82" s="32">
        <v>833.91616865300557</v>
      </c>
      <c r="AN82" s="32">
        <v>10.169709373817142</v>
      </c>
      <c r="AO82" s="32">
        <v>0.182</v>
      </c>
      <c r="AP82" s="32">
        <v>8.1000000000000003E-2</v>
      </c>
      <c r="AQ82" s="32">
        <v>31.921740044954934</v>
      </c>
      <c r="AR82" s="32">
        <v>68.078259955045084</v>
      </c>
      <c r="AS82" s="32">
        <v>95.708179224737293</v>
      </c>
      <c r="AT82" s="32">
        <v>97.335409513225699</v>
      </c>
      <c r="AU82" s="32">
        <v>0.25685583493521957</v>
      </c>
      <c r="AV82" s="32">
        <v>7.6473547330369156</v>
      </c>
      <c r="AW82" s="69"/>
      <c r="AX82" s="32">
        <v>-87.536384385284251</v>
      </c>
      <c r="AY82" s="32">
        <v>-43.212252087539824</v>
      </c>
      <c r="AZ82" s="32">
        <v>114.15929203539825</v>
      </c>
      <c r="BA82" s="32">
        <v>82.200647249190936</v>
      </c>
      <c r="BB82" s="32">
        <v>23.368614611421521</v>
      </c>
      <c r="BC82" s="69"/>
      <c r="BD82" s="32">
        <v>1508.0328779999998</v>
      </c>
      <c r="BE82" s="32">
        <v>18.390644853658532</v>
      </c>
      <c r="BF82" s="32">
        <v>1.6E-2</v>
      </c>
      <c r="BG82" s="32">
        <v>2352.6416880000002</v>
      </c>
      <c r="BH82" s="32">
        <v>28.69075229268293</v>
      </c>
      <c r="BI82" s="32">
        <v>6.7000000000000004E-2</v>
      </c>
      <c r="BJ82" s="32">
        <v>1474.6305305072467</v>
      </c>
      <c r="BK82" s="32">
        <v>17.983299152527398</v>
      </c>
      <c r="BL82" s="32">
        <v>229.91280676811596</v>
      </c>
      <c r="BM82" s="32">
        <v>2.8038147166843408</v>
      </c>
      <c r="BN82" s="32">
        <v>852.27166863768139</v>
      </c>
      <c r="BO82" s="32">
        <v>10.39355693460587</v>
      </c>
      <c r="BP82" s="32">
        <v>368.11780804587147</v>
      </c>
      <c r="BQ82" s="32">
        <v>4.4892415615350183</v>
      </c>
      <c r="BR82" s="32">
        <v>1494.7216878532111</v>
      </c>
      <c r="BS82" s="32">
        <v>18.228313266502575</v>
      </c>
      <c r="BT82" s="32">
        <v>9.2999999999999999E-2</v>
      </c>
      <c r="BU82" s="32">
        <v>-289.54737044827584</v>
      </c>
      <c r="BV82" s="8">
        <v>-3.5310654932716568</v>
      </c>
      <c r="BW82" s="32">
        <v>1399.1154908275862</v>
      </c>
      <c r="BX82" s="32" t="s">
        <v>34</v>
      </c>
      <c r="BY82" s="32">
        <v>4.3999999999999997E-2</v>
      </c>
      <c r="BZ82" s="32">
        <v>39424.321556000003</v>
      </c>
      <c r="CA82" s="32">
        <v>162185.56139699998</v>
      </c>
      <c r="CB82" s="32">
        <v>0.13700000000000001</v>
      </c>
      <c r="CC82" s="32" t="s">
        <v>34</v>
      </c>
      <c r="CD82" s="32">
        <v>67.883211678832112</v>
      </c>
      <c r="CE82" s="32">
        <v>14.87919673296269</v>
      </c>
      <c r="CF82" s="32">
        <v>11.814708861055045</v>
      </c>
      <c r="CG82" s="32">
        <v>18.916757138362517</v>
      </c>
      <c r="CH82" s="32">
        <v>75.77799010186493</v>
      </c>
      <c r="CI82" s="32">
        <v>14.87919673296269</v>
      </c>
      <c r="CJ82" s="32">
        <v>34.528373861569676</v>
      </c>
      <c r="CK82" s="32">
        <v>18.916757138362517</v>
      </c>
      <c r="CL82" s="32">
        <v>21.185064511614058</v>
      </c>
      <c r="CM82" s="32" t="s">
        <v>34</v>
      </c>
      <c r="CN82" s="32" t="s">
        <v>34</v>
      </c>
      <c r="CO82" s="32" t="s">
        <v>34</v>
      </c>
      <c r="CP82" s="32" t="s">
        <v>34</v>
      </c>
      <c r="CQ82" s="17" t="s">
        <v>34</v>
      </c>
      <c r="CR82" s="69"/>
      <c r="CS82" s="32" t="s">
        <v>34</v>
      </c>
      <c r="CT82" s="32" t="s">
        <v>34</v>
      </c>
      <c r="CU82" s="32" t="s">
        <v>34</v>
      </c>
      <c r="CV82" s="32" t="s">
        <v>34</v>
      </c>
      <c r="CW82" s="32" t="s">
        <v>34</v>
      </c>
      <c r="CX82" s="32" t="s">
        <v>34</v>
      </c>
      <c r="CY82" s="32" t="s">
        <v>34</v>
      </c>
      <c r="CZ82" s="32" t="s">
        <v>34</v>
      </c>
      <c r="DA82" s="32" t="s">
        <v>34</v>
      </c>
      <c r="DB82" s="32" t="s">
        <v>34</v>
      </c>
      <c r="DC82" s="32" t="s">
        <v>34</v>
      </c>
      <c r="DD82" s="32" t="s">
        <v>34</v>
      </c>
      <c r="DE82" s="32" t="s">
        <v>34</v>
      </c>
      <c r="DF82" s="32" t="s">
        <v>34</v>
      </c>
      <c r="DG82" s="32" t="s">
        <v>34</v>
      </c>
      <c r="DH82" s="32" t="s">
        <v>34</v>
      </c>
      <c r="DI82" s="32" t="s">
        <v>34</v>
      </c>
      <c r="DJ82" s="32" t="s">
        <v>34</v>
      </c>
      <c r="DK82" s="8" t="s">
        <v>34</v>
      </c>
      <c r="DL82" s="32" t="s">
        <v>34</v>
      </c>
      <c r="DM82" s="32" t="s">
        <v>34</v>
      </c>
      <c r="DN82" s="32" t="s">
        <v>34</v>
      </c>
      <c r="DO82" s="32" t="s">
        <v>34</v>
      </c>
      <c r="DP82" s="32" t="s">
        <v>34</v>
      </c>
      <c r="DQ82" s="32" t="s">
        <v>34</v>
      </c>
      <c r="DR82" s="32" t="s">
        <v>34</v>
      </c>
      <c r="DS82" s="32" t="s">
        <v>34</v>
      </c>
      <c r="DT82" s="32" t="s">
        <v>34</v>
      </c>
      <c r="DU82" s="32" t="s">
        <v>34</v>
      </c>
      <c r="DV82" s="32" t="s">
        <v>34</v>
      </c>
      <c r="DW82" s="32" t="s">
        <v>34</v>
      </c>
      <c r="DX82" s="32" t="s">
        <v>34</v>
      </c>
      <c r="DY82" s="32" t="s">
        <v>34</v>
      </c>
      <c r="DZ82" s="32" t="s">
        <v>34</v>
      </c>
      <c r="EA82" s="32" t="s">
        <v>34</v>
      </c>
      <c r="EB82" s="32" t="s">
        <v>34</v>
      </c>
      <c r="EC82" s="69"/>
      <c r="ED82" s="32" t="s">
        <v>34</v>
      </c>
      <c r="EE82" s="32" t="s">
        <v>34</v>
      </c>
      <c r="EF82" s="32" t="s">
        <v>34</v>
      </c>
      <c r="EG82" s="32" t="s">
        <v>34</v>
      </c>
      <c r="EH82" s="32" t="s">
        <v>34</v>
      </c>
      <c r="EI82" s="32" t="s">
        <v>34</v>
      </c>
      <c r="EJ82" s="32" t="s">
        <v>34</v>
      </c>
      <c r="EK82" s="32" t="s">
        <v>34</v>
      </c>
      <c r="EL82" s="32" t="s">
        <v>34</v>
      </c>
      <c r="EM82" s="32" t="s">
        <v>34</v>
      </c>
      <c r="EN82" s="32" t="s">
        <v>34</v>
      </c>
      <c r="EO82" s="69"/>
      <c r="EP82" s="32">
        <v>1506.6262260000003</v>
      </c>
      <c r="EQ82" s="32">
        <v>18.373490560975615</v>
      </c>
      <c r="ER82" s="32">
        <v>0.29199999999999998</v>
      </c>
      <c r="ES82" s="32">
        <v>690.28625690750016</v>
      </c>
      <c r="ET82" s="32">
        <v>8.4181250842378077</v>
      </c>
      <c r="EU82" s="32">
        <v>383.45986831500005</v>
      </c>
      <c r="EV82" s="32">
        <v>4.6763398575000004</v>
      </c>
      <c r="EW82" s="32">
        <v>536.87306261125013</v>
      </c>
      <c r="EX82" s="32">
        <v>6.547232470868904</v>
      </c>
      <c r="EY82" s="32">
        <v>0.39900000000000002</v>
      </c>
      <c r="EZ82" s="32">
        <v>7.2999999999999995E-2</v>
      </c>
      <c r="FA82" s="32">
        <v>38.816707342947986</v>
      </c>
      <c r="FB82" s="32">
        <v>61.183292657052007</v>
      </c>
      <c r="FC82" s="32">
        <v>95.543180435399449</v>
      </c>
      <c r="FD82" s="32">
        <v>69.046943942648824</v>
      </c>
      <c r="FE82" s="32">
        <v>0.51764503335040923</v>
      </c>
      <c r="FF82" s="32">
        <v>2.9105393250824845</v>
      </c>
      <c r="FG82" s="69"/>
      <c r="FH82" s="32">
        <v>377.30125999999996</v>
      </c>
      <c r="FI82" s="32">
        <v>4.6012348780487802</v>
      </c>
      <c r="FJ82" s="32">
        <v>1.2E-2</v>
      </c>
      <c r="FK82" s="32">
        <v>1712.28271</v>
      </c>
      <c r="FL82" s="32">
        <v>20.881496463414635</v>
      </c>
      <c r="FM82" s="32">
        <v>9.9000000000000005E-2</v>
      </c>
      <c r="FN82" s="32">
        <v>1001.0153248979592</v>
      </c>
      <c r="FO82" s="32">
        <v>12.207503962170234</v>
      </c>
      <c r="FP82" s="32">
        <v>401.75976103571423</v>
      </c>
      <c r="FQ82" s="32">
        <v>4.8995092809233443</v>
      </c>
      <c r="FR82" s="32">
        <v>701.38754296683669</v>
      </c>
      <c r="FS82" s="32">
        <v>8.5535066215467896</v>
      </c>
      <c r="FT82" s="32">
        <v>0.19500000000000001</v>
      </c>
      <c r="FU82" s="32">
        <v>7.2999999999999995E-2</v>
      </c>
      <c r="FV82" s="32">
        <v>30.861026968731132</v>
      </c>
      <c r="FW82" s="32">
        <v>69.138973031268876</v>
      </c>
      <c r="FX82" s="32">
        <v>64.425177875554056</v>
      </c>
      <c r="FY82" s="32">
        <v>99.276364647058017</v>
      </c>
      <c r="FZ82" s="32">
        <v>0.24965678789608481</v>
      </c>
      <c r="GA82" s="32">
        <v>6.8585465848126947</v>
      </c>
      <c r="GB82" s="69"/>
      <c r="GC82" s="32">
        <v>36.744371474986352</v>
      </c>
      <c r="GD82" s="32">
        <v>12.778024360984883</v>
      </c>
      <c r="GE82" s="32">
        <v>-98.721227621483365</v>
      </c>
      <c r="GF82" s="32">
        <v>-68.686868686868678</v>
      </c>
      <c r="GG82" s="32">
        <v>-22.835646000284349</v>
      </c>
      <c r="GH82" s="69"/>
      <c r="GI82" s="32">
        <v>1254.6051520000001</v>
      </c>
      <c r="GJ82" s="32">
        <v>15.300062829268294</v>
      </c>
      <c r="GK82" s="32">
        <v>1.7000000000000001E-2</v>
      </c>
      <c r="GL82" s="32">
        <v>2081.0720539999998</v>
      </c>
      <c r="GM82" s="32">
        <v>25.378927487804877</v>
      </c>
      <c r="GN82" s="32">
        <v>6.4000000000000001E-2</v>
      </c>
      <c r="GO82" s="32">
        <v>1275.6104780547946</v>
      </c>
      <c r="GP82" s="32">
        <v>15.556225342131642</v>
      </c>
      <c r="GQ82" s="32">
        <v>189.12445054794517</v>
      </c>
      <c r="GR82" s="32">
        <v>2.3063957383895755</v>
      </c>
      <c r="GS82" s="32">
        <v>732.36746430136986</v>
      </c>
      <c r="GT82" s="32">
        <v>8.9313105402606077</v>
      </c>
      <c r="GU82" s="32">
        <v>311.86044620353982</v>
      </c>
      <c r="GV82" s="32">
        <v>3.8031761732139002</v>
      </c>
      <c r="GW82" s="32">
        <v>1298.9940988318585</v>
      </c>
      <c r="GX82" s="32">
        <v>15.841391449169006</v>
      </c>
      <c r="GY82" s="32">
        <v>9.8000000000000004E-2</v>
      </c>
      <c r="GZ82" s="32">
        <v>-231.15335275757576</v>
      </c>
      <c r="HA82" s="8">
        <v>-2.8189433263118997</v>
      </c>
      <c r="HB82" s="32">
        <v>1195.5392917575759</v>
      </c>
      <c r="HC82" s="32">
        <v>2.464540314116777</v>
      </c>
      <c r="HD82" s="32">
        <v>4.7E-2</v>
      </c>
      <c r="HE82" s="32">
        <v>38439.554631999999</v>
      </c>
      <c r="HF82" s="32">
        <v>146172.81736250001</v>
      </c>
      <c r="HG82" s="32">
        <v>0.14499999999999999</v>
      </c>
      <c r="HH82" s="32" t="s">
        <v>34</v>
      </c>
      <c r="HI82" s="32">
        <v>67.58620689655173</v>
      </c>
      <c r="HJ82" s="32">
        <v>13.890020022672282</v>
      </c>
      <c r="HK82" s="32">
        <v>11.364500551471053</v>
      </c>
      <c r="HL82" s="32">
        <v>18.739714524450964</v>
      </c>
      <c r="HM82" s="32">
        <v>76.651516709315672</v>
      </c>
      <c r="HN82" s="32">
        <v>13.890020022672282</v>
      </c>
      <c r="HO82" s="32">
        <v>34.107782921054621</v>
      </c>
      <c r="HP82" s="32">
        <v>18.739714524450964</v>
      </c>
      <c r="HQ82" s="32">
        <v>25.023482012147383</v>
      </c>
      <c r="HR82" s="32">
        <v>67.58620689655173</v>
      </c>
      <c r="HS82" s="32" t="s">
        <v>34</v>
      </c>
      <c r="HT82" s="32" t="s">
        <v>34</v>
      </c>
      <c r="HU82" s="32" t="s">
        <v>34</v>
      </c>
      <c r="HV82" s="32" t="s">
        <v>34</v>
      </c>
      <c r="HW82" s="17" t="s">
        <v>34</v>
      </c>
      <c r="HX82" s="69"/>
      <c r="HY82" s="32" t="s">
        <v>34</v>
      </c>
      <c r="HZ82" s="32" t="s">
        <v>34</v>
      </c>
      <c r="IA82" s="32" t="s">
        <v>34</v>
      </c>
      <c r="IB82" s="32" t="s">
        <v>34</v>
      </c>
      <c r="IC82" s="32" t="s">
        <v>34</v>
      </c>
      <c r="ID82" s="32" t="s">
        <v>34</v>
      </c>
      <c r="IE82" s="32" t="s">
        <v>34</v>
      </c>
      <c r="IF82" s="32" t="s">
        <v>34</v>
      </c>
      <c r="IG82" s="32" t="s">
        <v>34</v>
      </c>
      <c r="IH82" s="32" t="s">
        <v>34</v>
      </c>
      <c r="II82" s="32" t="s">
        <v>34</v>
      </c>
      <c r="IJ82" s="32" t="s">
        <v>34</v>
      </c>
      <c r="IK82" s="32" t="s">
        <v>34</v>
      </c>
      <c r="IL82" s="32" t="s">
        <v>34</v>
      </c>
      <c r="IM82" s="32" t="s">
        <v>34</v>
      </c>
      <c r="IN82" s="32" t="s">
        <v>34</v>
      </c>
      <c r="IO82" s="32" t="s">
        <v>34</v>
      </c>
      <c r="IP82" s="32" t="s">
        <v>34</v>
      </c>
      <c r="IQ82" s="8" t="s">
        <v>34</v>
      </c>
      <c r="IR82" s="32" t="s">
        <v>34</v>
      </c>
      <c r="IS82" s="32" t="s">
        <v>34</v>
      </c>
      <c r="IT82" s="32" t="s">
        <v>34</v>
      </c>
      <c r="IU82" s="32" t="s">
        <v>34</v>
      </c>
      <c r="IV82" s="32" t="s">
        <v>34</v>
      </c>
      <c r="IW82" s="32" t="s">
        <v>34</v>
      </c>
      <c r="IX82" s="32" t="s">
        <v>34</v>
      </c>
      <c r="IY82" s="32" t="s">
        <v>34</v>
      </c>
      <c r="IZ82" s="32" t="s">
        <v>34</v>
      </c>
      <c r="JA82" s="32" t="s">
        <v>34</v>
      </c>
      <c r="JB82" s="32" t="s">
        <v>34</v>
      </c>
      <c r="JC82" s="32" t="s">
        <v>34</v>
      </c>
      <c r="JD82" s="32" t="s">
        <v>34</v>
      </c>
      <c r="JE82" s="32" t="s">
        <v>34</v>
      </c>
      <c r="JF82" s="32" t="s">
        <v>34</v>
      </c>
      <c r="JG82" s="32" t="s">
        <v>34</v>
      </c>
      <c r="JH82" s="32" t="s">
        <v>34</v>
      </c>
      <c r="JI82" s="69"/>
      <c r="JJ82" s="32" t="s">
        <v>34</v>
      </c>
      <c r="JK82" s="32" t="s">
        <v>34</v>
      </c>
      <c r="JL82" s="32" t="s">
        <v>34</v>
      </c>
      <c r="JM82" s="32" t="s">
        <v>34</v>
      </c>
      <c r="JN82" s="32" t="s">
        <v>34</v>
      </c>
      <c r="JO82" s="32" t="s">
        <v>34</v>
      </c>
      <c r="JP82" s="32" t="s">
        <v>34</v>
      </c>
      <c r="JQ82" s="32" t="s">
        <v>34</v>
      </c>
      <c r="JR82" s="32" t="s">
        <v>34</v>
      </c>
      <c r="JS82" s="32" t="s">
        <v>34</v>
      </c>
      <c r="JT82" s="32" t="s">
        <v>34</v>
      </c>
      <c r="JU82" s="69"/>
      <c r="JV82" s="32">
        <v>1344.3409190000002</v>
      </c>
      <c r="JW82" s="32">
        <v>16.394401451219515</v>
      </c>
      <c r="JX82" s="32">
        <v>0.36799999999999999</v>
      </c>
      <c r="JY82" s="32">
        <v>597.52017522362894</v>
      </c>
      <c r="JZ82" s="32">
        <v>7.2868314051662066</v>
      </c>
      <c r="KA82" s="32">
        <v>268.34878551687768</v>
      </c>
      <c r="KB82" s="32">
        <v>3.2725461648399716</v>
      </c>
      <c r="KC82" s="32">
        <v>432.93448037025331</v>
      </c>
      <c r="KD82" s="32">
        <v>5.2796887850030894</v>
      </c>
      <c r="KE82" s="32">
        <v>0.47299999999999998</v>
      </c>
      <c r="KF82" s="32">
        <v>0.10299999999999999</v>
      </c>
      <c r="KG82" s="32">
        <v>33.684853837499745</v>
      </c>
      <c r="KH82" s="32">
        <v>66.31514616250027</v>
      </c>
      <c r="KI82" s="32">
        <v>74.17583371799148</v>
      </c>
      <c r="KJ82" s="32">
        <v>76.189328620509414</v>
      </c>
      <c r="KK82" s="32">
        <v>0.59255493515967383</v>
      </c>
      <c r="KL82" s="32">
        <v>2.2687194709427998</v>
      </c>
      <c r="KM82" s="69"/>
      <c r="KN82" s="32">
        <v>1846.092797</v>
      </c>
      <c r="KO82" s="32">
        <v>22.513326792682928</v>
      </c>
      <c r="KP82" s="32">
        <v>9.0999999999999998E-2</v>
      </c>
      <c r="KQ82" s="32">
        <v>1846.092797</v>
      </c>
      <c r="KR82" s="32">
        <v>22.513326792682928</v>
      </c>
      <c r="KS82" s="32">
        <v>9.0999999999999998E-2</v>
      </c>
      <c r="KT82" s="32">
        <v>1068.0456454120881</v>
      </c>
      <c r="KU82" s="32">
        <v>13.024946895269368</v>
      </c>
      <c r="KV82" s="32">
        <v>423.22708230769234</v>
      </c>
      <c r="KW82" s="32">
        <v>5.1613058818011259</v>
      </c>
      <c r="KX82" s="32">
        <v>745.63636385989025</v>
      </c>
      <c r="KY82" s="32">
        <v>9.0931263885352465</v>
      </c>
      <c r="KZ82" s="32">
        <v>0.18099999999999999</v>
      </c>
      <c r="LA82" s="32">
        <v>0.10299999999999999</v>
      </c>
      <c r="LB82" s="32">
        <v>31.515679779832162</v>
      </c>
      <c r="LC82" s="32">
        <v>68.484320220167845</v>
      </c>
      <c r="LD82" s="32">
        <v>96.390658611530313</v>
      </c>
      <c r="LE82" s="32">
        <v>99.730354309089208</v>
      </c>
      <c r="LF82" s="32">
        <v>0.23425862554464869</v>
      </c>
      <c r="LG82" s="32">
        <v>7.8805755506669382</v>
      </c>
      <c r="LH82" s="69"/>
      <c r="LI82" s="32">
        <v>56.500375350986474</v>
      </c>
      <c r="LJ82" s="32">
        <v>31.453521537446022</v>
      </c>
      <c r="LK82" s="32">
        <v>-120.6971677559913</v>
      </c>
      <c r="LL82" s="32">
        <v>-89.296636085626915</v>
      </c>
      <c r="LM82" s="32">
        <v>-6.6538536951205653</v>
      </c>
      <c r="LN82" s="69"/>
      <c r="LO82" s="32">
        <v>1358.4252369999997</v>
      </c>
      <c r="LP82" s="32">
        <v>16.566161426829265</v>
      </c>
      <c r="LQ82" s="32">
        <v>1.7000000000000001E-2</v>
      </c>
      <c r="LR82" s="32">
        <v>2256.1252570000001</v>
      </c>
      <c r="LS82" s="32">
        <v>27.513722646341463</v>
      </c>
      <c r="LT82" s="32">
        <v>7.2999999999999995E-2</v>
      </c>
      <c r="LU82" s="32">
        <v>1412.1711489548386</v>
      </c>
      <c r="LV82" s="32">
        <v>17.22159937749803</v>
      </c>
      <c r="LW82" s="32">
        <v>154.82754005161291</v>
      </c>
      <c r="LX82" s="32">
        <v>1.888140732336743</v>
      </c>
      <c r="LY82" s="32">
        <v>783.49934450322576</v>
      </c>
      <c r="LZ82" s="32">
        <v>9.5548700549173873</v>
      </c>
      <c r="MA82" s="32">
        <v>299.11636111504424</v>
      </c>
      <c r="MB82" s="32">
        <v>3.6477605014029786</v>
      </c>
      <c r="MC82" s="32">
        <v>1397.7976035044248</v>
      </c>
      <c r="MD82" s="32">
        <v>17.046312237858839</v>
      </c>
      <c r="ME82" s="32">
        <v>0.10100000000000001</v>
      </c>
      <c r="MF82" s="32">
        <v>-233.37809757142853</v>
      </c>
      <c r="MG82" s="8">
        <v>-2.8460743606271772</v>
      </c>
      <c r="MH82" s="32">
        <v>1450.8428307619051</v>
      </c>
      <c r="MI82" s="32">
        <v>-1.9014462433217192</v>
      </c>
      <c r="MJ82" s="32">
        <v>5.2999999999999999E-2</v>
      </c>
      <c r="MK82" s="32">
        <v>59814.847316999992</v>
      </c>
      <c r="ML82" s="32">
        <v>157260.21271300002</v>
      </c>
      <c r="MM82" s="32">
        <v>0.154</v>
      </c>
      <c r="MN82" s="32">
        <v>0.115</v>
      </c>
      <c r="MO82" s="32">
        <v>65.584415584415595</v>
      </c>
      <c r="MP82" s="32">
        <v>14.228495659837865</v>
      </c>
      <c r="MQ82" s="32">
        <v>9.4394589919626046</v>
      </c>
      <c r="MR82" s="32">
        <v>18.236397889091982</v>
      </c>
      <c r="MS82" s="32">
        <v>86.096644342138489</v>
      </c>
      <c r="MT82" s="32">
        <v>14.228495659837865</v>
      </c>
      <c r="MU82" s="32">
        <v>33.100686562816875</v>
      </c>
      <c r="MV82" s="32">
        <v>18.236397889091982</v>
      </c>
      <c r="MW82" s="32">
        <v>23.913493389755917</v>
      </c>
      <c r="MX82" s="32" t="s">
        <v>34</v>
      </c>
      <c r="MY82" s="32" t="s">
        <v>34</v>
      </c>
      <c r="MZ82" s="32" t="s">
        <v>34</v>
      </c>
      <c r="NA82" s="32" t="s">
        <v>34</v>
      </c>
      <c r="NB82" s="17" t="s">
        <v>34</v>
      </c>
      <c r="NC82" s="69"/>
      <c r="ND82" s="32">
        <v>1119.9113539999998</v>
      </c>
      <c r="NE82" s="32">
        <v>13.657455536585363</v>
      </c>
      <c r="NF82" s="32">
        <v>1.9E-2</v>
      </c>
      <c r="NG82" s="32">
        <v>2157.9137449999998</v>
      </c>
      <c r="NH82" s="32">
        <v>26.316021280487803</v>
      </c>
      <c r="NI82" s="32">
        <v>7.0000000000000007E-2</v>
      </c>
      <c r="NJ82" s="32">
        <v>1300.2449214829933</v>
      </c>
      <c r="NK82" s="32">
        <v>15.856645383938943</v>
      </c>
      <c r="NL82" s="32">
        <v>176.79389932653058</v>
      </c>
      <c r="NM82" s="32">
        <v>2.1560231625186654</v>
      </c>
      <c r="NN82" s="32">
        <v>738.51941040476197</v>
      </c>
      <c r="NO82" s="32">
        <v>9.0063342732288039</v>
      </c>
      <c r="NP82" s="32">
        <v>291.01906674774773</v>
      </c>
      <c r="NQ82" s="32">
        <v>3.549013009118875</v>
      </c>
      <c r="NR82" s="32">
        <v>1304.8290423333337</v>
      </c>
      <c r="NS82" s="32">
        <v>15.912549296747972</v>
      </c>
      <c r="NT82" s="32">
        <v>9.6000000000000002E-2</v>
      </c>
      <c r="NU82" s="32">
        <v>-175.40036688888893</v>
      </c>
      <c r="NV82" s="8">
        <v>-2.1390288644986453</v>
      </c>
      <c r="NW82" s="32">
        <v>1286.1105488611111</v>
      </c>
      <c r="NX82" s="32">
        <v>1.108175097560975</v>
      </c>
      <c r="NY82" s="32">
        <v>4.9000000000000002E-2</v>
      </c>
      <c r="NZ82" s="32">
        <v>45278.478316000001</v>
      </c>
      <c r="OA82" s="32">
        <v>144842.65108749998</v>
      </c>
      <c r="OB82" s="32">
        <v>0.14599999999999999</v>
      </c>
      <c r="OC82" s="32">
        <v>0.115</v>
      </c>
      <c r="OD82" s="32">
        <v>65.753424657534254</v>
      </c>
      <c r="OE82" s="32">
        <v>11.311557586588375</v>
      </c>
      <c r="OF82" s="32">
        <v>11.222397143398823</v>
      </c>
      <c r="OG82" s="32">
        <v>18.619867228746386</v>
      </c>
      <c r="OH82" s="32">
        <v>83.191758098277504</v>
      </c>
      <c r="OI82" s="32">
        <v>11.311557586588375</v>
      </c>
      <c r="OJ82" s="32">
        <v>11.222397143398823</v>
      </c>
      <c r="OK82" s="32">
        <v>18.619867228746386</v>
      </c>
      <c r="OL82" s="32">
        <v>0.1919489536317982</v>
      </c>
      <c r="OM82" s="32">
        <v>11.242122992446053</v>
      </c>
      <c r="ON82" s="69"/>
      <c r="OO82" s="32">
        <v>-8.2528804258100745</v>
      </c>
      <c r="OP82" s="32">
        <v>-28.36633322114152</v>
      </c>
      <c r="OQ82" s="32">
        <v>-2.7442156444060006</v>
      </c>
      <c r="OR82" s="32">
        <v>-4.4499612239719992</v>
      </c>
      <c r="OS82" s="32">
        <v>-4.195804195804179</v>
      </c>
      <c r="OT82" s="32">
        <v>-19.247900698085598</v>
      </c>
      <c r="OU82" s="32">
        <v>-5.3333333333333384</v>
      </c>
      <c r="OV82" s="32">
        <v>135.03987065813504</v>
      </c>
      <c r="OW82" s="32">
        <v>-18.043439824156284</v>
      </c>
      <c r="OX82" s="32">
        <v>-23.622735278321908</v>
      </c>
      <c r="OY82" s="32">
        <v>2.0808909336220585</v>
      </c>
    </row>
    <row r="83" spans="1:415" ht="15.75" x14ac:dyDescent="0.25">
      <c r="A83" s="10">
        <v>82</v>
      </c>
      <c r="B83" s="3" t="s">
        <v>434</v>
      </c>
      <c r="C83" s="3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9"/>
      <c r="K83" s="32">
        <v>1722.5618500000003</v>
      </c>
      <c r="L83" s="32">
        <v>18.132230000000003</v>
      </c>
      <c r="M83" s="32">
        <v>0.23499999999999999</v>
      </c>
      <c r="N83" s="32">
        <v>896.57443670623172</v>
      </c>
      <c r="O83" s="32">
        <v>9.4376256495392816</v>
      </c>
      <c r="P83" s="32">
        <v>496.07502315430258</v>
      </c>
      <c r="Q83" s="32">
        <v>5.2218423489926584</v>
      </c>
      <c r="R83" s="32">
        <v>696.32472993026715</v>
      </c>
      <c r="S83" s="32">
        <v>7.3297339992659705</v>
      </c>
      <c r="T83" s="32">
        <v>0.33600000000000002</v>
      </c>
      <c r="U83" s="32">
        <v>0.05</v>
      </c>
      <c r="V83" s="32">
        <v>36.300188021989925</v>
      </c>
      <c r="W83" s="32">
        <v>43.699811978010104</v>
      </c>
      <c r="X83" s="32">
        <v>67.696630482341192</v>
      </c>
      <c r="Y83" s="32">
        <v>76.948091900953926</v>
      </c>
      <c r="Z83" s="32">
        <v>0.51223016604706617</v>
      </c>
      <c r="AA83" s="32">
        <v>3.3628668598204405</v>
      </c>
      <c r="AB83" s="69"/>
      <c r="AC83" s="32" t="s">
        <v>34</v>
      </c>
      <c r="AD83" s="32" t="s">
        <v>34</v>
      </c>
      <c r="AE83" s="32" t="s">
        <v>34</v>
      </c>
      <c r="AF83" s="32" t="s">
        <v>34</v>
      </c>
      <c r="AG83" s="32" t="s">
        <v>34</v>
      </c>
      <c r="AH83" s="32" t="s">
        <v>34</v>
      </c>
      <c r="AI83" s="32" t="s">
        <v>34</v>
      </c>
      <c r="AJ83" s="32" t="s">
        <v>34</v>
      </c>
      <c r="AK83" s="32" t="s">
        <v>34</v>
      </c>
      <c r="AL83" s="32" t="s">
        <v>34</v>
      </c>
      <c r="AM83" s="32" t="s">
        <v>34</v>
      </c>
      <c r="AN83" s="32" t="s">
        <v>34</v>
      </c>
      <c r="AO83" s="32" t="s">
        <v>34</v>
      </c>
      <c r="AP83" s="32" t="s">
        <v>34</v>
      </c>
      <c r="AQ83" s="32" t="s">
        <v>34</v>
      </c>
      <c r="AR83" s="32" t="s">
        <v>34</v>
      </c>
      <c r="AS83" s="32" t="s">
        <v>34</v>
      </c>
      <c r="AT83" s="32" t="s">
        <v>34</v>
      </c>
      <c r="AU83" s="32" t="s">
        <v>34</v>
      </c>
      <c r="AV83" s="32" t="s">
        <v>34</v>
      </c>
      <c r="AW83" s="69"/>
      <c r="AX83" s="32" t="s">
        <v>34</v>
      </c>
      <c r="AY83" s="32" t="s">
        <v>34</v>
      </c>
      <c r="AZ83" s="32" t="s">
        <v>34</v>
      </c>
      <c r="BA83" s="32" t="s">
        <v>34</v>
      </c>
      <c r="BB83" s="32" t="s">
        <v>34</v>
      </c>
      <c r="BC83" s="69"/>
      <c r="BD83" s="32">
        <v>1444.9690099999998</v>
      </c>
      <c r="BE83" s="32">
        <v>15.210200105263155</v>
      </c>
      <c r="BF83" s="32">
        <v>1.7999999999999999E-2</v>
      </c>
      <c r="BG83" s="32">
        <v>2584.8978410000004</v>
      </c>
      <c r="BH83" s="32">
        <v>27.209450957894742</v>
      </c>
      <c r="BI83" s="32">
        <v>7.9000000000000001E-2</v>
      </c>
      <c r="BJ83" s="32">
        <v>1496.7674446127169</v>
      </c>
      <c r="BK83" s="32">
        <v>15.755446785397019</v>
      </c>
      <c r="BL83" s="32">
        <v>187.44300055491325</v>
      </c>
      <c r="BM83" s="32">
        <v>1.973084216367508</v>
      </c>
      <c r="BN83" s="32">
        <v>842.10522258381502</v>
      </c>
      <c r="BO83" s="32">
        <v>8.8642655008822633</v>
      </c>
      <c r="BP83" s="32">
        <v>352.480728936508</v>
      </c>
      <c r="BQ83" s="32">
        <v>3.710323462489558</v>
      </c>
      <c r="BR83" s="32">
        <v>1465.9377703015873</v>
      </c>
      <c r="BS83" s="32">
        <v>15.430923897911445</v>
      </c>
      <c r="BT83" s="32">
        <v>0.113</v>
      </c>
      <c r="BU83" s="32">
        <v>-254.99856914893616</v>
      </c>
      <c r="BV83" s="8">
        <v>-2.6841954647256436</v>
      </c>
      <c r="BW83" s="32">
        <v>1579.4172097872342</v>
      </c>
      <c r="BX83" s="32" t="s">
        <v>34</v>
      </c>
      <c r="BY83" s="32">
        <v>5.8999999999999997E-2</v>
      </c>
      <c r="BZ83" s="32">
        <v>73007.551906999986</v>
      </c>
      <c r="CA83" s="32">
        <v>184076.23984499997</v>
      </c>
      <c r="CB83" s="32">
        <v>0.17199999999999999</v>
      </c>
      <c r="CC83" s="32" t="s">
        <v>34</v>
      </c>
      <c r="CD83" s="32">
        <v>65.697674418604663</v>
      </c>
      <c r="CE83" s="32">
        <v>13.971366959996217</v>
      </c>
      <c r="CF83" s="32">
        <v>10.269998586956362</v>
      </c>
      <c r="CG83" s="32">
        <v>19.312412719549787</v>
      </c>
      <c r="CH83" s="32">
        <v>82.007861033314839</v>
      </c>
      <c r="CI83" s="32">
        <v>13.971366959996217</v>
      </c>
      <c r="CJ83" s="32">
        <v>33.412460576684758</v>
      </c>
      <c r="CK83" s="32">
        <v>19.312412719549787</v>
      </c>
      <c r="CL83" s="32">
        <v>25.950061059914578</v>
      </c>
      <c r="CM83" s="32" t="s">
        <v>34</v>
      </c>
      <c r="CN83" s="32" t="s">
        <v>34</v>
      </c>
      <c r="CO83" s="32" t="s">
        <v>34</v>
      </c>
      <c r="CP83" s="32" t="s">
        <v>34</v>
      </c>
      <c r="CQ83" s="17" t="s">
        <v>34</v>
      </c>
      <c r="CR83" s="69"/>
      <c r="CS83" s="32" t="s">
        <v>34</v>
      </c>
      <c r="CT83" s="32" t="s">
        <v>34</v>
      </c>
      <c r="CU83" s="32" t="s">
        <v>34</v>
      </c>
      <c r="CV83" s="32" t="s">
        <v>34</v>
      </c>
      <c r="CW83" s="32" t="s">
        <v>34</v>
      </c>
      <c r="CX83" s="32" t="s">
        <v>34</v>
      </c>
      <c r="CY83" s="32" t="s">
        <v>34</v>
      </c>
      <c r="CZ83" s="32" t="s">
        <v>34</v>
      </c>
      <c r="DA83" s="32" t="s">
        <v>34</v>
      </c>
      <c r="DB83" s="32" t="s">
        <v>34</v>
      </c>
      <c r="DC83" s="32" t="s">
        <v>34</v>
      </c>
      <c r="DD83" s="32" t="s">
        <v>34</v>
      </c>
      <c r="DE83" s="32" t="s">
        <v>34</v>
      </c>
      <c r="DF83" s="32" t="s">
        <v>34</v>
      </c>
      <c r="DG83" s="32" t="s">
        <v>34</v>
      </c>
      <c r="DH83" s="32" t="s">
        <v>34</v>
      </c>
      <c r="DI83" s="32" t="s">
        <v>34</v>
      </c>
      <c r="DJ83" s="32" t="s">
        <v>34</v>
      </c>
      <c r="DK83" s="8" t="s">
        <v>34</v>
      </c>
      <c r="DL83" s="32" t="s">
        <v>34</v>
      </c>
      <c r="DM83" s="32" t="s">
        <v>34</v>
      </c>
      <c r="DN83" s="32" t="s">
        <v>34</v>
      </c>
      <c r="DO83" s="32" t="s">
        <v>34</v>
      </c>
      <c r="DP83" s="32" t="s">
        <v>34</v>
      </c>
      <c r="DQ83" s="32" t="s">
        <v>34</v>
      </c>
      <c r="DR83" s="32" t="s">
        <v>34</v>
      </c>
      <c r="DS83" s="32" t="s">
        <v>34</v>
      </c>
      <c r="DT83" s="32" t="s">
        <v>34</v>
      </c>
      <c r="DU83" s="32" t="s">
        <v>34</v>
      </c>
      <c r="DV83" s="32" t="s">
        <v>34</v>
      </c>
      <c r="DW83" s="32" t="s">
        <v>34</v>
      </c>
      <c r="DX83" s="32" t="s">
        <v>34</v>
      </c>
      <c r="DY83" s="32" t="s">
        <v>34</v>
      </c>
      <c r="DZ83" s="32" t="s">
        <v>34</v>
      </c>
      <c r="EA83" s="32" t="s">
        <v>34</v>
      </c>
      <c r="EB83" s="32" t="s">
        <v>34</v>
      </c>
      <c r="EC83" s="69"/>
      <c r="ED83" s="32" t="s">
        <v>34</v>
      </c>
      <c r="EE83" s="32" t="s">
        <v>34</v>
      </c>
      <c r="EF83" s="32" t="s">
        <v>34</v>
      </c>
      <c r="EG83" s="32" t="s">
        <v>34</v>
      </c>
      <c r="EH83" s="32" t="s">
        <v>34</v>
      </c>
      <c r="EI83" s="32" t="s">
        <v>34</v>
      </c>
      <c r="EJ83" s="32" t="s">
        <v>34</v>
      </c>
      <c r="EK83" s="32" t="s">
        <v>34</v>
      </c>
      <c r="EL83" s="32" t="s">
        <v>34</v>
      </c>
      <c r="EM83" s="32" t="s">
        <v>34</v>
      </c>
      <c r="EN83" s="32" t="s">
        <v>34</v>
      </c>
      <c r="EO83" s="69"/>
      <c r="EP83" s="32">
        <v>1935.0711170000004</v>
      </c>
      <c r="EQ83" s="32">
        <v>20.369169652631584</v>
      </c>
      <c r="ER83" s="32">
        <v>0.221</v>
      </c>
      <c r="ES83" s="32">
        <v>958.84868715060259</v>
      </c>
      <c r="ET83" s="32">
        <v>10.093144075269501</v>
      </c>
      <c r="EU83" s="32">
        <v>445.45190523192758</v>
      </c>
      <c r="EV83" s="32">
        <v>4.6889674234939749</v>
      </c>
      <c r="EW83" s="32">
        <v>702.15029619126506</v>
      </c>
      <c r="EX83" s="32">
        <v>7.3910557493817377</v>
      </c>
      <c r="EY83" s="32">
        <v>0.33100000000000002</v>
      </c>
      <c r="EZ83" s="32">
        <v>0.06</v>
      </c>
      <c r="FA83" s="32">
        <v>31.861227318954679</v>
      </c>
      <c r="FB83" s="32">
        <v>48.138772681045303</v>
      </c>
      <c r="FC83" s="32">
        <v>95.416640866229258</v>
      </c>
      <c r="FD83" s="32">
        <v>84.650143294382374</v>
      </c>
      <c r="FE83" s="32">
        <v>0.54536577227650385</v>
      </c>
      <c r="FF83" s="32">
        <v>3.5482078549273299</v>
      </c>
      <c r="FG83" s="69"/>
      <c r="FH83" s="32" t="s">
        <v>34</v>
      </c>
      <c r="FI83" s="32" t="s">
        <v>34</v>
      </c>
      <c r="FJ83" s="32" t="s">
        <v>34</v>
      </c>
      <c r="FK83" s="32" t="s">
        <v>34</v>
      </c>
      <c r="FL83" s="32" t="s">
        <v>34</v>
      </c>
      <c r="FM83" s="32" t="s">
        <v>34</v>
      </c>
      <c r="FN83" s="32" t="s">
        <v>34</v>
      </c>
      <c r="FO83" s="32" t="s">
        <v>34</v>
      </c>
      <c r="FP83" s="32" t="s">
        <v>34</v>
      </c>
      <c r="FQ83" s="32" t="s">
        <v>34</v>
      </c>
      <c r="FR83" s="32" t="s">
        <v>34</v>
      </c>
      <c r="FS83" s="32" t="s">
        <v>34</v>
      </c>
      <c r="FT83" s="32" t="s">
        <v>34</v>
      </c>
      <c r="FU83" s="32" t="s">
        <v>34</v>
      </c>
      <c r="FV83" s="32" t="s">
        <v>34</v>
      </c>
      <c r="FW83" s="32" t="s">
        <v>34</v>
      </c>
      <c r="FX83" s="32" t="s">
        <v>34</v>
      </c>
      <c r="FY83" s="32" t="s">
        <v>34</v>
      </c>
      <c r="FZ83" s="32" t="s">
        <v>34</v>
      </c>
      <c r="GA83" s="32" t="s">
        <v>34</v>
      </c>
      <c r="GB83" s="69"/>
      <c r="GC83" s="32" t="s">
        <v>34</v>
      </c>
      <c r="GD83" s="32" t="s">
        <v>34</v>
      </c>
      <c r="GE83" s="32" t="s">
        <v>34</v>
      </c>
      <c r="GF83" s="32" t="s">
        <v>34</v>
      </c>
      <c r="GG83" s="32" t="s">
        <v>34</v>
      </c>
      <c r="GH83" s="69"/>
      <c r="GI83" s="32">
        <v>863.09334200000001</v>
      </c>
      <c r="GJ83" s="32">
        <v>9.085193073684211</v>
      </c>
      <c r="GK83" s="32">
        <v>2.3E-2</v>
      </c>
      <c r="GL83" s="32">
        <v>2728.8609019999999</v>
      </c>
      <c r="GM83" s="32">
        <v>28.724851599999997</v>
      </c>
      <c r="GN83" s="32">
        <v>7.0999999999999994E-2</v>
      </c>
      <c r="GO83" s="32">
        <v>1399.4799324523808</v>
      </c>
      <c r="GP83" s="32">
        <v>14.731367710025062</v>
      </c>
      <c r="GQ83" s="32">
        <v>203.03316134523811</v>
      </c>
      <c r="GR83" s="32">
        <v>2.1371911720551382</v>
      </c>
      <c r="GS83" s="32">
        <v>801.25654689880946</v>
      </c>
      <c r="GT83" s="32">
        <v>8.4342794410400987</v>
      </c>
      <c r="GU83" s="32">
        <v>340.40880745967746</v>
      </c>
      <c r="GV83" s="32">
        <v>3.5832506048387103</v>
      </c>
      <c r="GW83" s="32">
        <v>1510.5226967741935</v>
      </c>
      <c r="GX83" s="32">
        <v>15.900238913412563</v>
      </c>
      <c r="GY83" s="32">
        <v>0.115</v>
      </c>
      <c r="GZ83" s="32">
        <v>-184.11638679545456</v>
      </c>
      <c r="HA83" s="8">
        <v>-1.9380672294258374</v>
      </c>
      <c r="HB83" s="32">
        <v>1086.5412330000001</v>
      </c>
      <c r="HC83" s="32">
        <v>0.27813330574162676</v>
      </c>
      <c r="HD83" s="32">
        <v>5.1999999999999998E-2</v>
      </c>
      <c r="HE83" s="32">
        <v>46580.566250000003</v>
      </c>
      <c r="HF83" s="32">
        <v>186821.249488</v>
      </c>
      <c r="HG83" s="32">
        <v>0.16700000000000001</v>
      </c>
      <c r="HH83" s="32" t="s">
        <v>34</v>
      </c>
      <c r="HI83" s="32">
        <v>68.862275449101801</v>
      </c>
      <c r="HJ83" s="32">
        <v>11.204903855106394</v>
      </c>
      <c r="HK83" s="32">
        <v>12.356135658903018</v>
      </c>
      <c r="HL83" s="32">
        <v>20.71650451871281</v>
      </c>
      <c r="HM83" s="32">
        <v>85.16916045990348</v>
      </c>
      <c r="HN83" s="32">
        <v>11.204903855106394</v>
      </c>
      <c r="HO83" s="32">
        <v>36.511312528433514</v>
      </c>
      <c r="HP83" s="32">
        <v>20.71650451871281</v>
      </c>
      <c r="HQ83" s="32">
        <v>25.654498710740658</v>
      </c>
      <c r="HR83" s="32">
        <v>68.862275449101801</v>
      </c>
      <c r="HS83" s="32" t="s">
        <v>34</v>
      </c>
      <c r="HT83" s="32" t="s">
        <v>34</v>
      </c>
      <c r="HU83" s="32" t="s">
        <v>34</v>
      </c>
      <c r="HV83" s="32" t="s">
        <v>34</v>
      </c>
      <c r="HW83" s="17" t="s">
        <v>34</v>
      </c>
      <c r="HX83" s="69"/>
      <c r="HY83" s="32" t="s">
        <v>34</v>
      </c>
      <c r="HZ83" s="32" t="s">
        <v>34</v>
      </c>
      <c r="IA83" s="32" t="s">
        <v>34</v>
      </c>
      <c r="IB83" s="32" t="s">
        <v>34</v>
      </c>
      <c r="IC83" s="32" t="s">
        <v>34</v>
      </c>
      <c r="ID83" s="32" t="s">
        <v>34</v>
      </c>
      <c r="IE83" s="32" t="s">
        <v>34</v>
      </c>
      <c r="IF83" s="32" t="s">
        <v>34</v>
      </c>
      <c r="IG83" s="32" t="s">
        <v>34</v>
      </c>
      <c r="IH83" s="32" t="s">
        <v>34</v>
      </c>
      <c r="II83" s="32" t="s">
        <v>34</v>
      </c>
      <c r="IJ83" s="32" t="s">
        <v>34</v>
      </c>
      <c r="IK83" s="32" t="s">
        <v>34</v>
      </c>
      <c r="IL83" s="32" t="s">
        <v>34</v>
      </c>
      <c r="IM83" s="32" t="s">
        <v>34</v>
      </c>
      <c r="IN83" s="32" t="s">
        <v>34</v>
      </c>
      <c r="IO83" s="32" t="s">
        <v>34</v>
      </c>
      <c r="IP83" s="32" t="s">
        <v>34</v>
      </c>
      <c r="IQ83" s="8" t="s">
        <v>34</v>
      </c>
      <c r="IR83" s="32" t="s">
        <v>34</v>
      </c>
      <c r="IS83" s="32" t="s">
        <v>34</v>
      </c>
      <c r="IT83" s="32" t="s">
        <v>34</v>
      </c>
      <c r="IU83" s="32" t="s">
        <v>34</v>
      </c>
      <c r="IV83" s="32" t="s">
        <v>34</v>
      </c>
      <c r="IW83" s="32" t="s">
        <v>34</v>
      </c>
      <c r="IX83" s="32" t="s">
        <v>34</v>
      </c>
      <c r="IY83" s="32" t="s">
        <v>34</v>
      </c>
      <c r="IZ83" s="32" t="s">
        <v>34</v>
      </c>
      <c r="JA83" s="32" t="s">
        <v>34</v>
      </c>
      <c r="JB83" s="32" t="s">
        <v>34</v>
      </c>
      <c r="JC83" s="32" t="s">
        <v>34</v>
      </c>
      <c r="JD83" s="32" t="s">
        <v>34</v>
      </c>
      <c r="JE83" s="32" t="s">
        <v>34</v>
      </c>
      <c r="JF83" s="32" t="s">
        <v>34</v>
      </c>
      <c r="JG83" s="32" t="s">
        <v>34</v>
      </c>
      <c r="JH83" s="32" t="s">
        <v>34</v>
      </c>
      <c r="JI83" s="69"/>
      <c r="JJ83" s="32" t="s">
        <v>34</v>
      </c>
      <c r="JK83" s="32" t="s">
        <v>34</v>
      </c>
      <c r="JL83" s="32" t="s">
        <v>34</v>
      </c>
      <c r="JM83" s="32" t="s">
        <v>34</v>
      </c>
      <c r="JN83" s="32" t="s">
        <v>34</v>
      </c>
      <c r="JO83" s="32" t="s">
        <v>34</v>
      </c>
      <c r="JP83" s="32" t="s">
        <v>34</v>
      </c>
      <c r="JQ83" s="32" t="s">
        <v>34</v>
      </c>
      <c r="JR83" s="32" t="s">
        <v>34</v>
      </c>
      <c r="JS83" s="32" t="s">
        <v>34</v>
      </c>
      <c r="JT83" s="32" t="s">
        <v>34</v>
      </c>
      <c r="JU83" s="69"/>
      <c r="JV83" s="32">
        <v>1778.7729170000002</v>
      </c>
      <c r="JW83" s="32">
        <v>18.723925442105266</v>
      </c>
      <c r="JX83" s="32">
        <v>0.29399999999999998</v>
      </c>
      <c r="JY83" s="32">
        <v>709.43151416995067</v>
      </c>
      <c r="JZ83" s="32">
        <v>7.4677001491573751</v>
      </c>
      <c r="KA83" s="32">
        <v>315.01403428817736</v>
      </c>
      <c r="KB83" s="32">
        <v>3.315937203033446</v>
      </c>
      <c r="KC83" s="32">
        <v>512.22277422906404</v>
      </c>
      <c r="KD83" s="32">
        <v>5.3918186760954105</v>
      </c>
      <c r="KE83" s="32">
        <v>0.40500000000000003</v>
      </c>
      <c r="KF83" s="32">
        <v>0.1</v>
      </c>
      <c r="KG83" s="32">
        <v>32.956543399556288</v>
      </c>
      <c r="KH83" s="32">
        <v>67.043456600443719</v>
      </c>
      <c r="KI83" s="32">
        <v>84.33269226004559</v>
      </c>
      <c r="KJ83" s="32">
        <v>87.310409139284388</v>
      </c>
      <c r="KK83" s="32">
        <v>0.47884018294417185</v>
      </c>
      <c r="KL83" s="32">
        <v>3.7147528138994717</v>
      </c>
      <c r="KM83" s="69"/>
      <c r="KN83" s="32" t="s">
        <v>34</v>
      </c>
      <c r="KO83" s="32" t="s">
        <v>34</v>
      </c>
      <c r="KP83" s="32" t="s">
        <v>34</v>
      </c>
      <c r="KQ83" s="32" t="s">
        <v>34</v>
      </c>
      <c r="KR83" s="32" t="s">
        <v>34</v>
      </c>
      <c r="KS83" s="32" t="s">
        <v>34</v>
      </c>
      <c r="KT83" s="32" t="s">
        <v>34</v>
      </c>
      <c r="KU83" s="32" t="s">
        <v>34</v>
      </c>
      <c r="KV83" s="32" t="s">
        <v>34</v>
      </c>
      <c r="KW83" s="32" t="s">
        <v>34</v>
      </c>
      <c r="KX83" s="32" t="s">
        <v>34</v>
      </c>
      <c r="KY83" s="32" t="s">
        <v>34</v>
      </c>
      <c r="KZ83" s="32" t="s">
        <v>34</v>
      </c>
      <c r="LA83" s="32" t="s">
        <v>34</v>
      </c>
      <c r="LB83" s="32" t="s">
        <v>34</v>
      </c>
      <c r="LC83" s="32" t="s">
        <v>34</v>
      </c>
      <c r="LD83" s="32" t="s">
        <v>34</v>
      </c>
      <c r="LE83" s="32" t="s">
        <v>34</v>
      </c>
      <c r="LF83" s="32" t="s">
        <v>34</v>
      </c>
      <c r="LG83" s="32" t="s">
        <v>34</v>
      </c>
      <c r="LH83" s="69"/>
      <c r="LI83" s="32" t="s">
        <v>34</v>
      </c>
      <c r="LJ83" s="32" t="s">
        <v>34</v>
      </c>
      <c r="LK83" s="32" t="s">
        <v>34</v>
      </c>
      <c r="LL83" s="32" t="s">
        <v>34</v>
      </c>
      <c r="LM83" s="32" t="s">
        <v>34</v>
      </c>
      <c r="LN83" s="69"/>
      <c r="LO83" s="32">
        <v>1281.9442530000001</v>
      </c>
      <c r="LP83" s="32">
        <v>13.494150031578949</v>
      </c>
      <c r="LQ83" s="32">
        <v>1.9E-2</v>
      </c>
      <c r="LR83" s="32">
        <v>2711.9451990000002</v>
      </c>
      <c r="LS83" s="32">
        <v>28.546791568421057</v>
      </c>
      <c r="LT83" s="32">
        <v>4.7E-2</v>
      </c>
      <c r="LU83" s="32">
        <v>1460.182867535294</v>
      </c>
      <c r="LV83" s="32">
        <v>15.370345974055727</v>
      </c>
      <c r="LW83" s="32">
        <v>161.24215530588233</v>
      </c>
      <c r="LX83" s="32">
        <v>1.6972858453250772</v>
      </c>
      <c r="LY83" s="32">
        <v>810.71251142058816</v>
      </c>
      <c r="LZ83" s="32">
        <v>8.5338159096904018</v>
      </c>
      <c r="MA83" s="32">
        <v>282.21750383206108</v>
      </c>
      <c r="MB83" s="32">
        <v>2.9707105666532745</v>
      </c>
      <c r="MC83" s="32">
        <v>1458.8718810687019</v>
      </c>
      <c r="MD83" s="32">
        <v>15.356546116512652</v>
      </c>
      <c r="ME83" s="32">
        <v>0.11799999999999999</v>
      </c>
      <c r="MF83" s="32">
        <v>-245.11093846153847</v>
      </c>
      <c r="MG83" s="8">
        <v>-2.5801151417004049</v>
      </c>
      <c r="MH83" s="32">
        <v>1464.5864374615387</v>
      </c>
      <c r="MI83" s="32">
        <v>-9.0241547908231731E-2</v>
      </c>
      <c r="MJ83" s="32">
        <v>5.0999999999999997E-2</v>
      </c>
      <c r="MK83" s="32">
        <v>55795.891084499999</v>
      </c>
      <c r="ML83" s="32">
        <v>190498.7817695</v>
      </c>
      <c r="MM83" s="32">
        <v>0.16900000000000001</v>
      </c>
      <c r="MN83" s="32" t="s">
        <v>34</v>
      </c>
      <c r="MO83" s="32">
        <v>69.822485207100584</v>
      </c>
      <c r="MP83" s="32">
        <v>14.914548722318166</v>
      </c>
      <c r="MQ83" s="32">
        <v>9.811287886601324</v>
      </c>
      <c r="MR83" s="32">
        <v>17.172414815974303</v>
      </c>
      <c r="MS83" s="32">
        <v>88.849435516998284</v>
      </c>
      <c r="MT83" s="32">
        <v>14.914548722318166</v>
      </c>
      <c r="MU83" s="32">
        <v>31.5632553035617</v>
      </c>
      <c r="MV83" s="32">
        <v>17.172414815974303</v>
      </c>
      <c r="MW83" s="32">
        <v>24.886430082573586</v>
      </c>
      <c r="MX83" s="32" t="s">
        <v>34</v>
      </c>
      <c r="MY83" s="32" t="s">
        <v>34</v>
      </c>
      <c r="MZ83" s="32" t="s">
        <v>34</v>
      </c>
      <c r="NA83" s="32" t="s">
        <v>34</v>
      </c>
      <c r="NB83" s="17" t="s">
        <v>34</v>
      </c>
      <c r="NC83" s="69"/>
      <c r="ND83" s="32" t="s">
        <v>34</v>
      </c>
      <c r="NE83" s="32" t="s">
        <v>34</v>
      </c>
      <c r="NF83" s="32" t="s">
        <v>34</v>
      </c>
      <c r="NG83" s="32" t="s">
        <v>34</v>
      </c>
      <c r="NH83" s="32" t="s">
        <v>34</v>
      </c>
      <c r="NI83" s="32" t="s">
        <v>34</v>
      </c>
      <c r="NJ83" s="32" t="s">
        <v>34</v>
      </c>
      <c r="NK83" s="32" t="s">
        <v>34</v>
      </c>
      <c r="NL83" s="32" t="s">
        <v>34</v>
      </c>
      <c r="NM83" s="32" t="s">
        <v>34</v>
      </c>
      <c r="NN83" s="32" t="s">
        <v>34</v>
      </c>
      <c r="NO83" s="32" t="s">
        <v>34</v>
      </c>
      <c r="NP83" s="32" t="s">
        <v>34</v>
      </c>
      <c r="NQ83" s="32" t="s">
        <v>34</v>
      </c>
      <c r="NR83" s="32" t="s">
        <v>34</v>
      </c>
      <c r="NS83" s="32" t="s">
        <v>34</v>
      </c>
      <c r="NT83" s="32" t="s">
        <v>34</v>
      </c>
      <c r="NU83" s="32" t="s">
        <v>34</v>
      </c>
      <c r="NV83" s="8" t="s">
        <v>34</v>
      </c>
      <c r="NW83" s="32" t="s">
        <v>34</v>
      </c>
      <c r="NX83" s="32" t="s">
        <v>34</v>
      </c>
      <c r="NY83" s="32" t="s">
        <v>34</v>
      </c>
      <c r="NZ83" s="32" t="s">
        <v>34</v>
      </c>
      <c r="OA83" s="32" t="s">
        <v>34</v>
      </c>
      <c r="OB83" s="32" t="s">
        <v>34</v>
      </c>
      <c r="OC83" s="32" t="s">
        <v>34</v>
      </c>
      <c r="OD83" s="32" t="s">
        <v>34</v>
      </c>
      <c r="OE83" s="32" t="s">
        <v>34</v>
      </c>
      <c r="OF83" s="32" t="s">
        <v>34</v>
      </c>
      <c r="OG83" s="32" t="s">
        <v>34</v>
      </c>
      <c r="OH83" s="32" t="s">
        <v>34</v>
      </c>
      <c r="OI83" s="32" t="s">
        <v>34</v>
      </c>
      <c r="OJ83" s="32" t="s">
        <v>34</v>
      </c>
      <c r="OK83" s="32" t="s">
        <v>34</v>
      </c>
      <c r="OL83" s="32" t="s">
        <v>34</v>
      </c>
      <c r="OM83" s="32" t="s">
        <v>34</v>
      </c>
      <c r="ON83" s="69"/>
      <c r="OO83" s="32" t="s">
        <v>34</v>
      </c>
      <c r="OP83" s="32" t="s">
        <v>34</v>
      </c>
      <c r="OQ83" s="32" t="s">
        <v>34</v>
      </c>
      <c r="OR83" s="32" t="s">
        <v>34</v>
      </c>
      <c r="OS83" s="32" t="s">
        <v>34</v>
      </c>
      <c r="OT83" s="32" t="s">
        <v>34</v>
      </c>
      <c r="OU83" s="32" t="s">
        <v>34</v>
      </c>
      <c r="OV83" s="32" t="s">
        <v>34</v>
      </c>
      <c r="OW83" s="32" t="s">
        <v>34</v>
      </c>
      <c r="OX83" s="32" t="s">
        <v>34</v>
      </c>
      <c r="OY83" s="32" t="s">
        <v>34</v>
      </c>
    </row>
    <row r="84" spans="1:415" ht="15.75" x14ac:dyDescent="0.25">
      <c r="A84" s="10">
        <v>83</v>
      </c>
      <c r="B84" s="3" t="s">
        <v>436</v>
      </c>
      <c r="C84" s="3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9"/>
      <c r="K84" s="32" t="s">
        <v>34</v>
      </c>
      <c r="L84" s="32" t="s">
        <v>34</v>
      </c>
      <c r="M84" s="32" t="s">
        <v>34</v>
      </c>
      <c r="N84" s="32" t="s">
        <v>34</v>
      </c>
      <c r="O84" s="32" t="s">
        <v>34</v>
      </c>
      <c r="P84" s="32" t="s">
        <v>34</v>
      </c>
      <c r="Q84" s="32" t="s">
        <v>34</v>
      </c>
      <c r="R84" s="32" t="s">
        <v>34</v>
      </c>
      <c r="S84" s="32" t="s">
        <v>34</v>
      </c>
      <c r="T84" s="32" t="s">
        <v>34</v>
      </c>
      <c r="U84" s="32" t="s">
        <v>34</v>
      </c>
      <c r="V84" s="32" t="s">
        <v>34</v>
      </c>
      <c r="W84" s="32" t="s">
        <v>34</v>
      </c>
      <c r="X84" s="32" t="s">
        <v>34</v>
      </c>
      <c r="Y84" s="32" t="s">
        <v>34</v>
      </c>
      <c r="Z84" s="32" t="s">
        <v>34</v>
      </c>
      <c r="AA84" s="32" t="s">
        <v>34</v>
      </c>
      <c r="AB84" s="69"/>
      <c r="AC84" s="32" t="s">
        <v>34</v>
      </c>
      <c r="AD84" s="32" t="s">
        <v>34</v>
      </c>
      <c r="AE84" s="32" t="s">
        <v>34</v>
      </c>
      <c r="AF84" s="32" t="s">
        <v>34</v>
      </c>
      <c r="AG84" s="32" t="s">
        <v>34</v>
      </c>
      <c r="AH84" s="32" t="s">
        <v>34</v>
      </c>
      <c r="AI84" s="32" t="s">
        <v>34</v>
      </c>
      <c r="AJ84" s="32" t="s">
        <v>34</v>
      </c>
      <c r="AK84" s="32" t="s">
        <v>34</v>
      </c>
      <c r="AL84" s="32" t="s">
        <v>34</v>
      </c>
      <c r="AM84" s="32" t="s">
        <v>34</v>
      </c>
      <c r="AN84" s="32" t="s">
        <v>34</v>
      </c>
      <c r="AO84" s="32" t="s">
        <v>34</v>
      </c>
      <c r="AP84" s="32" t="s">
        <v>34</v>
      </c>
      <c r="AQ84" s="32" t="s">
        <v>34</v>
      </c>
      <c r="AR84" s="32" t="s">
        <v>34</v>
      </c>
      <c r="AS84" s="32" t="s">
        <v>34</v>
      </c>
      <c r="AT84" s="32" t="s">
        <v>34</v>
      </c>
      <c r="AU84" s="32" t="s">
        <v>34</v>
      </c>
      <c r="AV84" s="32" t="s">
        <v>34</v>
      </c>
      <c r="AW84" s="69"/>
      <c r="AX84" s="32" t="s">
        <v>34</v>
      </c>
      <c r="AY84" s="32" t="s">
        <v>34</v>
      </c>
      <c r="AZ84" s="32" t="s">
        <v>34</v>
      </c>
      <c r="BA84" s="32" t="s">
        <v>34</v>
      </c>
      <c r="BB84" s="32" t="s">
        <v>34</v>
      </c>
      <c r="BC84" s="69"/>
      <c r="BD84" s="32" t="s">
        <v>34</v>
      </c>
      <c r="BE84" s="32" t="s">
        <v>34</v>
      </c>
      <c r="BF84" s="32" t="s">
        <v>34</v>
      </c>
      <c r="BG84" s="32" t="s">
        <v>34</v>
      </c>
      <c r="BH84" s="32" t="s">
        <v>34</v>
      </c>
      <c r="BI84" s="32" t="s">
        <v>34</v>
      </c>
      <c r="BJ84" s="32" t="s">
        <v>34</v>
      </c>
      <c r="BK84" s="32" t="s">
        <v>34</v>
      </c>
      <c r="BL84" s="32" t="s">
        <v>34</v>
      </c>
      <c r="BM84" s="32" t="s">
        <v>34</v>
      </c>
      <c r="BN84" s="32" t="s">
        <v>34</v>
      </c>
      <c r="BO84" s="32" t="s">
        <v>34</v>
      </c>
      <c r="BP84" s="32" t="s">
        <v>34</v>
      </c>
      <c r="BQ84" s="32" t="s">
        <v>34</v>
      </c>
      <c r="BR84" s="32" t="s">
        <v>34</v>
      </c>
      <c r="BS84" s="32" t="s">
        <v>34</v>
      </c>
      <c r="BT84" s="32" t="s">
        <v>34</v>
      </c>
      <c r="BU84" s="32" t="s">
        <v>34</v>
      </c>
      <c r="BV84" s="8" t="s">
        <v>34</v>
      </c>
      <c r="BW84" s="32" t="s">
        <v>34</v>
      </c>
      <c r="BX84" s="32" t="s">
        <v>34</v>
      </c>
      <c r="BY84" s="32" t="s">
        <v>34</v>
      </c>
      <c r="BZ84" s="32" t="s">
        <v>34</v>
      </c>
      <c r="CA84" s="32" t="s">
        <v>34</v>
      </c>
      <c r="CB84" s="32" t="s">
        <v>34</v>
      </c>
      <c r="CC84" s="32" t="s">
        <v>34</v>
      </c>
      <c r="CD84" s="32" t="s">
        <v>34</v>
      </c>
      <c r="CE84" s="32" t="s">
        <v>34</v>
      </c>
      <c r="CF84" s="32" t="s">
        <v>34</v>
      </c>
      <c r="CG84" s="32" t="s">
        <v>34</v>
      </c>
      <c r="CH84" s="32" t="s">
        <v>34</v>
      </c>
      <c r="CI84" s="32" t="s">
        <v>34</v>
      </c>
      <c r="CJ84" s="32" t="s">
        <v>34</v>
      </c>
      <c r="CK84" s="32" t="s">
        <v>34</v>
      </c>
      <c r="CL84" s="32" t="s">
        <v>34</v>
      </c>
      <c r="CM84" s="32" t="s">
        <v>34</v>
      </c>
      <c r="CN84" s="32" t="s">
        <v>34</v>
      </c>
      <c r="CO84" s="32" t="s">
        <v>34</v>
      </c>
      <c r="CP84" s="32" t="s">
        <v>34</v>
      </c>
      <c r="CQ84" s="17" t="s">
        <v>34</v>
      </c>
      <c r="CR84" s="69"/>
      <c r="CS84" s="32" t="s">
        <v>34</v>
      </c>
      <c r="CT84" s="32" t="s">
        <v>34</v>
      </c>
      <c r="CU84" s="32" t="s">
        <v>34</v>
      </c>
      <c r="CV84" s="32" t="s">
        <v>34</v>
      </c>
      <c r="CW84" s="32" t="s">
        <v>34</v>
      </c>
      <c r="CX84" s="32" t="s">
        <v>34</v>
      </c>
      <c r="CY84" s="32" t="s">
        <v>34</v>
      </c>
      <c r="CZ84" s="32" t="s">
        <v>34</v>
      </c>
      <c r="DA84" s="32" t="s">
        <v>34</v>
      </c>
      <c r="DB84" s="32" t="s">
        <v>34</v>
      </c>
      <c r="DC84" s="32" t="s">
        <v>34</v>
      </c>
      <c r="DD84" s="32" t="s">
        <v>34</v>
      </c>
      <c r="DE84" s="32" t="s">
        <v>34</v>
      </c>
      <c r="DF84" s="32" t="s">
        <v>34</v>
      </c>
      <c r="DG84" s="32" t="s">
        <v>34</v>
      </c>
      <c r="DH84" s="32" t="s">
        <v>34</v>
      </c>
      <c r="DI84" s="32" t="s">
        <v>34</v>
      </c>
      <c r="DJ84" s="32" t="s">
        <v>34</v>
      </c>
      <c r="DK84" s="8" t="s">
        <v>34</v>
      </c>
      <c r="DL84" s="32" t="s">
        <v>34</v>
      </c>
      <c r="DM84" s="32" t="s">
        <v>34</v>
      </c>
      <c r="DN84" s="32" t="s">
        <v>34</v>
      </c>
      <c r="DO84" s="32" t="s">
        <v>34</v>
      </c>
      <c r="DP84" s="32" t="s">
        <v>34</v>
      </c>
      <c r="DQ84" s="32" t="s">
        <v>34</v>
      </c>
      <c r="DR84" s="32" t="s">
        <v>34</v>
      </c>
      <c r="DS84" s="32" t="s">
        <v>34</v>
      </c>
      <c r="DT84" s="32" t="s">
        <v>34</v>
      </c>
      <c r="DU84" s="32" t="s">
        <v>34</v>
      </c>
      <c r="DV84" s="32" t="s">
        <v>34</v>
      </c>
      <c r="DW84" s="32" t="s">
        <v>34</v>
      </c>
      <c r="DX84" s="32" t="s">
        <v>34</v>
      </c>
      <c r="DY84" s="32" t="s">
        <v>34</v>
      </c>
      <c r="DZ84" s="32" t="s">
        <v>34</v>
      </c>
      <c r="EA84" s="32" t="s">
        <v>34</v>
      </c>
      <c r="EB84" s="32" t="s">
        <v>34</v>
      </c>
      <c r="EC84" s="69"/>
      <c r="ED84" s="32" t="s">
        <v>34</v>
      </c>
      <c r="EE84" s="32" t="s">
        <v>34</v>
      </c>
      <c r="EF84" s="32" t="s">
        <v>34</v>
      </c>
      <c r="EG84" s="32" t="s">
        <v>34</v>
      </c>
      <c r="EH84" s="32" t="s">
        <v>34</v>
      </c>
      <c r="EI84" s="32" t="s">
        <v>34</v>
      </c>
      <c r="EJ84" s="32" t="s">
        <v>34</v>
      </c>
      <c r="EK84" s="32" t="s">
        <v>34</v>
      </c>
      <c r="EL84" s="32" t="s">
        <v>34</v>
      </c>
      <c r="EM84" s="32" t="s">
        <v>34</v>
      </c>
      <c r="EN84" s="32" t="s">
        <v>34</v>
      </c>
      <c r="EO84" s="69"/>
      <c r="EP84" s="32" t="s">
        <v>34</v>
      </c>
      <c r="EQ84" s="32" t="s">
        <v>34</v>
      </c>
      <c r="ER84" s="32" t="s">
        <v>34</v>
      </c>
      <c r="ES84" s="32" t="s">
        <v>34</v>
      </c>
      <c r="ET84" s="32" t="s">
        <v>34</v>
      </c>
      <c r="EU84" s="32" t="s">
        <v>34</v>
      </c>
      <c r="EV84" s="32" t="s">
        <v>34</v>
      </c>
      <c r="EW84" s="32" t="s">
        <v>34</v>
      </c>
      <c r="EX84" s="32" t="s">
        <v>34</v>
      </c>
      <c r="EY84" s="32" t="s">
        <v>34</v>
      </c>
      <c r="EZ84" s="32" t="s">
        <v>34</v>
      </c>
      <c r="FA84" s="32" t="s">
        <v>34</v>
      </c>
      <c r="FB84" s="32" t="s">
        <v>34</v>
      </c>
      <c r="FC84" s="32" t="s">
        <v>34</v>
      </c>
      <c r="FD84" s="32" t="s">
        <v>34</v>
      </c>
      <c r="FE84" s="32" t="s">
        <v>34</v>
      </c>
      <c r="FF84" s="32" t="s">
        <v>34</v>
      </c>
      <c r="FG84" s="69"/>
      <c r="FH84" s="32" t="s">
        <v>34</v>
      </c>
      <c r="FI84" s="32" t="s">
        <v>34</v>
      </c>
      <c r="FJ84" s="32" t="s">
        <v>34</v>
      </c>
      <c r="FK84" s="32" t="s">
        <v>34</v>
      </c>
      <c r="FL84" s="32" t="s">
        <v>34</v>
      </c>
      <c r="FM84" s="32" t="s">
        <v>34</v>
      </c>
      <c r="FN84" s="32" t="s">
        <v>34</v>
      </c>
      <c r="FO84" s="32" t="s">
        <v>34</v>
      </c>
      <c r="FP84" s="32" t="s">
        <v>34</v>
      </c>
      <c r="FQ84" s="32" t="s">
        <v>34</v>
      </c>
      <c r="FR84" s="32" t="s">
        <v>34</v>
      </c>
      <c r="FS84" s="32" t="s">
        <v>34</v>
      </c>
      <c r="FT84" s="32" t="s">
        <v>34</v>
      </c>
      <c r="FU84" s="32" t="s">
        <v>34</v>
      </c>
      <c r="FV84" s="32" t="s">
        <v>34</v>
      </c>
      <c r="FW84" s="32" t="s">
        <v>34</v>
      </c>
      <c r="FX84" s="32" t="s">
        <v>34</v>
      </c>
      <c r="FY84" s="32" t="s">
        <v>34</v>
      </c>
      <c r="FZ84" s="32" t="s">
        <v>34</v>
      </c>
      <c r="GA84" s="32" t="s">
        <v>34</v>
      </c>
      <c r="GB84" s="69"/>
      <c r="GC84" s="32" t="s">
        <v>34</v>
      </c>
      <c r="GD84" s="32" t="s">
        <v>34</v>
      </c>
      <c r="GE84" s="32" t="s">
        <v>34</v>
      </c>
      <c r="GF84" s="32" t="s">
        <v>34</v>
      </c>
      <c r="GG84" s="32" t="s">
        <v>34</v>
      </c>
      <c r="GH84" s="69"/>
      <c r="GI84" s="32" t="s">
        <v>34</v>
      </c>
      <c r="GJ84" s="32" t="s">
        <v>34</v>
      </c>
      <c r="GK84" s="32" t="s">
        <v>34</v>
      </c>
      <c r="GL84" s="32" t="s">
        <v>34</v>
      </c>
      <c r="GM84" s="32" t="s">
        <v>34</v>
      </c>
      <c r="GN84" s="32" t="s">
        <v>34</v>
      </c>
      <c r="GO84" s="32" t="s">
        <v>34</v>
      </c>
      <c r="GP84" s="32" t="s">
        <v>34</v>
      </c>
      <c r="GQ84" s="32" t="s">
        <v>34</v>
      </c>
      <c r="GR84" s="32" t="s">
        <v>34</v>
      </c>
      <c r="GS84" s="32" t="s">
        <v>34</v>
      </c>
      <c r="GT84" s="32" t="s">
        <v>34</v>
      </c>
      <c r="GU84" s="32" t="s">
        <v>34</v>
      </c>
      <c r="GV84" s="32" t="s">
        <v>34</v>
      </c>
      <c r="GW84" s="32" t="s">
        <v>34</v>
      </c>
      <c r="GX84" s="32" t="s">
        <v>34</v>
      </c>
      <c r="GY84" s="32" t="s">
        <v>34</v>
      </c>
      <c r="GZ84" s="32" t="s">
        <v>34</v>
      </c>
      <c r="HA84" s="8" t="s">
        <v>34</v>
      </c>
      <c r="HB84" s="32" t="s">
        <v>34</v>
      </c>
      <c r="HC84" s="32" t="s">
        <v>34</v>
      </c>
      <c r="HD84" s="32" t="s">
        <v>34</v>
      </c>
      <c r="HE84" s="32" t="s">
        <v>34</v>
      </c>
      <c r="HF84" s="32" t="s">
        <v>34</v>
      </c>
      <c r="HG84" s="32" t="s">
        <v>34</v>
      </c>
      <c r="HH84" s="32" t="s">
        <v>34</v>
      </c>
      <c r="HI84" s="32" t="s">
        <v>34</v>
      </c>
      <c r="HJ84" s="32" t="s">
        <v>34</v>
      </c>
      <c r="HK84" s="32" t="s">
        <v>34</v>
      </c>
      <c r="HL84" s="32" t="s">
        <v>34</v>
      </c>
      <c r="HM84" s="32" t="s">
        <v>34</v>
      </c>
      <c r="HN84" s="32" t="s">
        <v>34</v>
      </c>
      <c r="HO84" s="32" t="s">
        <v>34</v>
      </c>
      <c r="HP84" s="32" t="s">
        <v>34</v>
      </c>
      <c r="HQ84" s="32" t="s">
        <v>34</v>
      </c>
      <c r="HR84" s="32" t="s">
        <v>34</v>
      </c>
      <c r="HS84" s="32" t="s">
        <v>34</v>
      </c>
      <c r="HT84" s="32" t="s">
        <v>34</v>
      </c>
      <c r="HU84" s="32" t="s">
        <v>34</v>
      </c>
      <c r="HV84" s="32" t="s">
        <v>34</v>
      </c>
      <c r="HW84" s="17" t="s">
        <v>34</v>
      </c>
      <c r="HX84" s="69"/>
      <c r="HY84" s="32" t="s">
        <v>34</v>
      </c>
      <c r="HZ84" s="32" t="s">
        <v>34</v>
      </c>
      <c r="IA84" s="32" t="s">
        <v>34</v>
      </c>
      <c r="IB84" s="32" t="s">
        <v>34</v>
      </c>
      <c r="IC84" s="32" t="s">
        <v>34</v>
      </c>
      <c r="ID84" s="32" t="s">
        <v>34</v>
      </c>
      <c r="IE84" s="32" t="s">
        <v>34</v>
      </c>
      <c r="IF84" s="32" t="s">
        <v>34</v>
      </c>
      <c r="IG84" s="32" t="s">
        <v>34</v>
      </c>
      <c r="IH84" s="32" t="s">
        <v>34</v>
      </c>
      <c r="II84" s="32" t="s">
        <v>34</v>
      </c>
      <c r="IJ84" s="32" t="s">
        <v>34</v>
      </c>
      <c r="IK84" s="32" t="s">
        <v>34</v>
      </c>
      <c r="IL84" s="32" t="s">
        <v>34</v>
      </c>
      <c r="IM84" s="32" t="s">
        <v>34</v>
      </c>
      <c r="IN84" s="32" t="s">
        <v>34</v>
      </c>
      <c r="IO84" s="32" t="s">
        <v>34</v>
      </c>
      <c r="IP84" s="32" t="s">
        <v>34</v>
      </c>
      <c r="IQ84" s="8" t="s">
        <v>34</v>
      </c>
      <c r="IR84" s="32" t="s">
        <v>34</v>
      </c>
      <c r="IS84" s="32" t="s">
        <v>34</v>
      </c>
      <c r="IT84" s="32" t="s">
        <v>34</v>
      </c>
      <c r="IU84" s="32" t="s">
        <v>34</v>
      </c>
      <c r="IV84" s="32" t="s">
        <v>34</v>
      </c>
      <c r="IW84" s="32" t="s">
        <v>34</v>
      </c>
      <c r="IX84" s="32" t="s">
        <v>34</v>
      </c>
      <c r="IY84" s="32" t="s">
        <v>34</v>
      </c>
      <c r="IZ84" s="32" t="s">
        <v>34</v>
      </c>
      <c r="JA84" s="32" t="s">
        <v>34</v>
      </c>
      <c r="JB84" s="32" t="s">
        <v>34</v>
      </c>
      <c r="JC84" s="32" t="s">
        <v>34</v>
      </c>
      <c r="JD84" s="32" t="s">
        <v>34</v>
      </c>
      <c r="JE84" s="32" t="s">
        <v>34</v>
      </c>
      <c r="JF84" s="32" t="s">
        <v>34</v>
      </c>
      <c r="JG84" s="32" t="s">
        <v>34</v>
      </c>
      <c r="JH84" s="32" t="s">
        <v>34</v>
      </c>
      <c r="JI84" s="69"/>
      <c r="JJ84" s="32" t="s">
        <v>34</v>
      </c>
      <c r="JK84" s="32" t="s">
        <v>34</v>
      </c>
      <c r="JL84" s="32" t="s">
        <v>34</v>
      </c>
      <c r="JM84" s="32" t="s">
        <v>34</v>
      </c>
      <c r="JN84" s="32" t="s">
        <v>34</v>
      </c>
      <c r="JO84" s="32" t="s">
        <v>34</v>
      </c>
      <c r="JP84" s="32" t="s">
        <v>34</v>
      </c>
      <c r="JQ84" s="32" t="s">
        <v>34</v>
      </c>
      <c r="JR84" s="32" t="s">
        <v>34</v>
      </c>
      <c r="JS84" s="32" t="s">
        <v>34</v>
      </c>
      <c r="JT84" s="32" t="s">
        <v>34</v>
      </c>
      <c r="JU84" s="69"/>
      <c r="JV84" s="32" t="s">
        <v>34</v>
      </c>
      <c r="JW84" s="32" t="s">
        <v>34</v>
      </c>
      <c r="JX84" s="32" t="s">
        <v>34</v>
      </c>
      <c r="JY84" s="32" t="s">
        <v>34</v>
      </c>
      <c r="JZ84" s="32" t="s">
        <v>34</v>
      </c>
      <c r="KA84" s="32" t="s">
        <v>34</v>
      </c>
      <c r="KB84" s="32" t="s">
        <v>34</v>
      </c>
      <c r="KC84" s="32" t="s">
        <v>34</v>
      </c>
      <c r="KD84" s="32" t="s">
        <v>34</v>
      </c>
      <c r="KE84" s="32" t="s">
        <v>34</v>
      </c>
      <c r="KF84" s="32" t="s">
        <v>34</v>
      </c>
      <c r="KG84" s="32" t="s">
        <v>34</v>
      </c>
      <c r="KH84" s="32" t="s">
        <v>34</v>
      </c>
      <c r="KI84" s="32" t="s">
        <v>34</v>
      </c>
      <c r="KJ84" s="32" t="s">
        <v>34</v>
      </c>
      <c r="KK84" s="32" t="s">
        <v>34</v>
      </c>
      <c r="KL84" s="32" t="s">
        <v>34</v>
      </c>
      <c r="KM84" s="69"/>
      <c r="KN84" s="32" t="s">
        <v>34</v>
      </c>
      <c r="KO84" s="32" t="s">
        <v>34</v>
      </c>
      <c r="KP84" s="32" t="s">
        <v>34</v>
      </c>
      <c r="KQ84" s="32" t="s">
        <v>34</v>
      </c>
      <c r="KR84" s="32" t="s">
        <v>34</v>
      </c>
      <c r="KS84" s="32" t="s">
        <v>34</v>
      </c>
      <c r="KT84" s="32" t="s">
        <v>34</v>
      </c>
      <c r="KU84" s="32" t="s">
        <v>34</v>
      </c>
      <c r="KV84" s="32" t="s">
        <v>34</v>
      </c>
      <c r="KW84" s="32" t="s">
        <v>34</v>
      </c>
      <c r="KX84" s="32" t="s">
        <v>34</v>
      </c>
      <c r="KY84" s="32" t="s">
        <v>34</v>
      </c>
      <c r="KZ84" s="32" t="s">
        <v>34</v>
      </c>
      <c r="LA84" s="32" t="s">
        <v>34</v>
      </c>
      <c r="LB84" s="32" t="s">
        <v>34</v>
      </c>
      <c r="LC84" s="32" t="s">
        <v>34</v>
      </c>
      <c r="LD84" s="32" t="s">
        <v>34</v>
      </c>
      <c r="LE84" s="32" t="s">
        <v>34</v>
      </c>
      <c r="LF84" s="32" t="s">
        <v>34</v>
      </c>
      <c r="LG84" s="32" t="s">
        <v>34</v>
      </c>
      <c r="LH84" s="69"/>
      <c r="LI84" s="32" t="s">
        <v>34</v>
      </c>
      <c r="LJ84" s="32" t="s">
        <v>34</v>
      </c>
      <c r="LK84" s="32" t="s">
        <v>34</v>
      </c>
      <c r="LL84" s="32" t="s">
        <v>34</v>
      </c>
      <c r="LM84" s="32" t="s">
        <v>34</v>
      </c>
      <c r="LN84" s="69"/>
      <c r="LO84" s="32" t="s">
        <v>34</v>
      </c>
      <c r="LP84" s="32" t="s">
        <v>34</v>
      </c>
      <c r="LQ84" s="32" t="s">
        <v>34</v>
      </c>
      <c r="LR84" s="32" t="s">
        <v>34</v>
      </c>
      <c r="LS84" s="32" t="s">
        <v>34</v>
      </c>
      <c r="LT84" s="32" t="s">
        <v>34</v>
      </c>
      <c r="LU84" s="32" t="s">
        <v>34</v>
      </c>
      <c r="LV84" s="32" t="s">
        <v>34</v>
      </c>
      <c r="LW84" s="32" t="s">
        <v>34</v>
      </c>
      <c r="LX84" s="32" t="s">
        <v>34</v>
      </c>
      <c r="LY84" s="32" t="s">
        <v>34</v>
      </c>
      <c r="LZ84" s="32" t="s">
        <v>34</v>
      </c>
      <c r="MA84" s="32" t="s">
        <v>34</v>
      </c>
      <c r="MB84" s="32" t="s">
        <v>34</v>
      </c>
      <c r="MC84" s="32" t="s">
        <v>34</v>
      </c>
      <c r="MD84" s="32" t="s">
        <v>34</v>
      </c>
      <c r="ME84" s="32" t="s">
        <v>34</v>
      </c>
      <c r="MF84" s="32" t="s">
        <v>34</v>
      </c>
      <c r="MG84" s="8" t="s">
        <v>34</v>
      </c>
      <c r="MH84" s="32" t="s">
        <v>34</v>
      </c>
      <c r="MI84" s="32" t="s">
        <v>34</v>
      </c>
      <c r="MJ84" s="32" t="s">
        <v>34</v>
      </c>
      <c r="MK84" s="32" t="s">
        <v>34</v>
      </c>
      <c r="ML84" s="32" t="s">
        <v>34</v>
      </c>
      <c r="MM84" s="32" t="s">
        <v>34</v>
      </c>
      <c r="MN84" s="32" t="s">
        <v>34</v>
      </c>
      <c r="MO84" s="32" t="s">
        <v>34</v>
      </c>
      <c r="MP84" s="32" t="s">
        <v>34</v>
      </c>
      <c r="MQ84" s="32" t="s">
        <v>34</v>
      </c>
      <c r="MR84" s="32" t="s">
        <v>34</v>
      </c>
      <c r="MS84" s="32" t="s">
        <v>34</v>
      </c>
      <c r="MT84" s="32" t="s">
        <v>34</v>
      </c>
      <c r="MU84" s="32" t="s">
        <v>34</v>
      </c>
      <c r="MV84" s="32" t="s">
        <v>34</v>
      </c>
      <c r="MW84" s="32" t="s">
        <v>34</v>
      </c>
      <c r="MX84" s="32" t="s">
        <v>34</v>
      </c>
      <c r="MY84" s="32" t="s">
        <v>34</v>
      </c>
      <c r="MZ84" s="32" t="s">
        <v>34</v>
      </c>
      <c r="NA84" s="32" t="s">
        <v>34</v>
      </c>
      <c r="NB84" s="17" t="s">
        <v>34</v>
      </c>
      <c r="NC84" s="69"/>
      <c r="ND84" s="32" t="s">
        <v>34</v>
      </c>
      <c r="NE84" s="32" t="s">
        <v>34</v>
      </c>
      <c r="NF84" s="32" t="s">
        <v>34</v>
      </c>
      <c r="NG84" s="32" t="s">
        <v>34</v>
      </c>
      <c r="NH84" s="32" t="s">
        <v>34</v>
      </c>
      <c r="NI84" s="32" t="s">
        <v>34</v>
      </c>
      <c r="NJ84" s="32" t="s">
        <v>34</v>
      </c>
      <c r="NK84" s="32" t="s">
        <v>34</v>
      </c>
      <c r="NL84" s="32" t="s">
        <v>34</v>
      </c>
      <c r="NM84" s="32" t="s">
        <v>34</v>
      </c>
      <c r="NN84" s="32" t="s">
        <v>34</v>
      </c>
      <c r="NO84" s="32" t="s">
        <v>34</v>
      </c>
      <c r="NP84" s="32" t="s">
        <v>34</v>
      </c>
      <c r="NQ84" s="32" t="s">
        <v>34</v>
      </c>
      <c r="NR84" s="32" t="s">
        <v>34</v>
      </c>
      <c r="NS84" s="32" t="s">
        <v>34</v>
      </c>
      <c r="NT84" s="32" t="s">
        <v>34</v>
      </c>
      <c r="NU84" s="32" t="s">
        <v>34</v>
      </c>
      <c r="NV84" s="8" t="s">
        <v>34</v>
      </c>
      <c r="NW84" s="32" t="s">
        <v>34</v>
      </c>
      <c r="NX84" s="32" t="s">
        <v>34</v>
      </c>
      <c r="NY84" s="32" t="s">
        <v>34</v>
      </c>
      <c r="NZ84" s="32" t="s">
        <v>34</v>
      </c>
      <c r="OA84" s="32" t="s">
        <v>34</v>
      </c>
      <c r="OB84" s="32" t="s">
        <v>34</v>
      </c>
      <c r="OC84" s="32" t="s">
        <v>34</v>
      </c>
      <c r="OD84" s="32" t="s">
        <v>34</v>
      </c>
      <c r="OE84" s="32" t="s">
        <v>34</v>
      </c>
      <c r="OF84" s="32" t="s">
        <v>34</v>
      </c>
      <c r="OG84" s="32" t="s">
        <v>34</v>
      </c>
      <c r="OH84" s="32" t="s">
        <v>34</v>
      </c>
      <c r="OI84" s="32" t="s">
        <v>34</v>
      </c>
      <c r="OJ84" s="32" t="s">
        <v>34</v>
      </c>
      <c r="OK84" s="32" t="s">
        <v>34</v>
      </c>
      <c r="OL84" s="32" t="s">
        <v>34</v>
      </c>
      <c r="OM84" s="32" t="s">
        <v>34</v>
      </c>
      <c r="ON84" s="69"/>
      <c r="OO84" s="32" t="s">
        <v>34</v>
      </c>
      <c r="OP84" s="32" t="s">
        <v>34</v>
      </c>
      <c r="OQ84" s="32" t="s">
        <v>34</v>
      </c>
      <c r="OR84" s="32" t="s">
        <v>34</v>
      </c>
      <c r="OS84" s="32" t="s">
        <v>34</v>
      </c>
      <c r="OT84" s="32" t="s">
        <v>34</v>
      </c>
      <c r="OU84" s="32" t="s">
        <v>34</v>
      </c>
      <c r="OV84" s="32" t="s">
        <v>34</v>
      </c>
      <c r="OW84" s="32" t="s">
        <v>34</v>
      </c>
      <c r="OX84" s="32" t="s">
        <v>34</v>
      </c>
      <c r="OY84" s="32" t="s">
        <v>34</v>
      </c>
    </row>
    <row r="85" spans="1:415" ht="15.75" x14ac:dyDescent="0.25">
      <c r="A85" s="10">
        <v>84</v>
      </c>
      <c r="B85" s="3" t="s">
        <v>438</v>
      </c>
      <c r="C85" s="3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9"/>
      <c r="K85" s="32">
        <v>1451.7496760000001</v>
      </c>
      <c r="L85" s="32">
        <v>16.880810186046514</v>
      </c>
      <c r="M85" s="32">
        <v>0.25</v>
      </c>
      <c r="N85" s="32">
        <v>770.16171623121397</v>
      </c>
      <c r="O85" s="32">
        <v>8.9553687933862083</v>
      </c>
      <c r="P85" s="32">
        <v>476.20052793352613</v>
      </c>
      <c r="Q85" s="32">
        <v>5.537215441087513</v>
      </c>
      <c r="R85" s="32">
        <v>623.18112208237005</v>
      </c>
      <c r="S85" s="32">
        <v>7.2462921172368615</v>
      </c>
      <c r="T85" s="32">
        <v>0.34499999999999997</v>
      </c>
      <c r="U85" s="32">
        <v>5.7000000000000002E-2</v>
      </c>
      <c r="V85" s="32">
        <v>41.2781737485872</v>
      </c>
      <c r="W85" s="32">
        <v>58.721826251412786</v>
      </c>
      <c r="X85" s="32">
        <v>82.193160962931813</v>
      </c>
      <c r="Y85" s="32">
        <v>66.592519524820503</v>
      </c>
      <c r="Z85" s="32">
        <v>0.45431541100668738</v>
      </c>
      <c r="AA85" s="32">
        <v>3.1954664993273383</v>
      </c>
      <c r="AB85" s="69"/>
      <c r="AC85" s="32">
        <v>108.63506899999999</v>
      </c>
      <c r="AD85" s="32">
        <v>1.2631984767441859</v>
      </c>
      <c r="AE85" s="32">
        <v>5.0000000000000001E-3</v>
      </c>
      <c r="AF85" s="32">
        <v>1713.905714</v>
      </c>
      <c r="AG85" s="32">
        <v>19.929136209302325</v>
      </c>
      <c r="AH85" s="32">
        <v>9.5000000000000001E-2</v>
      </c>
      <c r="AI85" s="32">
        <v>1000.9757695999997</v>
      </c>
      <c r="AJ85" s="32">
        <v>11.639253134883717</v>
      </c>
      <c r="AK85" s="32">
        <v>499.83270851666657</v>
      </c>
      <c r="AL85" s="32">
        <v>5.8120082385658902</v>
      </c>
      <c r="AM85" s="32">
        <v>750.40423905833313</v>
      </c>
      <c r="AN85" s="32">
        <v>8.7256306867248039</v>
      </c>
      <c r="AO85" s="32">
        <v>0.17899999999999999</v>
      </c>
      <c r="AP85" s="32">
        <v>5.7000000000000002E-2</v>
      </c>
      <c r="AQ85" s="32">
        <v>33.976185272672552</v>
      </c>
      <c r="AR85" s="32">
        <v>66.023814727327448</v>
      </c>
      <c r="AS85" s="32">
        <v>85.698570474397627</v>
      </c>
      <c r="AT85" s="32">
        <v>99.169618861612079</v>
      </c>
      <c r="AU85" s="32">
        <v>0.19264988871516037</v>
      </c>
      <c r="AV85" s="32">
        <v>8.896479128176761</v>
      </c>
      <c r="AW85" s="69"/>
      <c r="AX85" s="32">
        <v>-26.063934077987426</v>
      </c>
      <c r="AY85" s="32">
        <v>-16.562512699779354</v>
      </c>
      <c r="AZ85" s="32">
        <v>89.855072463768124</v>
      </c>
      <c r="BA85" s="32">
        <v>63.358778625954194</v>
      </c>
      <c r="BB85" s="32">
        <v>19.406154197265298</v>
      </c>
      <c r="BC85" s="69"/>
      <c r="BD85" s="32">
        <v>918.79946000000007</v>
      </c>
      <c r="BE85" s="32">
        <v>10.683714651162791</v>
      </c>
      <c r="BF85" s="32">
        <v>1.4E-2</v>
      </c>
      <c r="BG85" s="32">
        <v>2467.7689239999995</v>
      </c>
      <c r="BH85" s="32">
        <v>28.694987488372089</v>
      </c>
      <c r="BI85" s="32">
        <v>6.6000000000000003E-2</v>
      </c>
      <c r="BJ85" s="32">
        <v>1474.7795877448277</v>
      </c>
      <c r="BK85" s="32">
        <v>17.148599857497995</v>
      </c>
      <c r="BL85" s="32">
        <v>226.8711522551724</v>
      </c>
      <c r="BM85" s="32">
        <v>2.6380366541299116</v>
      </c>
      <c r="BN85" s="32">
        <v>850.82537000000002</v>
      </c>
      <c r="BO85" s="32">
        <v>9.8933182558139539</v>
      </c>
      <c r="BP85" s="32">
        <v>336.56038013392856</v>
      </c>
      <c r="BQ85" s="32">
        <v>3.9134927922549831</v>
      </c>
      <c r="BR85" s="32">
        <v>1533.8858098660717</v>
      </c>
      <c r="BS85" s="32">
        <v>17.8358815100706</v>
      </c>
      <c r="BT85" s="32">
        <v>9.4E-2</v>
      </c>
      <c r="BU85" s="32">
        <v>-145.40743933333331</v>
      </c>
      <c r="BV85" s="8">
        <v>-1.6907841782945734</v>
      </c>
      <c r="BW85" s="32">
        <v>1274.1766520606061</v>
      </c>
      <c r="BX85" s="32" t="s">
        <v>34</v>
      </c>
      <c r="BY85" s="32">
        <v>0.05</v>
      </c>
      <c r="BZ85" s="32">
        <v>40828.840932499996</v>
      </c>
      <c r="CA85" s="32">
        <v>171250.34923200001</v>
      </c>
      <c r="CB85" s="32">
        <v>0.14399999999999999</v>
      </c>
      <c r="CC85" s="32" t="s">
        <v>34</v>
      </c>
      <c r="CD85" s="32">
        <v>65.277777777777786</v>
      </c>
      <c r="CE85" s="32">
        <v>8.0539522491302797</v>
      </c>
      <c r="CF85" s="32">
        <v>12.566134410630895</v>
      </c>
      <c r="CG85" s="32">
        <v>18.641695658596241</v>
      </c>
      <c r="CH85" s="32">
        <v>81.686359598562902</v>
      </c>
      <c r="CI85" s="32">
        <v>8.0539522491302797</v>
      </c>
      <c r="CJ85" s="32">
        <v>35.272974930831687</v>
      </c>
      <c r="CK85" s="32">
        <v>18.641695658596241</v>
      </c>
      <c r="CL85" s="32">
        <v>26.20239602526506</v>
      </c>
      <c r="CM85" s="32" t="s">
        <v>34</v>
      </c>
      <c r="CN85" s="32" t="s">
        <v>34</v>
      </c>
      <c r="CO85" s="32" t="s">
        <v>34</v>
      </c>
      <c r="CP85" s="32" t="s">
        <v>34</v>
      </c>
      <c r="CQ85" s="17" t="s">
        <v>34</v>
      </c>
      <c r="CR85" s="69"/>
      <c r="CS85" s="32" t="s">
        <v>34</v>
      </c>
      <c r="CT85" s="32" t="s">
        <v>34</v>
      </c>
      <c r="CU85" s="32" t="s">
        <v>34</v>
      </c>
      <c r="CV85" s="32" t="s">
        <v>34</v>
      </c>
      <c r="CW85" s="32" t="s">
        <v>34</v>
      </c>
      <c r="CX85" s="32" t="s">
        <v>34</v>
      </c>
      <c r="CY85" s="32" t="s">
        <v>34</v>
      </c>
      <c r="CZ85" s="32" t="s">
        <v>34</v>
      </c>
      <c r="DA85" s="32" t="s">
        <v>34</v>
      </c>
      <c r="DB85" s="32" t="s">
        <v>34</v>
      </c>
      <c r="DC85" s="32" t="s">
        <v>34</v>
      </c>
      <c r="DD85" s="32" t="s">
        <v>34</v>
      </c>
      <c r="DE85" s="32" t="s">
        <v>34</v>
      </c>
      <c r="DF85" s="32" t="s">
        <v>34</v>
      </c>
      <c r="DG85" s="32" t="s">
        <v>34</v>
      </c>
      <c r="DH85" s="32" t="s">
        <v>34</v>
      </c>
      <c r="DI85" s="32" t="s">
        <v>34</v>
      </c>
      <c r="DJ85" s="32" t="s">
        <v>34</v>
      </c>
      <c r="DK85" s="8" t="s">
        <v>34</v>
      </c>
      <c r="DL85" s="32" t="s">
        <v>34</v>
      </c>
      <c r="DM85" s="32" t="s">
        <v>34</v>
      </c>
      <c r="DN85" s="32" t="s">
        <v>34</v>
      </c>
      <c r="DO85" s="32" t="s">
        <v>34</v>
      </c>
      <c r="DP85" s="32" t="s">
        <v>34</v>
      </c>
      <c r="DQ85" s="32" t="s">
        <v>34</v>
      </c>
      <c r="DR85" s="32" t="s">
        <v>34</v>
      </c>
      <c r="DS85" s="32" t="s">
        <v>34</v>
      </c>
      <c r="DT85" s="32" t="s">
        <v>34</v>
      </c>
      <c r="DU85" s="32" t="s">
        <v>34</v>
      </c>
      <c r="DV85" s="32" t="s">
        <v>34</v>
      </c>
      <c r="DW85" s="32" t="s">
        <v>34</v>
      </c>
      <c r="DX85" s="32" t="s">
        <v>34</v>
      </c>
      <c r="DY85" s="32" t="s">
        <v>34</v>
      </c>
      <c r="DZ85" s="32" t="s">
        <v>34</v>
      </c>
      <c r="EA85" s="32" t="s">
        <v>34</v>
      </c>
      <c r="EB85" s="32" t="s">
        <v>34</v>
      </c>
      <c r="EC85" s="69"/>
      <c r="ED85" s="32" t="s">
        <v>34</v>
      </c>
      <c r="EE85" s="32" t="s">
        <v>34</v>
      </c>
      <c r="EF85" s="32" t="s">
        <v>34</v>
      </c>
      <c r="EG85" s="32" t="s">
        <v>34</v>
      </c>
      <c r="EH85" s="32" t="s">
        <v>34</v>
      </c>
      <c r="EI85" s="32" t="s">
        <v>34</v>
      </c>
      <c r="EJ85" s="32" t="s">
        <v>34</v>
      </c>
      <c r="EK85" s="32" t="s">
        <v>34</v>
      </c>
      <c r="EL85" s="32" t="s">
        <v>34</v>
      </c>
      <c r="EM85" s="32" t="s">
        <v>34</v>
      </c>
      <c r="EN85" s="32" t="s">
        <v>34</v>
      </c>
      <c r="EO85" s="69"/>
      <c r="EP85" s="32">
        <v>1340.7521589999997</v>
      </c>
      <c r="EQ85" s="32">
        <v>15.590141383720926</v>
      </c>
      <c r="ER85" s="32">
        <v>0.33800000000000002</v>
      </c>
      <c r="ES85" s="32">
        <v>654.76832602027037</v>
      </c>
      <c r="ET85" s="32">
        <v>7.6135851862822133</v>
      </c>
      <c r="EU85" s="32">
        <v>337.803260641892</v>
      </c>
      <c r="EV85" s="32">
        <v>3.9279448911847905</v>
      </c>
      <c r="EW85" s="32">
        <v>496.28579333108121</v>
      </c>
      <c r="EX85" s="32">
        <v>5.7707650387335025</v>
      </c>
      <c r="EY85" s="32">
        <v>0.443</v>
      </c>
      <c r="EZ85" s="32">
        <v>7.4999999999999997E-2</v>
      </c>
      <c r="FA85" s="32">
        <v>37.55935525641992</v>
      </c>
      <c r="FB85" s="32">
        <v>62.440644743580066</v>
      </c>
      <c r="FC85" s="32">
        <v>80.828028188539335</v>
      </c>
      <c r="FD85" s="32">
        <v>75.62725107900043</v>
      </c>
      <c r="FE85" s="32">
        <v>0.58783172777151538</v>
      </c>
      <c r="FF85" s="32">
        <v>2.2808434721324486</v>
      </c>
      <c r="FG85" s="69"/>
      <c r="FH85" s="32">
        <v>1949.029268</v>
      </c>
      <c r="FI85" s="32">
        <v>22.663131023255815</v>
      </c>
      <c r="FJ85" s="32">
        <v>8.5000000000000006E-2</v>
      </c>
      <c r="FK85" s="32">
        <v>1949.029268</v>
      </c>
      <c r="FL85" s="32">
        <v>22.663131023255815</v>
      </c>
      <c r="FM85" s="32">
        <v>8.5000000000000006E-2</v>
      </c>
      <c r="FN85" s="32">
        <v>1134.2360344866311</v>
      </c>
      <c r="FO85" s="32">
        <v>13.188791098681756</v>
      </c>
      <c r="FP85" s="32">
        <v>447.63639806417109</v>
      </c>
      <c r="FQ85" s="32">
        <v>5.2050743960950125</v>
      </c>
      <c r="FR85" s="32">
        <v>790.93621627540108</v>
      </c>
      <c r="FS85" s="32">
        <v>9.1969327473883844</v>
      </c>
      <c r="FT85" s="32">
        <v>0.186</v>
      </c>
      <c r="FU85" s="32">
        <v>7.4999999999999997E-2</v>
      </c>
      <c r="FV85" s="32">
        <v>31.719602745227188</v>
      </c>
      <c r="FW85" s="32">
        <v>68.280397254772822</v>
      </c>
      <c r="FX85" s="32">
        <v>87.283824382706342</v>
      </c>
      <c r="FY85" s="32">
        <v>99.644151845140456</v>
      </c>
      <c r="FZ85" s="32">
        <v>0.24710282131859101</v>
      </c>
      <c r="GA85" s="32">
        <v>7.8875233297603913</v>
      </c>
      <c r="GB85" s="69"/>
      <c r="GC85" s="32">
        <v>-53.601625468426143</v>
      </c>
      <c r="GD85" s="32">
        <v>-36.97978862715491</v>
      </c>
      <c r="GE85" s="32">
        <v>119.62174940898345</v>
      </c>
      <c r="GF85" s="32">
        <v>81.717011128775837</v>
      </c>
      <c r="GG85" s="32">
        <v>16.858661503118714</v>
      </c>
      <c r="GH85" s="69"/>
      <c r="GI85" s="32">
        <v>2107.3291059999992</v>
      </c>
      <c r="GJ85" s="32">
        <v>24.503826813953481</v>
      </c>
      <c r="GK85" s="32">
        <v>4.4999999999999998E-2</v>
      </c>
      <c r="GL85" s="32">
        <v>2581.922204</v>
      </c>
      <c r="GM85" s="32">
        <v>30.022351209302325</v>
      </c>
      <c r="GN85" s="32">
        <v>7.5999999999999998E-2</v>
      </c>
      <c r="GO85" s="32">
        <v>1516.5169283832333</v>
      </c>
      <c r="GP85" s="32">
        <v>17.633917771898062</v>
      </c>
      <c r="GQ85" s="32">
        <v>179.0481688742515</v>
      </c>
      <c r="GR85" s="32">
        <v>2.0819554520261803</v>
      </c>
      <c r="GS85" s="32">
        <v>847.78254862874246</v>
      </c>
      <c r="GT85" s="32">
        <v>9.8579366119621223</v>
      </c>
      <c r="GU85" s="32">
        <v>341.07441752212389</v>
      </c>
      <c r="GV85" s="32">
        <v>3.965981599094464</v>
      </c>
      <c r="GW85" s="32">
        <v>1490.7036038938054</v>
      </c>
      <c r="GX85" s="32">
        <v>17.333762835974483</v>
      </c>
      <c r="GY85" s="32">
        <v>0.1</v>
      </c>
      <c r="GZ85" s="32">
        <v>-160.00675885185186</v>
      </c>
      <c r="HA85" s="8">
        <v>-1.8605437075796727</v>
      </c>
      <c r="HB85" s="32">
        <v>1570.5337</v>
      </c>
      <c r="HC85" s="32">
        <v>-0.85649633225667532</v>
      </c>
      <c r="HD85" s="32">
        <v>6.6000000000000003E-2</v>
      </c>
      <c r="HE85" s="32">
        <v>83519.995693000004</v>
      </c>
      <c r="HF85" s="32">
        <v>167882.24788499999</v>
      </c>
      <c r="HG85" s="32">
        <v>0.16600000000000001</v>
      </c>
      <c r="HH85" s="32">
        <v>0.123</v>
      </c>
      <c r="HI85" s="32">
        <v>60.24096385542169</v>
      </c>
      <c r="HJ85" s="32">
        <v>9.4375151189115076</v>
      </c>
      <c r="HK85" s="32">
        <v>10.560615144568391</v>
      </c>
      <c r="HL85" s="32">
        <v>20.117243766054361</v>
      </c>
      <c r="HM85" s="32">
        <v>89.447167997155915</v>
      </c>
      <c r="HN85" s="32">
        <v>9.4375151189115076</v>
      </c>
      <c r="HO85" s="32">
        <v>35.99544852911977</v>
      </c>
      <c r="HP85" s="32">
        <v>20.117243766054361</v>
      </c>
      <c r="HQ85" s="32">
        <v>26.065270772135804</v>
      </c>
      <c r="HR85" s="32">
        <v>60.24096385542169</v>
      </c>
      <c r="HS85" s="32" t="s">
        <v>34</v>
      </c>
      <c r="HT85" s="32" t="s">
        <v>34</v>
      </c>
      <c r="HU85" s="32" t="s">
        <v>34</v>
      </c>
      <c r="HV85" s="32" t="s">
        <v>34</v>
      </c>
      <c r="HW85" s="17" t="s">
        <v>34</v>
      </c>
      <c r="HX85" s="69"/>
      <c r="HY85" s="32">
        <v>1506.842678</v>
      </c>
      <c r="HZ85" s="32">
        <v>17.521426488372093</v>
      </c>
      <c r="IA85" s="32">
        <v>4.2000000000000003E-2</v>
      </c>
      <c r="IB85" s="32">
        <v>1506.842678</v>
      </c>
      <c r="IC85" s="32">
        <v>17.521426488372093</v>
      </c>
      <c r="ID85" s="32">
        <v>4.2000000000000003E-2</v>
      </c>
      <c r="IE85" s="32">
        <v>902.47744971527777</v>
      </c>
      <c r="IF85" s="32">
        <v>10.493923833898579</v>
      </c>
      <c r="IG85" s="32">
        <v>215.50232614583334</v>
      </c>
      <c r="IH85" s="32">
        <v>2.5058410016957366</v>
      </c>
      <c r="II85" s="32">
        <v>558.9898879305556</v>
      </c>
      <c r="IJ85" s="32">
        <v>6.4998824177971581</v>
      </c>
      <c r="IK85" s="32">
        <v>264.30335349193547</v>
      </c>
      <c r="IL85" s="32">
        <v>3.0732948080457612</v>
      </c>
      <c r="IM85" s="32">
        <v>976.06928497580645</v>
      </c>
      <c r="IN85" s="32">
        <v>11.34964284855589</v>
      </c>
      <c r="IO85" s="32">
        <v>0.123</v>
      </c>
      <c r="IP85" s="32">
        <v>-87.064043400000003</v>
      </c>
      <c r="IQ85" s="8">
        <v>-1.0123725976744187</v>
      </c>
      <c r="IR85" s="32">
        <v>446.20807109999998</v>
      </c>
      <c r="IS85" s="32">
        <v>-1.2547267773255812</v>
      </c>
      <c r="IT85" s="32">
        <v>1.9E-2</v>
      </c>
      <c r="IU85" s="32">
        <v>8462.6246930000016</v>
      </c>
      <c r="IV85" s="32">
        <v>121036.84729299998</v>
      </c>
      <c r="IW85" s="32">
        <v>0.14299999999999999</v>
      </c>
      <c r="IX85" s="32">
        <v>0.123</v>
      </c>
      <c r="IY85" s="32">
        <v>86.013986013986028</v>
      </c>
      <c r="IZ85" s="32">
        <v>18.867893078768667</v>
      </c>
      <c r="JA85" s="32">
        <v>7.6227254306518581</v>
      </c>
      <c r="JB85" s="32">
        <v>23.140573483513911</v>
      </c>
      <c r="JC85" s="32">
        <v>79.014683190494708</v>
      </c>
      <c r="JD85" s="32">
        <v>18.867893078768667</v>
      </c>
      <c r="JE85" s="32">
        <v>7.6227254306518581</v>
      </c>
      <c r="JF85" s="32">
        <v>23.140573483513911</v>
      </c>
      <c r="JG85" s="32">
        <v>0.12336649874495771</v>
      </c>
      <c r="JH85" s="32">
        <v>12.214358787268317</v>
      </c>
      <c r="JI85" s="69"/>
      <c r="JJ85" s="32">
        <v>50.768160871099745</v>
      </c>
      <c r="JK85" s="32">
        <v>59.046002026170321</v>
      </c>
      <c r="JL85" s="32">
        <v>25.363027090205293</v>
      </c>
      <c r="JM85" s="32">
        <v>52.587006444553985</v>
      </c>
      <c r="JN85" s="32">
        <v>57.627118644067785</v>
      </c>
      <c r="JO85" s="32">
        <v>33.229545460919319</v>
      </c>
      <c r="JP85" s="32">
        <v>14.886731391585775</v>
      </c>
      <c r="JQ85" s="32">
        <v>-140.90780358387852</v>
      </c>
      <c r="JR85" s="32">
        <v>-56.457349935342847</v>
      </c>
      <c r="JS85" s="32">
        <v>21.275077370536799</v>
      </c>
      <c r="JT85" s="32">
        <v>-13.978188959544525</v>
      </c>
      <c r="JU85" s="69"/>
      <c r="JV85" s="32">
        <v>1446.339581</v>
      </c>
      <c r="JW85" s="32">
        <v>16.817902104651161</v>
      </c>
      <c r="JX85" s="32">
        <v>0.38600000000000001</v>
      </c>
      <c r="JY85" s="32">
        <v>599.2199884409938</v>
      </c>
      <c r="JZ85" s="32">
        <v>6.967674284197602</v>
      </c>
      <c r="KA85" s="32">
        <v>331.67027050310548</v>
      </c>
      <c r="KB85" s="32">
        <v>3.8566310523616916</v>
      </c>
      <c r="KC85" s="32">
        <v>465.44512947204964</v>
      </c>
      <c r="KD85" s="32">
        <v>5.4121526682796466</v>
      </c>
      <c r="KE85" s="32">
        <v>0.48199999999999998</v>
      </c>
      <c r="KF85" s="32">
        <v>6.4000000000000001E-2</v>
      </c>
      <c r="KG85" s="32">
        <v>39.391953850048729</v>
      </c>
      <c r="KH85" s="32">
        <v>60.608046149951278</v>
      </c>
      <c r="KI85" s="32">
        <v>84.216870560815195</v>
      </c>
      <c r="KJ85" s="32">
        <v>77.901893133217399</v>
      </c>
      <c r="KK85" s="32">
        <v>0.57834254652230388</v>
      </c>
      <c r="KL85" s="32">
        <v>2.5008355164204086</v>
      </c>
      <c r="KM85" s="69"/>
      <c r="KN85" s="32">
        <v>118.571641</v>
      </c>
      <c r="KO85" s="32">
        <v>1.3787400116279069</v>
      </c>
      <c r="KP85" s="32">
        <v>5.0000000000000001E-3</v>
      </c>
      <c r="KQ85" s="32">
        <v>1880.1404590000002</v>
      </c>
      <c r="KR85" s="32">
        <v>21.862098360465119</v>
      </c>
      <c r="KS85" s="32">
        <v>8.5999999999999993E-2</v>
      </c>
      <c r="KT85" s="32">
        <v>1090.8763534368418</v>
      </c>
      <c r="KU85" s="32">
        <v>12.684608760893509</v>
      </c>
      <c r="KV85" s="32">
        <v>454.6101639789473</v>
      </c>
      <c r="KW85" s="32">
        <v>5.2861646974296201</v>
      </c>
      <c r="KX85" s="32">
        <v>772.74325870789448</v>
      </c>
      <c r="KY85" s="32">
        <v>8.9853867291615632</v>
      </c>
      <c r="KZ85" s="32">
        <v>0.189</v>
      </c>
      <c r="LA85" s="32">
        <v>6.4000000000000001E-2</v>
      </c>
      <c r="LB85" s="32">
        <v>32.438391561673328</v>
      </c>
      <c r="LC85" s="32">
        <v>67.561608438326687</v>
      </c>
      <c r="LD85" s="32">
        <v>92.227987561577507</v>
      </c>
      <c r="LE85" s="32">
        <v>99.517402669173478</v>
      </c>
      <c r="LF85" s="32">
        <v>0.2446908206522172</v>
      </c>
      <c r="LG85" s="32">
        <v>7.68373923463305</v>
      </c>
      <c r="LH85" s="69"/>
      <c r="LI85" s="32">
        <v>-58.180868488192502</v>
      </c>
      <c r="LJ85" s="32">
        <v>-26.081676293479291</v>
      </c>
      <c r="LK85" s="32">
        <v>127.11864406779662</v>
      </c>
      <c r="LL85" s="32">
        <v>87.332339791356176</v>
      </c>
      <c r="LM85" s="32">
        <v>19.361071559710595</v>
      </c>
      <c r="LN85" s="69"/>
      <c r="LO85" s="32">
        <v>2084.9492940000005</v>
      </c>
      <c r="LP85" s="32">
        <v>24.243596441860472</v>
      </c>
      <c r="LQ85" s="32">
        <v>4.3999999999999997E-2</v>
      </c>
      <c r="LR85" s="32">
        <v>2261.7156469999995</v>
      </c>
      <c r="LS85" s="32">
        <v>26.299019151162785</v>
      </c>
      <c r="LT85" s="32">
        <v>7.8E-2</v>
      </c>
      <c r="LU85" s="32">
        <v>1383.172923425926</v>
      </c>
      <c r="LV85" s="32">
        <v>16.083406086347978</v>
      </c>
      <c r="LW85" s="32">
        <v>176.35275696296296</v>
      </c>
      <c r="LX85" s="32">
        <v>2.0506134530577089</v>
      </c>
      <c r="LY85" s="32">
        <v>779.76284019444449</v>
      </c>
      <c r="LZ85" s="32">
        <v>9.0670097697028424</v>
      </c>
      <c r="MA85" s="32">
        <v>323.1122875963303</v>
      </c>
      <c r="MB85" s="32">
        <v>3.7571196232131432</v>
      </c>
      <c r="MC85" s="32">
        <v>1333.68363493578</v>
      </c>
      <c r="MD85" s="32">
        <v>15.507949243439302</v>
      </c>
      <c r="ME85" s="32">
        <v>9.4E-2</v>
      </c>
      <c r="MF85" s="32">
        <v>-125.47344754716978</v>
      </c>
      <c r="MG85" s="8">
        <v>-1.4589935761298811</v>
      </c>
      <c r="MH85" s="32">
        <v>1484.9527808867927</v>
      </c>
      <c r="MI85" s="32">
        <v>4.5832052654673071E-2</v>
      </c>
      <c r="MJ85" s="32">
        <v>6.7000000000000004E-2</v>
      </c>
      <c r="MK85" s="32">
        <v>77590.376570499997</v>
      </c>
      <c r="ML85" s="32">
        <v>144798.66643699998</v>
      </c>
      <c r="MM85" s="32">
        <v>0.161</v>
      </c>
      <c r="MN85" s="32">
        <v>0.1</v>
      </c>
      <c r="MO85" s="32">
        <v>58.385093167701861</v>
      </c>
      <c r="MP85" s="32">
        <v>7.8631281463721834</v>
      </c>
      <c r="MQ85" s="32">
        <v>11.051615732838656</v>
      </c>
      <c r="MR85" s="32">
        <v>20.248693031904477</v>
      </c>
      <c r="MS85" s="32">
        <v>86.68021926632413</v>
      </c>
      <c r="MT85" s="32">
        <v>7.8631281463721834</v>
      </c>
      <c r="MU85" s="32">
        <v>36.175477416211287</v>
      </c>
      <c r="MV85" s="32">
        <v>20.248693031904477</v>
      </c>
      <c r="MW85" s="32">
        <v>25.816858077370689</v>
      </c>
      <c r="MX85" s="32" t="s">
        <v>34</v>
      </c>
      <c r="MY85" s="32" t="s">
        <v>34</v>
      </c>
      <c r="MZ85" s="32" t="s">
        <v>34</v>
      </c>
      <c r="NA85" s="32" t="s">
        <v>34</v>
      </c>
      <c r="NB85" s="17" t="s">
        <v>34</v>
      </c>
      <c r="NC85" s="69"/>
      <c r="ND85" s="32">
        <v>946.4812159999999</v>
      </c>
      <c r="NE85" s="32">
        <v>11.005595534883719</v>
      </c>
      <c r="NF85" s="32">
        <v>1.7999999999999999E-2</v>
      </c>
      <c r="NG85" s="32">
        <v>2420.4844499999999</v>
      </c>
      <c r="NH85" s="32">
        <v>28.145168023255813</v>
      </c>
      <c r="NI85" s="32">
        <v>7.5999999999999998E-2</v>
      </c>
      <c r="NJ85" s="32">
        <v>1397.2217424358976</v>
      </c>
      <c r="NK85" s="32">
        <v>16.246764446929042</v>
      </c>
      <c r="NL85" s="32">
        <v>174.40203801923076</v>
      </c>
      <c r="NM85" s="32">
        <v>2.0279306746422181</v>
      </c>
      <c r="NN85" s="32">
        <v>785.81189022756416</v>
      </c>
      <c r="NO85" s="32">
        <v>9.1373475607856296</v>
      </c>
      <c r="NP85" s="32">
        <v>292.74711431932775</v>
      </c>
      <c r="NQ85" s="32">
        <v>3.4040362130154391</v>
      </c>
      <c r="NR85" s="32">
        <v>1465.4658968739495</v>
      </c>
      <c r="NS85" s="32">
        <v>17.040301126441275</v>
      </c>
      <c r="NT85" s="32">
        <v>0.1</v>
      </c>
      <c r="NU85" s="32">
        <v>-206.22131548648647</v>
      </c>
      <c r="NV85" s="8">
        <v>-2.39792227309868</v>
      </c>
      <c r="NW85" s="32">
        <v>1177.73378627027</v>
      </c>
      <c r="NX85" s="32">
        <v>-1.1663253208673787</v>
      </c>
      <c r="NY85" s="32">
        <v>5.3999999999999999E-2</v>
      </c>
      <c r="NZ85" s="32">
        <v>42434.688454499999</v>
      </c>
      <c r="OA85" s="32">
        <v>174398.34049249999</v>
      </c>
      <c r="OB85" s="32">
        <v>0.155</v>
      </c>
      <c r="OC85" s="32">
        <v>0.1</v>
      </c>
      <c r="OD85" s="32">
        <v>64.516129032258078</v>
      </c>
      <c r="OE85" s="32">
        <v>10.446696905560723</v>
      </c>
      <c r="OF85" s="32">
        <v>12.352674331224206</v>
      </c>
      <c r="OG85" s="32">
        <v>17.535577038006462</v>
      </c>
      <c r="OH85" s="32">
        <v>83.693701168089319</v>
      </c>
      <c r="OI85" s="32">
        <v>10.446696905560723</v>
      </c>
      <c r="OJ85" s="32">
        <v>12.352674331224206</v>
      </c>
      <c r="OK85" s="32">
        <v>17.535577038006462</v>
      </c>
      <c r="OL85" s="32">
        <v>0.21034959895392949</v>
      </c>
      <c r="OM85" s="32">
        <v>11.506960137015195</v>
      </c>
      <c r="ON85" s="69"/>
      <c r="OO85" s="32">
        <v>-1.0105629378782406</v>
      </c>
      <c r="OP85" s="32">
        <v>-48.688057176907193</v>
      </c>
      <c r="OQ85" s="32">
        <v>9.8610732198129423</v>
      </c>
      <c r="OR85" s="32">
        <v>-6.7818034133879701</v>
      </c>
      <c r="OS85" s="32">
        <v>2.5974025974025996</v>
      </c>
      <c r="OT85" s="32">
        <v>75.11094674573296</v>
      </c>
      <c r="OU85" s="32">
        <v>3.7974683544303831</v>
      </c>
      <c r="OV85" s="32">
        <v>-142.59489689709218</v>
      </c>
      <c r="OW85" s="32">
        <v>5.6275935460855884</v>
      </c>
      <c r="OX85" s="32">
        <v>-44.416205489022154</v>
      </c>
      <c r="OY85" s="32">
        <v>14.361087240155912</v>
      </c>
    </row>
    <row r="86" spans="1:415" ht="15.75" x14ac:dyDescent="0.25">
      <c r="A86" s="10">
        <v>85</v>
      </c>
      <c r="B86" s="3" t="s">
        <v>440</v>
      </c>
      <c r="C86" s="3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9"/>
      <c r="K86" s="32">
        <v>1472.0195679999999</v>
      </c>
      <c r="L86" s="32">
        <v>16.727495090909091</v>
      </c>
      <c r="M86" s="32">
        <v>0.2</v>
      </c>
      <c r="N86" s="32">
        <v>865.14361041233769</v>
      </c>
      <c r="O86" s="32">
        <v>9.8311773910492928</v>
      </c>
      <c r="P86" s="32">
        <v>520.79479050974021</v>
      </c>
      <c r="Q86" s="32">
        <v>5.9181226194288659</v>
      </c>
      <c r="R86" s="32">
        <v>692.96920046103901</v>
      </c>
      <c r="S86" s="32">
        <v>7.8746500052390793</v>
      </c>
      <c r="T86" s="32">
        <v>0.307</v>
      </c>
      <c r="U86" s="32">
        <v>5.3999999999999999E-2</v>
      </c>
      <c r="V86" s="32">
        <v>37.930160969966664</v>
      </c>
      <c r="W86" s="32">
        <v>62.069839030033343</v>
      </c>
      <c r="X86" s="32">
        <v>99.315038967140509</v>
      </c>
      <c r="Y86" s="32">
        <v>81.446159665568544</v>
      </c>
      <c r="Z86" s="32">
        <v>0.45092523587870786</v>
      </c>
      <c r="AA86" s="32">
        <v>3.2644426412097087</v>
      </c>
      <c r="AB86" s="69"/>
      <c r="AC86" s="32">
        <v>930.95419200000015</v>
      </c>
      <c r="AD86" s="32">
        <v>10.579024909090911</v>
      </c>
      <c r="AE86" s="32">
        <v>1.2E-2</v>
      </c>
      <c r="AF86" s="32">
        <v>1492.1451339999999</v>
      </c>
      <c r="AG86" s="32">
        <v>16.956194704545453</v>
      </c>
      <c r="AH86" s="32">
        <v>0.104</v>
      </c>
      <c r="AI86" s="32">
        <v>1182.9828995865387</v>
      </c>
      <c r="AJ86" s="32">
        <v>13.442987495301576</v>
      </c>
      <c r="AK86" s="32">
        <v>249.50902747115381</v>
      </c>
      <c r="AL86" s="32">
        <v>2.8353298576267481</v>
      </c>
      <c r="AM86" s="32">
        <v>716.24596352884623</v>
      </c>
      <c r="AN86" s="32">
        <v>8.1391586764641612</v>
      </c>
      <c r="AO86" s="32">
        <v>0.10299999999999999</v>
      </c>
      <c r="AP86" s="32">
        <v>5.3999999999999999E-2</v>
      </c>
      <c r="AQ86" s="32">
        <v>19.803666191633177</v>
      </c>
      <c r="AR86" s="32">
        <v>80.196333808366845</v>
      </c>
      <c r="AS86" s="32">
        <v>35.713737825903827</v>
      </c>
      <c r="AT86" s="32">
        <v>97.292376895117613</v>
      </c>
      <c r="AU86" s="32">
        <v>6.5966189971289377E-2</v>
      </c>
      <c r="AV86" s="32">
        <v>22.61984714668878</v>
      </c>
      <c r="AW86" s="69"/>
      <c r="AX86" s="32">
        <v>31.037075846879731</v>
      </c>
      <c r="AY86" s="32">
        <v>1.3579249483957949</v>
      </c>
      <c r="AZ86" s="32">
        <v>-63.15789473684211</v>
      </c>
      <c r="BA86" s="32">
        <v>-99.512195121951237</v>
      </c>
      <c r="BB86" s="32">
        <v>-62.793324709261114</v>
      </c>
      <c r="BC86" s="69"/>
      <c r="BD86" s="32">
        <v>1340.3013269999999</v>
      </c>
      <c r="BE86" s="32">
        <v>15.230696897727272</v>
      </c>
      <c r="BF86" s="32">
        <v>2.3E-2</v>
      </c>
      <c r="BG86" s="32">
        <v>2345.7167770000001</v>
      </c>
      <c r="BH86" s="32">
        <v>26.655872465909091</v>
      </c>
      <c r="BI86" s="32">
        <v>7.9000000000000001E-2</v>
      </c>
      <c r="BJ86" s="32">
        <v>1434.9092153229813</v>
      </c>
      <c r="BK86" s="32">
        <v>16.305786537761151</v>
      </c>
      <c r="BL86" s="32">
        <v>218.64831024223602</v>
      </c>
      <c r="BM86" s="32">
        <v>2.4846398891163184</v>
      </c>
      <c r="BN86" s="32">
        <v>826.77876278260862</v>
      </c>
      <c r="BO86" s="32">
        <v>9.3952132134387352</v>
      </c>
      <c r="BP86" s="32">
        <v>367.01644720168071</v>
      </c>
      <c r="BQ86" s="32">
        <v>4.1706414454736445</v>
      </c>
      <c r="BR86" s="32">
        <v>1478.7135557983195</v>
      </c>
      <c r="BS86" s="32">
        <v>16.803563134071812</v>
      </c>
      <c r="BT86" s="32">
        <v>0.105</v>
      </c>
      <c r="BU86" s="32">
        <v>-201.72807780952388</v>
      </c>
      <c r="BV86" s="8">
        <v>-2.2923645205627712</v>
      </c>
      <c r="BW86" s="32">
        <v>1310.7969173095237</v>
      </c>
      <c r="BX86" s="32" t="s">
        <v>34</v>
      </c>
      <c r="BY86" s="32">
        <v>5.5E-2</v>
      </c>
      <c r="BZ86" s="32">
        <v>53944.694980000015</v>
      </c>
      <c r="CA86" s="32">
        <v>175321.21619500002</v>
      </c>
      <c r="CB86" s="32">
        <v>0.16</v>
      </c>
      <c r="CC86" s="32">
        <v>0.11899999999999999</v>
      </c>
      <c r="CD86" s="32">
        <v>65.625</v>
      </c>
      <c r="CE86" s="32">
        <v>11.374403789241102</v>
      </c>
      <c r="CF86" s="32">
        <v>12.328448253389539</v>
      </c>
      <c r="CG86" s="32">
        <v>20.694160739023882</v>
      </c>
      <c r="CH86" s="32">
        <v>80.907115128502682</v>
      </c>
      <c r="CI86" s="32">
        <v>11.374403789241102</v>
      </c>
      <c r="CJ86" s="32">
        <v>40.047757525771743</v>
      </c>
      <c r="CK86" s="32">
        <v>20.694160739023882</v>
      </c>
      <c r="CL86" s="32">
        <v>25.733086025317835</v>
      </c>
      <c r="CM86" s="32" t="s">
        <v>34</v>
      </c>
      <c r="CN86" s="32" t="s">
        <v>34</v>
      </c>
      <c r="CO86" s="32" t="s">
        <v>34</v>
      </c>
      <c r="CP86" s="32" t="s">
        <v>34</v>
      </c>
      <c r="CQ86" s="17" t="s">
        <v>34</v>
      </c>
      <c r="CR86" s="69"/>
      <c r="CS86" s="32">
        <v>2257.5679</v>
      </c>
      <c r="CT86" s="32">
        <v>25.654180681818183</v>
      </c>
      <c r="CU86" s="32">
        <v>3.9E-2</v>
      </c>
      <c r="CV86" s="32">
        <v>2257.5679</v>
      </c>
      <c r="CW86" s="32">
        <v>25.654180681818183</v>
      </c>
      <c r="CX86" s="32">
        <v>3.9E-2</v>
      </c>
      <c r="CY86" s="32">
        <v>1356.7963413642385</v>
      </c>
      <c r="CZ86" s="32">
        <v>15.418140242775438</v>
      </c>
      <c r="DA86" s="32">
        <v>243.17059931788077</v>
      </c>
      <c r="DB86" s="32">
        <v>2.763302264975918</v>
      </c>
      <c r="DC86" s="32">
        <v>799.98347034105961</v>
      </c>
      <c r="DD86" s="32">
        <v>9.0907212538756781</v>
      </c>
      <c r="DE86" s="32">
        <v>327.08703477519379</v>
      </c>
      <c r="DF86" s="32">
        <v>3.7168981224453841</v>
      </c>
      <c r="DG86" s="32">
        <v>1390.9201540310078</v>
      </c>
      <c r="DH86" s="32">
        <v>15.805910841261452</v>
      </c>
      <c r="DI86" s="32">
        <v>0.105</v>
      </c>
      <c r="DJ86" s="32">
        <v>-248.88486313636361</v>
      </c>
      <c r="DK86" s="8">
        <v>-2.828237081095041</v>
      </c>
      <c r="DL86" s="32">
        <v>1156.7067125454544</v>
      </c>
      <c r="DM86" s="32">
        <v>2.6852714793388435</v>
      </c>
      <c r="DN86" s="32">
        <v>4.2999999999999997E-2</v>
      </c>
      <c r="DO86" s="32">
        <v>24334.444041999996</v>
      </c>
      <c r="DP86" s="32">
        <v>179435.79613500001</v>
      </c>
      <c r="DQ86" s="32">
        <v>0.15</v>
      </c>
      <c r="DR86" s="32">
        <v>0.11899999999999999</v>
      </c>
      <c r="DS86" s="32">
        <v>70</v>
      </c>
      <c r="DT86" s="32">
        <v>14.539437934800281</v>
      </c>
      <c r="DU86" s="32">
        <v>14.88110006157449</v>
      </c>
      <c r="DV86" s="32">
        <v>19.556894027205278</v>
      </c>
      <c r="DW86" s="32">
        <v>81.124347477721045</v>
      </c>
      <c r="DX86" s="32">
        <v>14.539437934800281</v>
      </c>
      <c r="DY86" s="32">
        <v>14.88110006157449</v>
      </c>
      <c r="DZ86" s="32">
        <v>19.556894027205278</v>
      </c>
      <c r="EA86" s="32">
        <v>0.20556591974557506</v>
      </c>
      <c r="EB86" s="32">
        <v>10.98220902956165</v>
      </c>
      <c r="EC86" s="69"/>
      <c r="ED86" s="32">
        <v>-5.5960682366112753</v>
      </c>
      <c r="EE86" s="32">
        <v>20.930062606658524</v>
      </c>
      <c r="EF86" s="32">
        <v>-11.505319729203507</v>
      </c>
      <c r="EG86" s="32">
        <v>-3.829825143790476</v>
      </c>
      <c r="EH86" s="32">
        <v>-67.79661016949153</v>
      </c>
      <c r="EI86" s="32">
        <v>50.989433752423608</v>
      </c>
      <c r="EJ86" s="32">
        <v>-6.4516129032258114</v>
      </c>
      <c r="EK86" s="32">
        <v>137.96997152621259</v>
      </c>
      <c r="EL86" s="32">
        <v>-16.458233192774323</v>
      </c>
      <c r="EM86" s="32">
        <v>26.712085148001886</v>
      </c>
      <c r="EN86" s="32">
        <v>-5.6508666340479454</v>
      </c>
      <c r="EO86" s="69"/>
      <c r="EP86" s="32">
        <v>1468.80953</v>
      </c>
      <c r="EQ86" s="32">
        <v>16.691017386363637</v>
      </c>
      <c r="ER86" s="32">
        <v>0.23799999999999999</v>
      </c>
      <c r="ES86" s="32">
        <v>872.95156803468205</v>
      </c>
      <c r="ET86" s="32">
        <v>9.9199041822122958</v>
      </c>
      <c r="EU86" s="32">
        <v>465.73935987283238</v>
      </c>
      <c r="EV86" s="32">
        <v>5.2924927258276409</v>
      </c>
      <c r="EW86" s="32">
        <v>669.34546395375719</v>
      </c>
      <c r="EX86" s="32">
        <v>7.6061984540199683</v>
      </c>
      <c r="EY86" s="32">
        <v>0.34499999999999997</v>
      </c>
      <c r="EZ86" s="32">
        <v>6.4000000000000001E-2</v>
      </c>
      <c r="FA86" s="32">
        <v>37.123535635781771</v>
      </c>
      <c r="FB86" s="32">
        <v>62.876464364218236</v>
      </c>
      <c r="FC86" s="32">
        <v>76.091962140374932</v>
      </c>
      <c r="FD86" s="32">
        <v>74.81153217584135</v>
      </c>
      <c r="FE86" s="32">
        <v>0.57662846397053802</v>
      </c>
      <c r="FF86" s="32">
        <v>2.547237297108258</v>
      </c>
      <c r="FG86" s="69"/>
      <c r="FH86" s="32">
        <v>44.597363000000016</v>
      </c>
      <c r="FI86" s="32">
        <v>0.50678821590909107</v>
      </c>
      <c r="FJ86" s="32">
        <v>3.0000000000000001E-3</v>
      </c>
      <c r="FK86" s="32">
        <v>1911.3928050000002</v>
      </c>
      <c r="FL86" s="32">
        <v>21.720372784090912</v>
      </c>
      <c r="FM86" s="32">
        <v>0.14299999999999999</v>
      </c>
      <c r="FN86" s="32">
        <v>1112.9943232941175</v>
      </c>
      <c r="FO86" s="32">
        <v>12.647662764705881</v>
      </c>
      <c r="FP86" s="32">
        <v>389.90304327731093</v>
      </c>
      <c r="FQ86" s="32">
        <v>4.4307164008785334</v>
      </c>
      <c r="FR86" s="32">
        <v>751.4486832857142</v>
      </c>
      <c r="FS86" s="32">
        <v>8.539189582792206</v>
      </c>
      <c r="FT86" s="32">
        <v>0.23699999999999999</v>
      </c>
      <c r="FU86" s="32">
        <v>6.4000000000000001E-2</v>
      </c>
      <c r="FV86" s="32">
        <v>27.452511355005306</v>
      </c>
      <c r="FW86" s="32">
        <v>72.547488644994687</v>
      </c>
      <c r="FX86" s="32">
        <v>99.107128711302636</v>
      </c>
      <c r="FY86" s="32">
        <v>99.258284119166518</v>
      </c>
      <c r="FZ86" s="32">
        <v>0.35467658413311309</v>
      </c>
      <c r="GA86" s="32">
        <v>5.3891147329947167</v>
      </c>
      <c r="GB86" s="69"/>
      <c r="GC86" s="32">
        <v>24.174148581542923</v>
      </c>
      <c r="GD86" s="32">
        <v>26.18679186256465</v>
      </c>
      <c r="GE86" s="32">
        <v>-49.868766404199476</v>
      </c>
      <c r="GF86" s="32">
        <v>-37.113402061855666</v>
      </c>
      <c r="GG86" s="32">
        <v>-29.952357666477191</v>
      </c>
      <c r="GH86" s="69"/>
      <c r="GI86" s="32">
        <v>1434.3471269999998</v>
      </c>
      <c r="GJ86" s="32">
        <v>16.299399170454542</v>
      </c>
      <c r="GK86" s="32">
        <v>2.4E-2</v>
      </c>
      <c r="GL86" s="32">
        <v>2434.695029</v>
      </c>
      <c r="GM86" s="32">
        <v>27.666988965909091</v>
      </c>
      <c r="GN86" s="32">
        <v>7.8E-2</v>
      </c>
      <c r="GO86" s="32">
        <v>1475.424744945122</v>
      </c>
      <c r="GP86" s="32">
        <v>16.766190283467296</v>
      </c>
      <c r="GQ86" s="32">
        <v>182.16784529878049</v>
      </c>
      <c r="GR86" s="32">
        <v>2.0700891511225055</v>
      </c>
      <c r="GS86" s="32">
        <v>828.79629512195129</v>
      </c>
      <c r="GT86" s="32">
        <v>9.4181397172949008</v>
      </c>
      <c r="GU86" s="32">
        <v>346.79615971551726</v>
      </c>
      <c r="GV86" s="32">
        <v>3.9408654513126962</v>
      </c>
      <c r="GW86" s="32">
        <v>1494.5873517844825</v>
      </c>
      <c r="GX86" s="32">
        <v>16.983947179369121</v>
      </c>
      <c r="GY86" s="32">
        <v>0.107</v>
      </c>
      <c r="GZ86" s="32">
        <v>-215.68391454166667</v>
      </c>
      <c r="HA86" s="8">
        <v>-2.4509535743371211</v>
      </c>
      <c r="HB86" s="32">
        <v>1429.1151117500001</v>
      </c>
      <c r="HC86" s="32">
        <v>-2.0009988650568182</v>
      </c>
      <c r="HD86" s="32">
        <v>5.6000000000000001E-2</v>
      </c>
      <c r="HE86" s="32">
        <v>67422.980863999997</v>
      </c>
      <c r="HF86" s="32">
        <v>172624.01340549998</v>
      </c>
      <c r="HG86" s="32">
        <v>0.16300000000000001</v>
      </c>
      <c r="HH86" s="32">
        <v>0.123</v>
      </c>
      <c r="HI86" s="32">
        <v>65.644171779141104</v>
      </c>
      <c r="HJ86" s="32">
        <v>12.840544348549358</v>
      </c>
      <c r="HK86" s="32">
        <v>10.84519585713837</v>
      </c>
      <c r="HL86" s="32">
        <v>20.646191804319496</v>
      </c>
      <c r="HM86" s="32">
        <v>87.838061130678526</v>
      </c>
      <c r="HN86" s="32">
        <v>12.840544348549358</v>
      </c>
      <c r="HO86" s="32">
        <v>39.033614702798189</v>
      </c>
      <c r="HP86" s="32">
        <v>20.646191804319496</v>
      </c>
      <c r="HQ86" s="32">
        <v>23.106597616894845</v>
      </c>
      <c r="HR86" s="32">
        <v>65.644171779141104</v>
      </c>
      <c r="HS86" s="32" t="s">
        <v>34</v>
      </c>
      <c r="HT86" s="32" t="s">
        <v>34</v>
      </c>
      <c r="HU86" s="32" t="s">
        <v>34</v>
      </c>
      <c r="HV86" s="32" t="s">
        <v>34</v>
      </c>
      <c r="HW86" s="17" t="s">
        <v>34</v>
      </c>
      <c r="HX86" s="69"/>
      <c r="HY86" s="32">
        <v>1777.7270090000002</v>
      </c>
      <c r="HZ86" s="32">
        <v>20.20144328409091</v>
      </c>
      <c r="IA86" s="32">
        <v>2.5999999999999999E-2</v>
      </c>
      <c r="IB86" s="32">
        <v>1777.7270090000002</v>
      </c>
      <c r="IC86" s="32">
        <v>20.20144328409091</v>
      </c>
      <c r="ID86" s="32">
        <v>2.5999999999999999E-2</v>
      </c>
      <c r="IE86" s="32">
        <v>1177.6285104934209</v>
      </c>
      <c r="IF86" s="32">
        <v>13.382142164697965</v>
      </c>
      <c r="IG86" s="32">
        <v>214.00733470394735</v>
      </c>
      <c r="IH86" s="32">
        <v>2.4319015307266745</v>
      </c>
      <c r="II86" s="32">
        <v>695.81792259868416</v>
      </c>
      <c r="IJ86" s="32">
        <v>7.9070218477123202</v>
      </c>
      <c r="IK86" s="32">
        <v>315.73463148760328</v>
      </c>
      <c r="IL86" s="32">
        <v>3.5878935396318554</v>
      </c>
      <c r="IM86" s="32">
        <v>1172.4835229173555</v>
      </c>
      <c r="IN86" s="32">
        <v>13.32367639678813</v>
      </c>
      <c r="IO86" s="32">
        <v>0.10299999999999999</v>
      </c>
      <c r="IP86" s="32">
        <v>-183.05727532258064</v>
      </c>
      <c r="IQ86" s="8">
        <v>-2.080196310483871</v>
      </c>
      <c r="IR86" s="32">
        <v>1197.7105587741937</v>
      </c>
      <c r="IS86" s="32">
        <v>1.5632013222140764</v>
      </c>
      <c r="IT86" s="32">
        <v>4.7E-2</v>
      </c>
      <c r="IU86" s="32">
        <v>36320.152359</v>
      </c>
      <c r="IV86" s="32">
        <v>141877.33203200001</v>
      </c>
      <c r="IW86" s="32">
        <v>0.151</v>
      </c>
      <c r="IX86" s="32">
        <v>0.123</v>
      </c>
      <c r="IY86" s="32">
        <v>68.211920529801318</v>
      </c>
      <c r="IZ86" s="32">
        <v>14.59501868829571</v>
      </c>
      <c r="JA86" s="32">
        <v>12.484265355005505</v>
      </c>
      <c r="JB86" s="32">
        <v>21.532686501042299</v>
      </c>
      <c r="JC86" s="32">
        <v>80.312715180057339</v>
      </c>
      <c r="JD86" s="32">
        <v>14.59501868829571</v>
      </c>
      <c r="JE86" s="32">
        <v>12.484265355005505</v>
      </c>
      <c r="JF86" s="32">
        <v>21.532686501042299</v>
      </c>
      <c r="JG86" s="32">
        <v>0.17651871841497127</v>
      </c>
      <c r="JH86" s="32">
        <v>10.071039632300117</v>
      </c>
      <c r="JI86" s="69"/>
      <c r="JJ86" s="32">
        <v>-22.449322028590505</v>
      </c>
      <c r="JK86" s="32">
        <v>-16.364820113113407</v>
      </c>
      <c r="JL86" s="32">
        <v>-9.3766293251089223</v>
      </c>
      <c r="JM86" s="32">
        <v>-31.191937278531523</v>
      </c>
      <c r="JN86" s="32">
        <v>-100.00000000000003</v>
      </c>
      <c r="JO86" s="32">
        <v>21.380570152568882</v>
      </c>
      <c r="JP86" s="32">
        <v>-7.6433121019108343</v>
      </c>
      <c r="JQ86" s="32">
        <v>125.71638938984897</v>
      </c>
      <c r="JR86" s="32">
        <v>-29.479490626625594</v>
      </c>
      <c r="JS86" s="32">
        <v>-2.8136755830693718</v>
      </c>
      <c r="JT86" s="32">
        <v>4.2035005782034336</v>
      </c>
      <c r="JU86" s="69"/>
      <c r="JV86" s="32">
        <v>1461.9928339999999</v>
      </c>
      <c r="JW86" s="32">
        <v>16.613554931818182</v>
      </c>
      <c r="JX86" s="32">
        <v>0.188</v>
      </c>
      <c r="JY86" s="32">
        <v>863.45346026936022</v>
      </c>
      <c r="JZ86" s="32">
        <v>9.8119711394245481</v>
      </c>
      <c r="KA86" s="32">
        <v>465.72971214478116</v>
      </c>
      <c r="KB86" s="32">
        <v>5.2923830925543314</v>
      </c>
      <c r="KC86" s="32">
        <v>664.59158620707069</v>
      </c>
      <c r="KD86" s="32">
        <v>7.5521771159894397</v>
      </c>
      <c r="KE86" s="32">
        <v>0.29599999999999999</v>
      </c>
      <c r="KF86" s="32">
        <v>6.5000000000000002E-2</v>
      </c>
      <c r="KG86" s="32">
        <v>37.590787960893508</v>
      </c>
      <c r="KH86" s="32">
        <v>62.409212039106507</v>
      </c>
      <c r="KI86" s="32">
        <v>82.926829268292693</v>
      </c>
      <c r="KJ86" s="32">
        <v>70.996104479400628</v>
      </c>
      <c r="KK86" s="32">
        <v>0.42723021683437318</v>
      </c>
      <c r="KL86" s="32">
        <v>3.4220258221266668</v>
      </c>
      <c r="KM86" s="69"/>
      <c r="KN86" s="32">
        <v>42.162813</v>
      </c>
      <c r="KO86" s="32">
        <v>0.479122875</v>
      </c>
      <c r="KP86" s="32">
        <v>4.0000000000000001E-3</v>
      </c>
      <c r="KQ86" s="32">
        <v>1859.257366</v>
      </c>
      <c r="KR86" s="32">
        <v>21.127924613636363</v>
      </c>
      <c r="KS86" s="32">
        <v>0.14099999999999999</v>
      </c>
      <c r="KT86" s="32">
        <v>1108.9168336083337</v>
      </c>
      <c r="KU86" s="32">
        <v>12.601327654640157</v>
      </c>
      <c r="KV86" s="32">
        <v>381.93795904583322</v>
      </c>
      <c r="KW86" s="32">
        <v>4.3402040800662869</v>
      </c>
      <c r="KX86" s="32">
        <v>745.42739632708344</v>
      </c>
      <c r="KY86" s="32">
        <v>8.4707658673532205</v>
      </c>
      <c r="KZ86" s="32">
        <v>0.23899999999999999</v>
      </c>
      <c r="LA86" s="32">
        <v>6.5000000000000002E-2</v>
      </c>
      <c r="LB86" s="32">
        <v>27.667415857044372</v>
      </c>
      <c r="LC86" s="32">
        <v>72.332584142955668</v>
      </c>
      <c r="LD86" s="32">
        <v>65.686278434508253</v>
      </c>
      <c r="LE86" s="32">
        <v>99.60631884419638</v>
      </c>
      <c r="LF86" s="32">
        <v>0.36684329039272073</v>
      </c>
      <c r="LG86" s="32">
        <v>5.0682605207514877</v>
      </c>
      <c r="LH86" s="69"/>
      <c r="LI86" s="32">
        <v>24.890191674545125</v>
      </c>
      <c r="LJ86" s="32">
        <v>23.922589872934001</v>
      </c>
      <c r="LK86" s="32">
        <v>-28.57142857142858</v>
      </c>
      <c r="LL86" s="32">
        <v>-21.308411214953271</v>
      </c>
      <c r="LM86" s="32">
        <v>-30.412642467249285</v>
      </c>
      <c r="LN86" s="69"/>
      <c r="LO86" s="32">
        <v>1674.6463349999999</v>
      </c>
      <c r="LP86" s="32">
        <v>19.030071988636362</v>
      </c>
      <c r="LQ86" s="32">
        <v>2.1999999999999999E-2</v>
      </c>
      <c r="LR86" s="32">
        <v>2267.7389319999993</v>
      </c>
      <c r="LS86" s="32">
        <v>25.769760590909083</v>
      </c>
      <c r="LT86" s="32">
        <v>0.08</v>
      </c>
      <c r="LU86" s="32">
        <v>1437.3302883352274</v>
      </c>
      <c r="LV86" s="32">
        <v>16.333298731082127</v>
      </c>
      <c r="LW86" s="32">
        <v>163.62937565340911</v>
      </c>
      <c r="LX86" s="32">
        <v>1.8594247233341945</v>
      </c>
      <c r="LY86" s="32">
        <v>800.47983199431826</v>
      </c>
      <c r="LZ86" s="32">
        <v>9.0963617272081621</v>
      </c>
      <c r="MA86" s="32">
        <v>327.86178391338586</v>
      </c>
      <c r="MB86" s="32">
        <v>3.7257020899248392</v>
      </c>
      <c r="MC86" s="32">
        <v>1385.8738114881889</v>
      </c>
      <c r="MD86" s="32">
        <v>15.748566039638511</v>
      </c>
      <c r="ME86" s="32">
        <v>0.115</v>
      </c>
      <c r="MF86" s="32">
        <v>-262.03421310204084</v>
      </c>
      <c r="MG86" s="8">
        <v>-2.9776615125231913</v>
      </c>
      <c r="MH86" s="32">
        <v>1570.6970752653062</v>
      </c>
      <c r="MI86" s="32">
        <v>-1.2515486289424862</v>
      </c>
      <c r="MJ86" s="32">
        <v>0.06</v>
      </c>
      <c r="MK86" s="32">
        <v>75869.483501500014</v>
      </c>
      <c r="ML86" s="32">
        <v>175235.49282999997</v>
      </c>
      <c r="MM86" s="32">
        <v>0.17499999999999999</v>
      </c>
      <c r="MN86" s="32">
        <v>0.11600000000000001</v>
      </c>
      <c r="MO86" s="32">
        <v>65.714285714285722</v>
      </c>
      <c r="MP86" s="32">
        <v>15.182432992854883</v>
      </c>
      <c r="MQ86" s="32">
        <v>9.4807926114332854</v>
      </c>
      <c r="MR86" s="32">
        <v>18.996525324898801</v>
      </c>
      <c r="MS86" s="32">
        <v>83.279853164641636</v>
      </c>
      <c r="MT86" s="32">
        <v>15.182432992854883</v>
      </c>
      <c r="MU86" s="32">
        <v>36.096593750765052</v>
      </c>
      <c r="MV86" s="32">
        <v>18.996525324898801</v>
      </c>
      <c r="MW86" s="32">
        <v>22.794479953395214</v>
      </c>
      <c r="MX86" s="32" t="s">
        <v>34</v>
      </c>
      <c r="MY86" s="32" t="s">
        <v>34</v>
      </c>
      <c r="MZ86" s="32" t="s">
        <v>34</v>
      </c>
      <c r="NA86" s="32" t="s">
        <v>34</v>
      </c>
      <c r="NB86" s="17" t="s">
        <v>34</v>
      </c>
      <c r="NC86" s="69"/>
      <c r="ND86" s="32">
        <v>2106.3012140000001</v>
      </c>
      <c r="NE86" s="32">
        <v>23.935241068181821</v>
      </c>
      <c r="NF86" s="32">
        <v>3.6999999999999998E-2</v>
      </c>
      <c r="NG86" s="32">
        <v>2106.3012140000001</v>
      </c>
      <c r="NH86" s="32">
        <v>23.935241068181821</v>
      </c>
      <c r="NI86" s="32">
        <v>3.6999999999999998E-2</v>
      </c>
      <c r="NJ86" s="32">
        <v>1421.4722404470588</v>
      </c>
      <c r="NK86" s="32">
        <v>16.153093641443849</v>
      </c>
      <c r="NL86" s="32">
        <v>153.2798476647059</v>
      </c>
      <c r="NM86" s="32">
        <v>1.7418164507352942</v>
      </c>
      <c r="NN86" s="32">
        <v>787.37604405588229</v>
      </c>
      <c r="NO86" s="32">
        <v>8.947455046089571</v>
      </c>
      <c r="NP86" s="32">
        <v>313.09710135897438</v>
      </c>
      <c r="NQ86" s="32">
        <v>3.5579216063519818</v>
      </c>
      <c r="NR86" s="32">
        <v>1327.0175981880341</v>
      </c>
      <c r="NS86" s="32">
        <v>15.079745433954933</v>
      </c>
      <c r="NT86" s="32">
        <v>0.10199999999999999</v>
      </c>
      <c r="NU86" s="32">
        <v>-199.52427841509433</v>
      </c>
      <c r="NV86" s="8">
        <v>-2.2673213456260721</v>
      </c>
      <c r="NW86" s="32">
        <v>1629.9853186415094</v>
      </c>
      <c r="NX86" s="32">
        <v>0.92236778366209282</v>
      </c>
      <c r="NY86" s="32">
        <v>6.7000000000000004E-2</v>
      </c>
      <c r="NZ86" s="32">
        <v>85389.117472999991</v>
      </c>
      <c r="OA86" s="32">
        <v>154255.80591450003</v>
      </c>
      <c r="OB86" s="32">
        <v>0.16900000000000001</v>
      </c>
      <c r="OC86" s="32">
        <v>0.11600000000000001</v>
      </c>
      <c r="OD86" s="32">
        <v>60.355029585798817</v>
      </c>
      <c r="OE86" s="32">
        <v>9.0209118869213647</v>
      </c>
      <c r="OF86" s="32">
        <v>11.742515159731425</v>
      </c>
      <c r="OG86" s="32">
        <v>18.426566873866648</v>
      </c>
      <c r="OH86" s="32">
        <v>83.657284542893152</v>
      </c>
      <c r="OI86" s="32">
        <v>9.0209118869213647</v>
      </c>
      <c r="OJ86" s="32">
        <v>11.742515159731425</v>
      </c>
      <c r="OK86" s="32">
        <v>18.426566873866648</v>
      </c>
      <c r="OL86" s="32">
        <v>0.27479984433155541</v>
      </c>
      <c r="OM86" s="32">
        <v>7.6648559213107692</v>
      </c>
      <c r="ON86" s="69"/>
      <c r="OO86" s="32">
        <v>-1.1094189072879657</v>
      </c>
      <c r="OP86" s="32">
        <v>-27.086462858251132</v>
      </c>
      <c r="OQ86" s="32">
        <v>-4.6070607315592724</v>
      </c>
      <c r="OR86" s="32">
        <v>-7.3816294597859073</v>
      </c>
      <c r="OS86" s="32">
        <v>-73.504273504273513</v>
      </c>
      <c r="OT86" s="32">
        <v>22.833158799791654</v>
      </c>
      <c r="OU86" s="32">
        <v>-3.4883720930232434</v>
      </c>
      <c r="OV86" s="32">
        <v>116.46685047850902</v>
      </c>
      <c r="OW86" s="32">
        <v>4.9712254841473422</v>
      </c>
      <c r="OX86" s="32">
        <v>-25.551899402956007</v>
      </c>
      <c r="OY86" s="32">
        <v>-3.0460254219770539</v>
      </c>
    </row>
    <row r="87" spans="1:415" ht="15.75" x14ac:dyDescent="0.25">
      <c r="A87" s="10">
        <v>86</v>
      </c>
      <c r="B87" s="3" t="s">
        <v>442</v>
      </c>
      <c r="C87" s="3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9"/>
      <c r="K87" s="32">
        <v>1263.6400069999997</v>
      </c>
      <c r="L87" s="32">
        <v>15.995443126582275</v>
      </c>
      <c r="M87" s="32">
        <v>0.309</v>
      </c>
      <c r="N87" s="32">
        <v>638.73577982577558</v>
      </c>
      <c r="O87" s="32">
        <v>8.0852630357693105</v>
      </c>
      <c r="P87" s="32">
        <v>338.86217920525064</v>
      </c>
      <c r="Q87" s="32">
        <v>4.2893946734841855</v>
      </c>
      <c r="R87" s="32">
        <v>488.79897951551311</v>
      </c>
      <c r="S87" s="32">
        <v>6.187328854626748</v>
      </c>
      <c r="T87" s="32">
        <v>0.41799999999999998</v>
      </c>
      <c r="U87" s="32">
        <v>5.2999999999999999E-2</v>
      </c>
      <c r="V87" s="32">
        <v>36.034480228745458</v>
      </c>
      <c r="W87" s="32">
        <v>63.965519771254527</v>
      </c>
      <c r="X87" s="32">
        <v>66.666656886823645</v>
      </c>
      <c r="Y87" s="32">
        <v>74.602814782176225</v>
      </c>
      <c r="Z87" s="32">
        <v>0.61497010772858918</v>
      </c>
      <c r="AA87" s="32">
        <v>2.0547990725391396</v>
      </c>
      <c r="AB87" s="69"/>
      <c r="AC87" s="32">
        <v>1614.4677829999998</v>
      </c>
      <c r="AD87" s="32">
        <v>20.43630105063291</v>
      </c>
      <c r="AE87" s="32">
        <v>0.11700000000000001</v>
      </c>
      <c r="AF87" s="32">
        <v>1614.4677829999998</v>
      </c>
      <c r="AG87" s="32">
        <v>20.43630105063291</v>
      </c>
      <c r="AH87" s="32">
        <v>0.11700000000000001</v>
      </c>
      <c r="AI87" s="32">
        <v>880.14276539495802</v>
      </c>
      <c r="AJ87" s="32">
        <v>11.141047663227317</v>
      </c>
      <c r="AK87" s="32">
        <v>349.78902526050416</v>
      </c>
      <c r="AL87" s="32">
        <v>4.4277091805127107</v>
      </c>
      <c r="AM87" s="32">
        <v>614.96589532773112</v>
      </c>
      <c r="AN87" s="32">
        <v>7.7843784218700138</v>
      </c>
      <c r="AO87" s="32">
        <v>0.23699999999999999</v>
      </c>
      <c r="AP87" s="32">
        <v>5.2999999999999999E-2</v>
      </c>
      <c r="AQ87" s="32">
        <v>28.356046097109655</v>
      </c>
      <c r="AR87" s="32">
        <v>71.643953902890331</v>
      </c>
      <c r="AS87" s="32">
        <v>44.21878174075195</v>
      </c>
      <c r="AT87" s="32">
        <v>99.293510689236101</v>
      </c>
      <c r="AU87" s="32">
        <v>0.35399473826235195</v>
      </c>
      <c r="AV87" s="32">
        <v>4.5607112436894139</v>
      </c>
      <c r="AW87" s="69"/>
      <c r="AX87" s="32">
        <v>31.787529862580232</v>
      </c>
      <c r="AY87" s="32">
        <v>24.379057464001384</v>
      </c>
      <c r="AZ87" s="32">
        <v>-90.140845070422543</v>
      </c>
      <c r="BA87" s="32">
        <v>-55.267175572519079</v>
      </c>
      <c r="BB87" s="32">
        <v>-23.849577165368302</v>
      </c>
      <c r="BC87" s="69"/>
      <c r="BD87" s="32">
        <v>1252.3509359999998</v>
      </c>
      <c r="BE87" s="32">
        <v>15.852543493670884</v>
      </c>
      <c r="BF87" s="32">
        <v>1.4E-2</v>
      </c>
      <c r="BG87" s="32">
        <v>2002.1384960000003</v>
      </c>
      <c r="BH87" s="32">
        <v>25.343525265822787</v>
      </c>
      <c r="BI87" s="32">
        <v>6.8000000000000005E-2</v>
      </c>
      <c r="BJ87" s="32">
        <v>1185.1784052451615</v>
      </c>
      <c r="BK87" s="32">
        <v>15.00225829424255</v>
      </c>
      <c r="BL87" s="32">
        <v>203.21977654838707</v>
      </c>
      <c r="BM87" s="32">
        <v>2.5724022347897098</v>
      </c>
      <c r="BN87" s="32">
        <v>694.19909089677424</v>
      </c>
      <c r="BO87" s="32">
        <v>8.7873302645161289</v>
      </c>
      <c r="BP87" s="32">
        <v>291.18958955555559</v>
      </c>
      <c r="BQ87" s="32">
        <v>3.6859441715893113</v>
      </c>
      <c r="BR87" s="32">
        <v>1191.6662270555557</v>
      </c>
      <c r="BS87" s="32">
        <v>15.084382620956402</v>
      </c>
      <c r="BT87" s="32">
        <v>0.107</v>
      </c>
      <c r="BU87" s="32">
        <v>-178.99389375862071</v>
      </c>
      <c r="BV87" s="8">
        <v>-2.2657454906154522</v>
      </c>
      <c r="BW87" s="32">
        <v>1156.9899380689656</v>
      </c>
      <c r="BX87" s="32" t="s">
        <v>34</v>
      </c>
      <c r="BY87" s="32">
        <v>4.7E-2</v>
      </c>
      <c r="BZ87" s="32">
        <v>32607.759876499997</v>
      </c>
      <c r="CA87" s="32">
        <v>149575.34553799999</v>
      </c>
      <c r="CB87" s="32">
        <v>0.154</v>
      </c>
      <c r="CC87" s="32">
        <v>8.8999999999999996E-2</v>
      </c>
      <c r="CD87" s="32">
        <v>69.480519480519476</v>
      </c>
      <c r="CE87" s="32">
        <v>12.780017436624986</v>
      </c>
      <c r="CF87" s="32">
        <v>14.509725629287489</v>
      </c>
      <c r="CG87" s="32">
        <v>20.790698239695914</v>
      </c>
      <c r="CH87" s="32">
        <v>84.620767594285951</v>
      </c>
      <c r="CI87" s="32">
        <v>12.780017436624986</v>
      </c>
      <c r="CJ87" s="32">
        <v>40.955728446227305</v>
      </c>
      <c r="CK87" s="32">
        <v>20.790698239695914</v>
      </c>
      <c r="CL87" s="32">
        <v>24.587773818793927</v>
      </c>
      <c r="CM87" s="32" t="s">
        <v>34</v>
      </c>
      <c r="CN87" s="32" t="s">
        <v>34</v>
      </c>
      <c r="CO87" s="32" t="s">
        <v>34</v>
      </c>
      <c r="CP87" s="32" t="s">
        <v>34</v>
      </c>
      <c r="CQ87" s="17" t="s">
        <v>34</v>
      </c>
      <c r="CR87" s="69"/>
      <c r="CS87" s="32">
        <v>1453.589101</v>
      </c>
      <c r="CT87" s="32">
        <v>18.399862037974685</v>
      </c>
      <c r="CU87" s="32">
        <v>1.7000000000000001E-2</v>
      </c>
      <c r="CV87" s="32">
        <v>1993.6987159999999</v>
      </c>
      <c r="CW87" s="32">
        <v>25.236692607594936</v>
      </c>
      <c r="CX87" s="32">
        <v>7.0999999999999994E-2</v>
      </c>
      <c r="CY87" s="32">
        <v>1223.3354152810459</v>
      </c>
      <c r="CZ87" s="32">
        <v>15.485258421279063</v>
      </c>
      <c r="DA87" s="32">
        <v>165.44054263398695</v>
      </c>
      <c r="DB87" s="32">
        <v>2.0941840839745183</v>
      </c>
      <c r="DC87" s="32">
        <v>694.38797895751645</v>
      </c>
      <c r="DD87" s="32">
        <v>8.7897212526267907</v>
      </c>
      <c r="DE87" s="32">
        <v>286.0775170683761</v>
      </c>
      <c r="DF87" s="32">
        <v>3.6212343932705835</v>
      </c>
      <c r="DG87" s="32">
        <v>1193.0830848461537</v>
      </c>
      <c r="DH87" s="32">
        <v>15.102317529698148</v>
      </c>
      <c r="DI87" s="32">
        <v>9.9000000000000005E-2</v>
      </c>
      <c r="DJ87" s="32">
        <v>-226.62962427777785</v>
      </c>
      <c r="DK87" s="8">
        <v>-2.8687294212376941</v>
      </c>
      <c r="DL87" s="32">
        <v>1321.6554891944443</v>
      </c>
      <c r="DM87" s="32">
        <v>2.0399460657524608</v>
      </c>
      <c r="DN87" s="32">
        <v>5.1999999999999998E-2</v>
      </c>
      <c r="DO87" s="32">
        <v>46643.233317499988</v>
      </c>
      <c r="DP87" s="32">
        <v>139594.4178385</v>
      </c>
      <c r="DQ87" s="32">
        <v>0.152</v>
      </c>
      <c r="DR87" s="32">
        <v>8.8999999999999996E-2</v>
      </c>
      <c r="DS87" s="32">
        <v>65.131578947368425</v>
      </c>
      <c r="DT87" s="32">
        <v>11.063110573692772</v>
      </c>
      <c r="DU87" s="32">
        <v>15.154861999010613</v>
      </c>
      <c r="DV87" s="32">
        <v>19.130179057601502</v>
      </c>
      <c r="DW87" s="32">
        <v>81.805189662066951</v>
      </c>
      <c r="DX87" s="32">
        <v>11.063110573692772</v>
      </c>
      <c r="DY87" s="32">
        <v>15.154861999010613</v>
      </c>
      <c r="DZ87" s="32">
        <v>19.130179057601502</v>
      </c>
      <c r="EA87" s="32">
        <v>0.20969593161102509</v>
      </c>
      <c r="EB87" s="32">
        <v>9.5075698449801411</v>
      </c>
      <c r="EC87" s="69"/>
      <c r="ED87" s="32">
        <v>3.1685107812707503</v>
      </c>
      <c r="EE87" s="32">
        <v>23.487657101224862</v>
      </c>
      <c r="EF87" s="32">
        <v>-1.7711289725398527</v>
      </c>
      <c r="EG87" s="32">
        <v>-0.42242862019777305</v>
      </c>
      <c r="EH87" s="32">
        <v>4.3165467625899119</v>
      </c>
      <c r="EI87" s="32">
        <v>14.873808158964774</v>
      </c>
      <c r="EJ87" s="32">
        <v>-1.3071895424836615</v>
      </c>
      <c r="EK87" s="32">
        <v>134.67646324716361</v>
      </c>
      <c r="EL87" s="32">
        <v>26.955281989355946</v>
      </c>
      <c r="EM87" s="32">
        <v>17.002719255384484</v>
      </c>
      <c r="EN87" s="32">
        <v>-8.3190515565489651</v>
      </c>
      <c r="EO87" s="69"/>
      <c r="EP87" s="32">
        <v>1359.8318060000001</v>
      </c>
      <c r="EQ87" s="32">
        <v>17.213060835443041</v>
      </c>
      <c r="ER87" s="32">
        <v>0.25600000000000001</v>
      </c>
      <c r="ES87" s="32">
        <v>687.01800575683046</v>
      </c>
      <c r="ET87" s="32">
        <v>8.6964304526181078</v>
      </c>
      <c r="EU87" s="32">
        <v>323.51001442896171</v>
      </c>
      <c r="EV87" s="32">
        <v>4.0950634737843252</v>
      </c>
      <c r="EW87" s="32">
        <v>505.26401009289611</v>
      </c>
      <c r="EX87" s="32">
        <v>6.3957469632012165</v>
      </c>
      <c r="EY87" s="32">
        <v>0.36499999999999999</v>
      </c>
      <c r="EZ87" s="32">
        <v>6.2E-2</v>
      </c>
      <c r="FA87" s="32">
        <v>32.428716298042154</v>
      </c>
      <c r="FB87" s="32">
        <v>67.571283701957853</v>
      </c>
      <c r="FC87" s="32">
        <v>51.345826197114079</v>
      </c>
      <c r="FD87" s="32">
        <v>76.594454245263279</v>
      </c>
      <c r="FE87" s="32">
        <v>0.54449989055551129</v>
      </c>
      <c r="FF87" s="32">
        <v>2.4973959216275849</v>
      </c>
      <c r="FG87" s="69"/>
      <c r="FH87" s="32">
        <v>31.558992000000007</v>
      </c>
      <c r="FI87" s="32">
        <v>0.39948091139240516</v>
      </c>
      <c r="FJ87" s="32">
        <v>4.0000000000000001E-3</v>
      </c>
      <c r="FK87" s="32">
        <v>1812.6041850000001</v>
      </c>
      <c r="FL87" s="32">
        <v>22.944356772151899</v>
      </c>
      <c r="FM87" s="32">
        <v>0.108</v>
      </c>
      <c r="FN87" s="32">
        <v>754.17783291986063</v>
      </c>
      <c r="FO87" s="32">
        <v>9.5465548470868438</v>
      </c>
      <c r="FP87" s="32">
        <v>270.18643758536598</v>
      </c>
      <c r="FQ87" s="32">
        <v>3.4200814884223543</v>
      </c>
      <c r="FR87" s="32">
        <v>512.18213525261331</v>
      </c>
      <c r="FS87" s="32">
        <v>6.4833181677545992</v>
      </c>
      <c r="FT87" s="32">
        <v>0.28599999999999998</v>
      </c>
      <c r="FU87" s="32">
        <v>6.2E-2</v>
      </c>
      <c r="FV87" s="32">
        <v>24.960606884470348</v>
      </c>
      <c r="FW87" s="32">
        <v>75.039393115529634</v>
      </c>
      <c r="FX87" s="32">
        <v>55.855871607893739</v>
      </c>
      <c r="FY87" s="32">
        <v>99.472449481950051</v>
      </c>
      <c r="FZ87" s="32">
        <v>0.50795553892515599</v>
      </c>
      <c r="GA87" s="32">
        <v>3.5684307898984753</v>
      </c>
      <c r="GB87" s="69"/>
      <c r="GC87" s="32">
        <v>9.3200140273366969</v>
      </c>
      <c r="GD87" s="32">
        <v>28.544145904565859</v>
      </c>
      <c r="GE87" s="32">
        <v>-81.318681318681328</v>
      </c>
      <c r="GF87" s="32">
        <v>-24.270353302611372</v>
      </c>
      <c r="GG87" s="32">
        <v>-26.026128204444365</v>
      </c>
      <c r="GH87" s="69"/>
      <c r="GI87" s="32">
        <v>1093.83467</v>
      </c>
      <c r="GJ87" s="32">
        <v>13.846008481012658</v>
      </c>
      <c r="GK87" s="32">
        <v>1.6E-2</v>
      </c>
      <c r="GL87" s="32">
        <v>1877.778022</v>
      </c>
      <c r="GM87" s="32">
        <v>23.769342050632911</v>
      </c>
      <c r="GN87" s="32">
        <v>7.1999999999999995E-2</v>
      </c>
      <c r="GO87" s="32">
        <v>1108.1698240598801</v>
      </c>
      <c r="GP87" s="32">
        <v>14.027466127340254</v>
      </c>
      <c r="GQ87" s="32">
        <v>151.41761122754491</v>
      </c>
      <c r="GR87" s="32">
        <v>1.9166786231334798</v>
      </c>
      <c r="GS87" s="32">
        <v>629.79371764371251</v>
      </c>
      <c r="GT87" s="32">
        <v>7.9720723752368672</v>
      </c>
      <c r="GU87" s="32">
        <v>246.08058934108527</v>
      </c>
      <c r="GV87" s="32">
        <v>3.114944168874497</v>
      </c>
      <c r="GW87" s="32">
        <v>1089.3429934418605</v>
      </c>
      <c r="GX87" s="32">
        <v>13.789151815719753</v>
      </c>
      <c r="GY87" s="32">
        <v>0.112</v>
      </c>
      <c r="GZ87" s="32">
        <v>-169.93828815789473</v>
      </c>
      <c r="HA87" s="8">
        <v>-2.1511175716189208</v>
      </c>
      <c r="HB87" s="32">
        <v>1172.0819595789476</v>
      </c>
      <c r="HC87" s="32">
        <v>-2.3802934680213199</v>
      </c>
      <c r="HD87" s="32">
        <v>5.2999999999999999E-2</v>
      </c>
      <c r="HE87" s="32">
        <v>43663.622981</v>
      </c>
      <c r="HF87" s="32">
        <v>140522.33370950003</v>
      </c>
      <c r="HG87" s="32">
        <v>0.16600000000000001</v>
      </c>
      <c r="HH87" s="32">
        <v>8.5000000000000006E-2</v>
      </c>
      <c r="HI87" s="32">
        <v>67.46987951807229</v>
      </c>
      <c r="HJ87" s="32">
        <v>13.545226184920276</v>
      </c>
      <c r="HK87" s="32">
        <v>12.069003487617735</v>
      </c>
      <c r="HL87" s="32">
        <v>19.614280445419631</v>
      </c>
      <c r="HM87" s="32">
        <v>88.328599051484886</v>
      </c>
      <c r="HN87" s="32">
        <v>13.545226184920276</v>
      </c>
      <c r="HO87" s="32">
        <v>39.767332855875686</v>
      </c>
      <c r="HP87" s="32">
        <v>19.614280445419631</v>
      </c>
      <c r="HQ87" s="32">
        <v>23.319869897115939</v>
      </c>
      <c r="HR87" s="32">
        <v>67.46987951807229</v>
      </c>
      <c r="HS87" s="32" t="s">
        <v>34</v>
      </c>
      <c r="HT87" s="32" t="s">
        <v>34</v>
      </c>
      <c r="HU87" s="32" t="s">
        <v>34</v>
      </c>
      <c r="HV87" s="32" t="s">
        <v>34</v>
      </c>
      <c r="HW87" s="17" t="s">
        <v>34</v>
      </c>
      <c r="HX87" s="69"/>
      <c r="HY87" s="32">
        <v>1480.892206</v>
      </c>
      <c r="HZ87" s="32">
        <v>18.745470962025315</v>
      </c>
      <c r="IA87" s="32">
        <v>1.7000000000000001E-2</v>
      </c>
      <c r="IB87" s="32">
        <v>1967.1350770000001</v>
      </c>
      <c r="IC87" s="32">
        <v>24.90044401265823</v>
      </c>
      <c r="ID87" s="32">
        <v>7.6999999999999999E-2</v>
      </c>
      <c r="IE87" s="32">
        <v>1181.0318902545453</v>
      </c>
      <c r="IF87" s="32">
        <v>14.949770762715763</v>
      </c>
      <c r="IG87" s="32">
        <v>132.67235956969697</v>
      </c>
      <c r="IH87" s="32">
        <v>1.6793969565784426</v>
      </c>
      <c r="II87" s="32">
        <v>656.8521249121211</v>
      </c>
      <c r="IJ87" s="32">
        <v>8.3145838596471027</v>
      </c>
      <c r="IK87" s="32">
        <v>261.89007235772357</v>
      </c>
      <c r="IL87" s="32">
        <v>3.315064207059792</v>
      </c>
      <c r="IM87" s="32">
        <v>1125.9614728292684</v>
      </c>
      <c r="IN87" s="32">
        <v>14.252676871256561</v>
      </c>
      <c r="IO87" s="32">
        <v>0.107</v>
      </c>
      <c r="IP87" s="32">
        <v>-245.75094216666673</v>
      </c>
      <c r="IQ87" s="8">
        <v>-3.1107714198312246</v>
      </c>
      <c r="IR87" s="32">
        <v>1342.3095412857142</v>
      </c>
      <c r="IS87" s="32">
        <v>1.2913016651597351</v>
      </c>
      <c r="IT87" s="32">
        <v>5.5E-2</v>
      </c>
      <c r="IU87" s="32">
        <v>55459.680052500007</v>
      </c>
      <c r="IV87" s="32">
        <v>138493.15295650001</v>
      </c>
      <c r="IW87" s="32">
        <v>0.16400000000000001</v>
      </c>
      <c r="IX87" s="32">
        <v>8.5000000000000006E-2</v>
      </c>
      <c r="IY87" s="32">
        <v>65.243902439024382</v>
      </c>
      <c r="IZ87" s="32">
        <v>9.2209539337403434</v>
      </c>
      <c r="JA87" s="32">
        <v>17.080107146972761</v>
      </c>
      <c r="JB87" s="32">
        <v>18.201804058861889</v>
      </c>
      <c r="JC87" s="32">
        <v>82.083718791437178</v>
      </c>
      <c r="JD87" s="32">
        <v>9.2209539337403434</v>
      </c>
      <c r="JE87" s="32">
        <v>17.080107146972761</v>
      </c>
      <c r="JF87" s="32">
        <v>18.201804058861889</v>
      </c>
      <c r="JG87" s="32">
        <v>0.23518596954820545</v>
      </c>
      <c r="JH87" s="32">
        <v>8.3641684951652771</v>
      </c>
      <c r="JI87" s="69"/>
      <c r="JJ87" s="32">
        <v>6.3657182972611981</v>
      </c>
      <c r="JK87" s="32">
        <v>36.475640203417861</v>
      </c>
      <c r="JL87" s="32">
        <v>6.2245653966575798</v>
      </c>
      <c r="JM87" s="32">
        <v>4.6480662995083293</v>
      </c>
      <c r="JN87" s="32">
        <v>6.7114093959731598</v>
      </c>
      <c r="JO87" s="32">
        <v>30.065910260844309</v>
      </c>
      <c r="JP87" s="32">
        <v>-1.2121212121212133</v>
      </c>
      <c r="JQ87" s="32">
        <v>131.95861780413006</v>
      </c>
      <c r="JR87" s="32">
        <v>26.754863783994505</v>
      </c>
      <c r="JS87" s="32">
        <v>23.084685634237857</v>
      </c>
      <c r="JT87" s="32">
        <v>-7.4702413275907622</v>
      </c>
      <c r="JU87" s="69"/>
      <c r="JV87" s="32">
        <v>1269.6813490000004</v>
      </c>
      <c r="JW87" s="32">
        <v>16.071915810126587</v>
      </c>
      <c r="JX87" s="32">
        <v>0.255</v>
      </c>
      <c r="JY87" s="32">
        <v>639.93553588918928</v>
      </c>
      <c r="JZ87" s="32">
        <v>8.1004498213821421</v>
      </c>
      <c r="KA87" s="32">
        <v>330.83999852432424</v>
      </c>
      <c r="KB87" s="32">
        <v>4.1878480825863829</v>
      </c>
      <c r="KC87" s="32">
        <v>485.38776720675673</v>
      </c>
      <c r="KD87" s="32">
        <v>6.1441489519842625</v>
      </c>
      <c r="KE87" s="32">
        <v>0.36899999999999999</v>
      </c>
      <c r="KF87" s="32">
        <v>4.9000000000000002E-2</v>
      </c>
      <c r="KG87" s="32">
        <v>35.621212992085425</v>
      </c>
      <c r="KH87" s="32">
        <v>64.378787007914582</v>
      </c>
      <c r="KI87" s="32">
        <v>77.542371786181107</v>
      </c>
      <c r="KJ87" s="32">
        <v>74.319050028427085</v>
      </c>
      <c r="KK87" s="32">
        <v>0.50028118029474899</v>
      </c>
      <c r="KL87" s="32">
        <v>2.5379354631168543</v>
      </c>
      <c r="KM87" s="69"/>
      <c r="KN87" s="32">
        <v>72.58568200000002</v>
      </c>
      <c r="KO87" s="32">
        <v>0.91880610126582307</v>
      </c>
      <c r="KP87" s="32">
        <v>4.0000000000000001E-3</v>
      </c>
      <c r="KQ87" s="32">
        <v>1628.3718260000001</v>
      </c>
      <c r="KR87" s="32">
        <v>20.61230159493671</v>
      </c>
      <c r="KS87" s="32">
        <v>0.115</v>
      </c>
      <c r="KT87" s="32">
        <v>758.55484760777392</v>
      </c>
      <c r="KU87" s="32">
        <v>9.6019600963009353</v>
      </c>
      <c r="KV87" s="32">
        <v>259.47748579858654</v>
      </c>
      <c r="KW87" s="32">
        <v>3.2845251366909687</v>
      </c>
      <c r="KX87" s="32">
        <v>509.01616670318026</v>
      </c>
      <c r="KY87" s="32">
        <v>6.4432426164959526</v>
      </c>
      <c r="KZ87" s="32">
        <v>0.28199999999999997</v>
      </c>
      <c r="LA87" s="32">
        <v>4.9000000000000002E-2</v>
      </c>
      <c r="LB87" s="32">
        <v>29.091685160234572</v>
      </c>
      <c r="LC87" s="32">
        <v>70.90831483976541</v>
      </c>
      <c r="LD87" s="32">
        <v>85.937441786516047</v>
      </c>
      <c r="LE87" s="32">
        <v>98.518997279399713</v>
      </c>
      <c r="LF87" s="32">
        <v>0.48794394997161328</v>
      </c>
      <c r="LG87" s="32">
        <v>3.3372108130344329</v>
      </c>
      <c r="LH87" s="69"/>
      <c r="LI87" s="32">
        <v>16.963908099528556</v>
      </c>
      <c r="LJ87" s="32">
        <v>24.753892033054196</v>
      </c>
      <c r="LK87" s="32">
        <v>-75.675675675675677</v>
      </c>
      <c r="LL87" s="32">
        <v>-26.728110599078349</v>
      </c>
      <c r="LM87" s="32">
        <v>-20.179988899529036</v>
      </c>
      <c r="LN87" s="69"/>
      <c r="LO87" s="32">
        <v>451.92474899999996</v>
      </c>
      <c r="LP87" s="32">
        <v>5.7205664430379741</v>
      </c>
      <c r="LQ87" s="32">
        <v>1.2999999999999999E-2</v>
      </c>
      <c r="LR87" s="32">
        <v>1646.7481509999998</v>
      </c>
      <c r="LS87" s="32">
        <v>20.844913303797465</v>
      </c>
      <c r="LT87" s="32">
        <v>8.5000000000000006E-2</v>
      </c>
      <c r="LU87" s="32">
        <v>851.41020277710834</v>
      </c>
      <c r="LV87" s="32">
        <v>10.777344338950739</v>
      </c>
      <c r="LW87" s="32">
        <v>46.802799204819273</v>
      </c>
      <c r="LX87" s="32">
        <v>0.59244049626353512</v>
      </c>
      <c r="LY87" s="32">
        <v>449.10650099096381</v>
      </c>
      <c r="LZ87" s="32">
        <v>5.6848924176071369</v>
      </c>
      <c r="MA87" s="32">
        <v>195.41003283146065</v>
      </c>
      <c r="MB87" s="32">
        <v>2.4735447193855777</v>
      </c>
      <c r="MC87" s="32">
        <v>836.09403120224715</v>
      </c>
      <c r="MD87" s="32">
        <v>10.583468749395534</v>
      </c>
      <c r="ME87" s="32">
        <v>8.8999999999999996E-2</v>
      </c>
      <c r="MF87" s="32">
        <v>-124.9640032987013</v>
      </c>
      <c r="MG87" s="8">
        <v>-1.5818228265658392</v>
      </c>
      <c r="MH87" s="32">
        <v>869.11331018181829</v>
      </c>
      <c r="MI87" s="32">
        <v>-1.1859587440407695</v>
      </c>
      <c r="MJ87" s="32">
        <v>7.5999999999999998E-2</v>
      </c>
      <c r="MK87" s="32">
        <v>66101.533725999994</v>
      </c>
      <c r="ML87" s="32">
        <v>73598.390270500007</v>
      </c>
      <c r="MM87" s="32">
        <v>0.16500000000000001</v>
      </c>
      <c r="MN87" s="32">
        <v>9.2999999999999999E-2</v>
      </c>
      <c r="MO87" s="32">
        <v>53.939393939393931</v>
      </c>
      <c r="MP87" s="32">
        <v>12.926730846765766</v>
      </c>
      <c r="MQ87" s="32">
        <v>4.8414517158975254</v>
      </c>
      <c r="MR87" s="32">
        <v>20.213924270111836</v>
      </c>
      <c r="MS87" s="32">
        <v>88.072966942187605</v>
      </c>
      <c r="MT87" s="32">
        <v>12.926730846765766</v>
      </c>
      <c r="MU87" s="32">
        <v>38.051908287808992</v>
      </c>
      <c r="MV87" s="32">
        <v>20.213924270111836</v>
      </c>
      <c r="MW87" s="32">
        <v>22.745687611941435</v>
      </c>
      <c r="MX87" s="32" t="s">
        <v>34</v>
      </c>
      <c r="MY87" s="32" t="s">
        <v>34</v>
      </c>
      <c r="MZ87" s="32" t="s">
        <v>34</v>
      </c>
      <c r="NA87" s="32" t="s">
        <v>34</v>
      </c>
      <c r="NB87" s="17" t="s">
        <v>34</v>
      </c>
      <c r="NC87" s="69"/>
      <c r="ND87" s="32">
        <v>1489.8909789999998</v>
      </c>
      <c r="NE87" s="32">
        <v>18.859379481012656</v>
      </c>
      <c r="NF87" s="32">
        <v>1.7000000000000001E-2</v>
      </c>
      <c r="NG87" s="32">
        <v>1990.5968809999999</v>
      </c>
      <c r="NH87" s="32">
        <v>25.197428873417721</v>
      </c>
      <c r="NI87" s="32">
        <v>7.2999999999999995E-2</v>
      </c>
      <c r="NJ87" s="32">
        <v>1215.4972817654323</v>
      </c>
      <c r="NK87" s="32">
        <v>15.386041541334585</v>
      </c>
      <c r="NL87" s="32">
        <v>126.40784277160492</v>
      </c>
      <c r="NM87" s="32">
        <v>1.6000992755899357</v>
      </c>
      <c r="NN87" s="32">
        <v>670.95256226851859</v>
      </c>
      <c r="NO87" s="32">
        <v>8.4930704084622608</v>
      </c>
      <c r="NP87" s="32">
        <v>248.95734437288135</v>
      </c>
      <c r="NQ87" s="32">
        <v>3.1513587895301436</v>
      </c>
      <c r="NR87" s="32">
        <v>1151.7948304745764</v>
      </c>
      <c r="NS87" s="32">
        <v>14.57968139841236</v>
      </c>
      <c r="NT87" s="32">
        <v>0.10199999999999999</v>
      </c>
      <c r="NU87" s="32">
        <v>-202.24763879545452</v>
      </c>
      <c r="NV87" s="8">
        <v>-2.5600966936133482</v>
      </c>
      <c r="NW87" s="32">
        <v>1386.3356738636362</v>
      </c>
      <c r="NX87" s="32">
        <v>0.55341596806674342</v>
      </c>
      <c r="NY87" s="32">
        <v>5.8000000000000003E-2</v>
      </c>
      <c r="NZ87" s="32">
        <v>60036.698302500001</v>
      </c>
      <c r="OA87" s="32">
        <v>135913.00727</v>
      </c>
      <c r="OB87" s="32">
        <v>0.161</v>
      </c>
      <c r="OC87" s="32">
        <v>9.2999999999999999E-2</v>
      </c>
      <c r="OD87" s="32">
        <v>63.354037267080741</v>
      </c>
      <c r="OE87" s="32">
        <v>8.7071652865781175</v>
      </c>
      <c r="OF87" s="32">
        <v>13.931126275083832</v>
      </c>
      <c r="OG87" s="32">
        <v>17.148562140079186</v>
      </c>
      <c r="OH87" s="32">
        <v>83.725309329425698</v>
      </c>
      <c r="OI87" s="32">
        <v>8.7071652865781175</v>
      </c>
      <c r="OJ87" s="32">
        <v>13.931126275083832</v>
      </c>
      <c r="OK87" s="32">
        <v>17.148562140079186</v>
      </c>
      <c r="OL87" s="32">
        <v>0.23423723844734673</v>
      </c>
      <c r="OM87" s="32">
        <v>8.4982084582057542</v>
      </c>
      <c r="ON87" s="69"/>
      <c r="OO87" s="32">
        <v>35.230128267584817</v>
      </c>
      <c r="OP87" s="32">
        <v>47.237705236976069</v>
      </c>
      <c r="OQ87" s="32">
        <v>24.100469246101746</v>
      </c>
      <c r="OR87" s="32">
        <v>18.906577571000156</v>
      </c>
      <c r="OS87" s="32">
        <v>-15.189873417721532</v>
      </c>
      <c r="OT87" s="32">
        <v>106.9067692709511</v>
      </c>
      <c r="OU87" s="32">
        <v>-2.453987730061352</v>
      </c>
      <c r="OV87" s="32">
        <v>137.38061012197528</v>
      </c>
      <c r="OW87" s="32">
        <v>-57.064327229476454</v>
      </c>
      <c r="OX87" s="32">
        <v>7.479341510838279</v>
      </c>
      <c r="OY87" s="32">
        <v>-16.408769461320105</v>
      </c>
    </row>
    <row r="88" spans="1:415" ht="15.75" x14ac:dyDescent="0.25">
      <c r="A88" s="10">
        <v>87</v>
      </c>
      <c r="B88" s="3" t="s">
        <v>471</v>
      </c>
      <c r="C88" s="3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9"/>
      <c r="K88" s="32" t="s">
        <v>34</v>
      </c>
      <c r="L88" s="32" t="s">
        <v>34</v>
      </c>
      <c r="M88" s="32" t="s">
        <v>34</v>
      </c>
      <c r="N88" s="32" t="s">
        <v>34</v>
      </c>
      <c r="O88" s="32" t="s">
        <v>34</v>
      </c>
      <c r="P88" s="32" t="s">
        <v>34</v>
      </c>
      <c r="Q88" s="32" t="s">
        <v>34</v>
      </c>
      <c r="R88" s="32" t="s">
        <v>34</v>
      </c>
      <c r="S88" s="32" t="s">
        <v>34</v>
      </c>
      <c r="T88" s="32" t="s">
        <v>34</v>
      </c>
      <c r="U88" s="32" t="s">
        <v>34</v>
      </c>
      <c r="V88" s="32" t="s">
        <v>34</v>
      </c>
      <c r="W88" s="32" t="s">
        <v>34</v>
      </c>
      <c r="X88" s="32" t="s">
        <v>34</v>
      </c>
      <c r="Y88" s="32" t="s">
        <v>34</v>
      </c>
      <c r="Z88" s="32" t="s">
        <v>34</v>
      </c>
      <c r="AA88" s="32" t="s">
        <v>34</v>
      </c>
      <c r="AB88" s="69"/>
      <c r="AC88" s="32" t="s">
        <v>34</v>
      </c>
      <c r="AD88" s="32" t="s">
        <v>34</v>
      </c>
      <c r="AE88" s="32" t="s">
        <v>34</v>
      </c>
      <c r="AF88" s="32" t="s">
        <v>34</v>
      </c>
      <c r="AG88" s="32" t="s">
        <v>34</v>
      </c>
      <c r="AH88" s="32" t="s">
        <v>34</v>
      </c>
      <c r="AI88" s="32" t="s">
        <v>34</v>
      </c>
      <c r="AJ88" s="32" t="s">
        <v>34</v>
      </c>
      <c r="AK88" s="32" t="s">
        <v>34</v>
      </c>
      <c r="AL88" s="32" t="s">
        <v>34</v>
      </c>
      <c r="AM88" s="32" t="s">
        <v>34</v>
      </c>
      <c r="AN88" s="32" t="s">
        <v>34</v>
      </c>
      <c r="AO88" s="32" t="s">
        <v>34</v>
      </c>
      <c r="AP88" s="32" t="s">
        <v>34</v>
      </c>
      <c r="AQ88" s="32" t="s">
        <v>34</v>
      </c>
      <c r="AR88" s="32" t="s">
        <v>34</v>
      </c>
      <c r="AS88" s="32" t="s">
        <v>34</v>
      </c>
      <c r="AT88" s="32" t="s">
        <v>34</v>
      </c>
      <c r="AU88" s="32" t="s">
        <v>34</v>
      </c>
      <c r="AV88" s="32" t="s">
        <v>34</v>
      </c>
      <c r="AW88" s="69"/>
      <c r="AX88" s="32" t="s">
        <v>34</v>
      </c>
      <c r="AY88" s="32" t="s">
        <v>34</v>
      </c>
      <c r="AZ88" s="32" t="s">
        <v>34</v>
      </c>
      <c r="BA88" s="32" t="s">
        <v>34</v>
      </c>
      <c r="BB88" s="32" t="s">
        <v>34</v>
      </c>
      <c r="BC88" s="69"/>
      <c r="BD88" s="32" t="s">
        <v>34</v>
      </c>
      <c r="BE88" s="32" t="s">
        <v>34</v>
      </c>
      <c r="BF88" s="32" t="s">
        <v>34</v>
      </c>
      <c r="BG88" s="32" t="s">
        <v>34</v>
      </c>
      <c r="BH88" s="32" t="s">
        <v>34</v>
      </c>
      <c r="BI88" s="32" t="s">
        <v>34</v>
      </c>
      <c r="BJ88" s="32" t="s">
        <v>34</v>
      </c>
      <c r="BK88" s="32" t="s">
        <v>34</v>
      </c>
      <c r="BL88" s="32" t="s">
        <v>34</v>
      </c>
      <c r="BM88" s="32" t="s">
        <v>34</v>
      </c>
      <c r="BN88" s="32" t="s">
        <v>34</v>
      </c>
      <c r="BO88" s="32" t="s">
        <v>34</v>
      </c>
      <c r="BP88" s="32" t="s">
        <v>34</v>
      </c>
      <c r="BQ88" s="32" t="s">
        <v>34</v>
      </c>
      <c r="BR88" s="32" t="s">
        <v>34</v>
      </c>
      <c r="BS88" s="32" t="s">
        <v>34</v>
      </c>
      <c r="BT88" s="32" t="s">
        <v>34</v>
      </c>
      <c r="BU88" s="32" t="s">
        <v>34</v>
      </c>
      <c r="BV88" s="8" t="s">
        <v>34</v>
      </c>
      <c r="BW88" s="32" t="s">
        <v>34</v>
      </c>
      <c r="BX88" s="32" t="s">
        <v>34</v>
      </c>
      <c r="BY88" s="32" t="s">
        <v>34</v>
      </c>
      <c r="BZ88" s="32" t="s">
        <v>34</v>
      </c>
      <c r="CA88" s="32" t="s">
        <v>34</v>
      </c>
      <c r="CB88" s="32" t="s">
        <v>34</v>
      </c>
      <c r="CC88" s="32" t="s">
        <v>34</v>
      </c>
      <c r="CD88" s="32" t="s">
        <v>34</v>
      </c>
      <c r="CE88" s="32" t="s">
        <v>34</v>
      </c>
      <c r="CF88" s="32" t="s">
        <v>34</v>
      </c>
      <c r="CG88" s="32" t="s">
        <v>34</v>
      </c>
      <c r="CH88" s="32" t="s">
        <v>34</v>
      </c>
      <c r="CI88" s="32" t="s">
        <v>34</v>
      </c>
      <c r="CJ88" s="32" t="s">
        <v>34</v>
      </c>
      <c r="CK88" s="32" t="s">
        <v>34</v>
      </c>
      <c r="CL88" s="32" t="s">
        <v>34</v>
      </c>
      <c r="CM88" s="32" t="s">
        <v>34</v>
      </c>
      <c r="CN88" s="32" t="s">
        <v>34</v>
      </c>
      <c r="CO88" s="32" t="s">
        <v>34</v>
      </c>
      <c r="CP88" s="32" t="s">
        <v>34</v>
      </c>
      <c r="CQ88" s="17" t="s">
        <v>34</v>
      </c>
      <c r="CR88" s="69"/>
      <c r="CS88" s="32" t="s">
        <v>34</v>
      </c>
      <c r="CT88" s="32" t="s">
        <v>34</v>
      </c>
      <c r="CU88" s="32" t="s">
        <v>34</v>
      </c>
      <c r="CV88" s="32" t="s">
        <v>34</v>
      </c>
      <c r="CW88" s="32" t="s">
        <v>34</v>
      </c>
      <c r="CX88" s="32" t="s">
        <v>34</v>
      </c>
      <c r="CY88" s="32" t="s">
        <v>34</v>
      </c>
      <c r="CZ88" s="32" t="s">
        <v>34</v>
      </c>
      <c r="DA88" s="32" t="s">
        <v>34</v>
      </c>
      <c r="DB88" s="32" t="s">
        <v>34</v>
      </c>
      <c r="DC88" s="32" t="s">
        <v>34</v>
      </c>
      <c r="DD88" s="32" t="s">
        <v>34</v>
      </c>
      <c r="DE88" s="32" t="s">
        <v>34</v>
      </c>
      <c r="DF88" s="32" t="s">
        <v>34</v>
      </c>
      <c r="DG88" s="32" t="s">
        <v>34</v>
      </c>
      <c r="DH88" s="32" t="s">
        <v>34</v>
      </c>
      <c r="DI88" s="32" t="s">
        <v>34</v>
      </c>
      <c r="DJ88" s="32" t="s">
        <v>34</v>
      </c>
      <c r="DK88" s="8" t="s">
        <v>34</v>
      </c>
      <c r="DL88" s="32" t="s">
        <v>34</v>
      </c>
      <c r="DM88" s="32" t="s">
        <v>34</v>
      </c>
      <c r="DN88" s="32" t="s">
        <v>34</v>
      </c>
      <c r="DO88" s="32" t="s">
        <v>34</v>
      </c>
      <c r="DP88" s="32" t="s">
        <v>34</v>
      </c>
      <c r="DQ88" s="32" t="s">
        <v>34</v>
      </c>
      <c r="DR88" s="32" t="s">
        <v>34</v>
      </c>
      <c r="DS88" s="32" t="s">
        <v>34</v>
      </c>
      <c r="DT88" s="32" t="s">
        <v>34</v>
      </c>
      <c r="DU88" s="32" t="s">
        <v>34</v>
      </c>
      <c r="DV88" s="32" t="s">
        <v>34</v>
      </c>
      <c r="DW88" s="32" t="s">
        <v>34</v>
      </c>
      <c r="DX88" s="32" t="s">
        <v>34</v>
      </c>
      <c r="DY88" s="32" t="s">
        <v>34</v>
      </c>
      <c r="DZ88" s="32" t="s">
        <v>34</v>
      </c>
      <c r="EA88" s="32" t="s">
        <v>34</v>
      </c>
      <c r="EB88" s="32" t="s">
        <v>34</v>
      </c>
      <c r="EC88" s="69"/>
      <c r="ED88" s="32" t="s">
        <v>34</v>
      </c>
      <c r="EE88" s="32" t="s">
        <v>34</v>
      </c>
      <c r="EF88" s="32" t="s">
        <v>34</v>
      </c>
      <c r="EG88" s="32" t="s">
        <v>34</v>
      </c>
      <c r="EH88" s="32" t="s">
        <v>34</v>
      </c>
      <c r="EI88" s="32" t="s">
        <v>34</v>
      </c>
      <c r="EJ88" s="32" t="s">
        <v>34</v>
      </c>
      <c r="EK88" s="32" t="s">
        <v>34</v>
      </c>
      <c r="EL88" s="32" t="s">
        <v>34</v>
      </c>
      <c r="EM88" s="32" t="s">
        <v>34</v>
      </c>
      <c r="EN88" s="32" t="s">
        <v>34</v>
      </c>
      <c r="EO88" s="69"/>
      <c r="EP88" s="32" t="s">
        <v>34</v>
      </c>
      <c r="EQ88" s="32" t="s">
        <v>34</v>
      </c>
      <c r="ER88" s="32" t="s">
        <v>34</v>
      </c>
      <c r="ES88" s="32" t="s">
        <v>34</v>
      </c>
      <c r="ET88" s="32" t="s">
        <v>34</v>
      </c>
      <c r="EU88" s="32" t="s">
        <v>34</v>
      </c>
      <c r="EV88" s="32" t="s">
        <v>34</v>
      </c>
      <c r="EW88" s="32" t="s">
        <v>34</v>
      </c>
      <c r="EX88" s="32" t="s">
        <v>34</v>
      </c>
      <c r="EY88" s="32" t="s">
        <v>34</v>
      </c>
      <c r="EZ88" s="32" t="s">
        <v>34</v>
      </c>
      <c r="FA88" s="32" t="s">
        <v>34</v>
      </c>
      <c r="FB88" s="32" t="s">
        <v>34</v>
      </c>
      <c r="FC88" s="32" t="s">
        <v>34</v>
      </c>
      <c r="FD88" s="32" t="s">
        <v>34</v>
      </c>
      <c r="FE88" s="32" t="s">
        <v>34</v>
      </c>
      <c r="FF88" s="32" t="s">
        <v>34</v>
      </c>
      <c r="FG88" s="69"/>
      <c r="FH88" s="32" t="s">
        <v>34</v>
      </c>
      <c r="FI88" s="32" t="s">
        <v>34</v>
      </c>
      <c r="FJ88" s="32" t="s">
        <v>34</v>
      </c>
      <c r="FK88" s="32" t="s">
        <v>34</v>
      </c>
      <c r="FL88" s="32" t="s">
        <v>34</v>
      </c>
      <c r="FM88" s="32" t="s">
        <v>34</v>
      </c>
      <c r="FN88" s="32" t="s">
        <v>34</v>
      </c>
      <c r="FO88" s="32" t="s">
        <v>34</v>
      </c>
      <c r="FP88" s="32" t="s">
        <v>34</v>
      </c>
      <c r="FQ88" s="32" t="s">
        <v>34</v>
      </c>
      <c r="FR88" s="32" t="s">
        <v>34</v>
      </c>
      <c r="FS88" s="32" t="s">
        <v>34</v>
      </c>
      <c r="FT88" s="32" t="s">
        <v>34</v>
      </c>
      <c r="FU88" s="32" t="s">
        <v>34</v>
      </c>
      <c r="FV88" s="32" t="s">
        <v>34</v>
      </c>
      <c r="FW88" s="32" t="s">
        <v>34</v>
      </c>
      <c r="FX88" s="32" t="s">
        <v>34</v>
      </c>
      <c r="FY88" s="32" t="s">
        <v>34</v>
      </c>
      <c r="FZ88" s="32" t="s">
        <v>34</v>
      </c>
      <c r="GA88" s="32" t="s">
        <v>34</v>
      </c>
      <c r="GB88" s="69"/>
      <c r="GC88" s="32" t="s">
        <v>34</v>
      </c>
      <c r="GD88" s="32" t="s">
        <v>34</v>
      </c>
      <c r="GE88" s="32" t="s">
        <v>34</v>
      </c>
      <c r="GF88" s="32" t="s">
        <v>34</v>
      </c>
      <c r="GG88" s="32" t="s">
        <v>34</v>
      </c>
      <c r="GH88" s="69"/>
      <c r="GI88" s="32" t="s">
        <v>34</v>
      </c>
      <c r="GJ88" s="32" t="s">
        <v>34</v>
      </c>
      <c r="GK88" s="32" t="s">
        <v>34</v>
      </c>
      <c r="GL88" s="32" t="s">
        <v>34</v>
      </c>
      <c r="GM88" s="32" t="s">
        <v>34</v>
      </c>
      <c r="GN88" s="32" t="s">
        <v>34</v>
      </c>
      <c r="GO88" s="32" t="s">
        <v>34</v>
      </c>
      <c r="GP88" s="32" t="s">
        <v>34</v>
      </c>
      <c r="GQ88" s="32" t="s">
        <v>34</v>
      </c>
      <c r="GR88" s="32" t="s">
        <v>34</v>
      </c>
      <c r="GS88" s="32" t="s">
        <v>34</v>
      </c>
      <c r="GT88" s="32" t="s">
        <v>34</v>
      </c>
      <c r="GU88" s="32" t="s">
        <v>34</v>
      </c>
      <c r="GV88" s="32" t="s">
        <v>34</v>
      </c>
      <c r="GW88" s="32" t="s">
        <v>34</v>
      </c>
      <c r="GX88" s="32" t="s">
        <v>34</v>
      </c>
      <c r="GY88" s="32" t="s">
        <v>34</v>
      </c>
      <c r="GZ88" s="32" t="s">
        <v>34</v>
      </c>
      <c r="HA88" s="8" t="s">
        <v>34</v>
      </c>
      <c r="HB88" s="32" t="s">
        <v>34</v>
      </c>
      <c r="HC88" s="32" t="s">
        <v>34</v>
      </c>
      <c r="HD88" s="32" t="s">
        <v>34</v>
      </c>
      <c r="HE88" s="32" t="s">
        <v>34</v>
      </c>
      <c r="HF88" s="32" t="s">
        <v>34</v>
      </c>
      <c r="HG88" s="32" t="s">
        <v>34</v>
      </c>
      <c r="HH88" s="32" t="s">
        <v>34</v>
      </c>
      <c r="HI88" s="32" t="s">
        <v>34</v>
      </c>
      <c r="HJ88" s="32" t="s">
        <v>34</v>
      </c>
      <c r="HK88" s="32" t="s">
        <v>34</v>
      </c>
      <c r="HL88" s="32" t="s">
        <v>34</v>
      </c>
      <c r="HM88" s="32" t="s">
        <v>34</v>
      </c>
      <c r="HN88" s="32" t="s">
        <v>34</v>
      </c>
      <c r="HO88" s="32" t="s">
        <v>34</v>
      </c>
      <c r="HP88" s="32" t="s">
        <v>34</v>
      </c>
      <c r="HQ88" s="32" t="s">
        <v>34</v>
      </c>
      <c r="HR88" s="32" t="s">
        <v>34</v>
      </c>
      <c r="HS88" s="32" t="s">
        <v>34</v>
      </c>
      <c r="HT88" s="32" t="s">
        <v>34</v>
      </c>
      <c r="HU88" s="32" t="s">
        <v>34</v>
      </c>
      <c r="HV88" s="32" t="s">
        <v>34</v>
      </c>
      <c r="HW88" s="17" t="s">
        <v>34</v>
      </c>
      <c r="HX88" s="69"/>
      <c r="HY88" s="32" t="s">
        <v>34</v>
      </c>
      <c r="HZ88" s="32" t="s">
        <v>34</v>
      </c>
      <c r="IA88" s="32" t="s">
        <v>34</v>
      </c>
      <c r="IB88" s="32" t="s">
        <v>34</v>
      </c>
      <c r="IC88" s="32" t="s">
        <v>34</v>
      </c>
      <c r="ID88" s="32" t="s">
        <v>34</v>
      </c>
      <c r="IE88" s="32" t="s">
        <v>34</v>
      </c>
      <c r="IF88" s="32" t="s">
        <v>34</v>
      </c>
      <c r="IG88" s="32" t="s">
        <v>34</v>
      </c>
      <c r="IH88" s="32" t="s">
        <v>34</v>
      </c>
      <c r="II88" s="32" t="s">
        <v>34</v>
      </c>
      <c r="IJ88" s="32" t="s">
        <v>34</v>
      </c>
      <c r="IK88" s="32" t="s">
        <v>34</v>
      </c>
      <c r="IL88" s="32" t="s">
        <v>34</v>
      </c>
      <c r="IM88" s="32" t="s">
        <v>34</v>
      </c>
      <c r="IN88" s="32" t="s">
        <v>34</v>
      </c>
      <c r="IO88" s="32" t="s">
        <v>34</v>
      </c>
      <c r="IP88" s="32" t="s">
        <v>34</v>
      </c>
      <c r="IQ88" s="8" t="s">
        <v>34</v>
      </c>
      <c r="IR88" s="32" t="s">
        <v>34</v>
      </c>
      <c r="IS88" s="32" t="s">
        <v>34</v>
      </c>
      <c r="IT88" s="32" t="s">
        <v>34</v>
      </c>
      <c r="IU88" s="32" t="s">
        <v>34</v>
      </c>
      <c r="IV88" s="32" t="s">
        <v>34</v>
      </c>
      <c r="IW88" s="32" t="s">
        <v>34</v>
      </c>
      <c r="IX88" s="32" t="s">
        <v>34</v>
      </c>
      <c r="IY88" s="32" t="s">
        <v>34</v>
      </c>
      <c r="IZ88" s="32" t="s">
        <v>34</v>
      </c>
      <c r="JA88" s="32" t="s">
        <v>34</v>
      </c>
      <c r="JB88" s="32" t="s">
        <v>34</v>
      </c>
      <c r="JC88" s="32" t="s">
        <v>34</v>
      </c>
      <c r="JD88" s="32" t="s">
        <v>34</v>
      </c>
      <c r="JE88" s="32" t="s">
        <v>34</v>
      </c>
      <c r="JF88" s="32" t="s">
        <v>34</v>
      </c>
      <c r="JG88" s="32" t="s">
        <v>34</v>
      </c>
      <c r="JH88" s="32" t="s">
        <v>34</v>
      </c>
      <c r="JI88" s="69"/>
      <c r="JJ88" s="32" t="s">
        <v>34</v>
      </c>
      <c r="JK88" s="32" t="s">
        <v>34</v>
      </c>
      <c r="JL88" s="32" t="s">
        <v>34</v>
      </c>
      <c r="JM88" s="32" t="s">
        <v>34</v>
      </c>
      <c r="JN88" s="32" t="s">
        <v>34</v>
      </c>
      <c r="JO88" s="32" t="s">
        <v>34</v>
      </c>
      <c r="JP88" s="32" t="s">
        <v>34</v>
      </c>
      <c r="JQ88" s="32" t="s">
        <v>34</v>
      </c>
      <c r="JR88" s="32" t="s">
        <v>34</v>
      </c>
      <c r="JS88" s="32" t="s">
        <v>34</v>
      </c>
      <c r="JT88" s="32" t="s">
        <v>34</v>
      </c>
      <c r="JU88" s="69"/>
      <c r="JV88" s="32" t="s">
        <v>34</v>
      </c>
      <c r="JW88" s="32" t="s">
        <v>34</v>
      </c>
      <c r="JX88" s="32" t="s">
        <v>34</v>
      </c>
      <c r="JY88" s="32" t="s">
        <v>34</v>
      </c>
      <c r="JZ88" s="32" t="s">
        <v>34</v>
      </c>
      <c r="KA88" s="32" t="s">
        <v>34</v>
      </c>
      <c r="KB88" s="32" t="s">
        <v>34</v>
      </c>
      <c r="KC88" s="32" t="s">
        <v>34</v>
      </c>
      <c r="KD88" s="32" t="s">
        <v>34</v>
      </c>
      <c r="KE88" s="32" t="s">
        <v>34</v>
      </c>
      <c r="KF88" s="32" t="s">
        <v>34</v>
      </c>
      <c r="KG88" s="32" t="s">
        <v>34</v>
      </c>
      <c r="KH88" s="32" t="s">
        <v>34</v>
      </c>
      <c r="KI88" s="32" t="s">
        <v>34</v>
      </c>
      <c r="KJ88" s="32" t="s">
        <v>34</v>
      </c>
      <c r="KK88" s="32" t="s">
        <v>34</v>
      </c>
      <c r="KL88" s="32" t="s">
        <v>34</v>
      </c>
      <c r="KM88" s="69"/>
      <c r="KN88" s="32" t="s">
        <v>34</v>
      </c>
      <c r="KO88" s="32" t="s">
        <v>34</v>
      </c>
      <c r="KP88" s="32" t="s">
        <v>34</v>
      </c>
      <c r="KQ88" s="32" t="s">
        <v>34</v>
      </c>
      <c r="KR88" s="32" t="s">
        <v>34</v>
      </c>
      <c r="KS88" s="32" t="s">
        <v>34</v>
      </c>
      <c r="KT88" s="32" t="s">
        <v>34</v>
      </c>
      <c r="KU88" s="32" t="s">
        <v>34</v>
      </c>
      <c r="KV88" s="32" t="s">
        <v>34</v>
      </c>
      <c r="KW88" s="32" t="s">
        <v>34</v>
      </c>
      <c r="KX88" s="32" t="s">
        <v>34</v>
      </c>
      <c r="KY88" s="32" t="s">
        <v>34</v>
      </c>
      <c r="KZ88" s="32" t="s">
        <v>34</v>
      </c>
      <c r="LA88" s="32" t="s">
        <v>34</v>
      </c>
      <c r="LB88" s="32" t="s">
        <v>34</v>
      </c>
      <c r="LC88" s="32" t="s">
        <v>34</v>
      </c>
      <c r="LD88" s="32" t="s">
        <v>34</v>
      </c>
      <c r="LE88" s="32" t="s">
        <v>34</v>
      </c>
      <c r="LF88" s="32" t="s">
        <v>34</v>
      </c>
      <c r="LG88" s="32" t="s">
        <v>34</v>
      </c>
      <c r="LH88" s="69"/>
      <c r="LI88" s="32" t="s">
        <v>34</v>
      </c>
      <c r="LJ88" s="32" t="s">
        <v>34</v>
      </c>
      <c r="LK88" s="32" t="s">
        <v>34</v>
      </c>
      <c r="LL88" s="32" t="s">
        <v>34</v>
      </c>
      <c r="LM88" s="32" t="s">
        <v>34</v>
      </c>
      <c r="LN88" s="69"/>
      <c r="LO88" s="32" t="s">
        <v>34</v>
      </c>
      <c r="LP88" s="32" t="s">
        <v>34</v>
      </c>
      <c r="LQ88" s="32" t="s">
        <v>34</v>
      </c>
      <c r="LR88" s="32" t="s">
        <v>34</v>
      </c>
      <c r="LS88" s="32" t="s">
        <v>34</v>
      </c>
      <c r="LT88" s="32" t="s">
        <v>34</v>
      </c>
      <c r="LU88" s="32" t="s">
        <v>34</v>
      </c>
      <c r="LV88" s="32" t="s">
        <v>34</v>
      </c>
      <c r="LW88" s="32" t="s">
        <v>34</v>
      </c>
      <c r="LX88" s="32" t="s">
        <v>34</v>
      </c>
      <c r="LY88" s="32" t="s">
        <v>34</v>
      </c>
      <c r="LZ88" s="32" t="s">
        <v>34</v>
      </c>
      <c r="MA88" s="32" t="s">
        <v>34</v>
      </c>
      <c r="MB88" s="32" t="s">
        <v>34</v>
      </c>
      <c r="MC88" s="32" t="s">
        <v>34</v>
      </c>
      <c r="MD88" s="32" t="s">
        <v>34</v>
      </c>
      <c r="ME88" s="32" t="s">
        <v>34</v>
      </c>
      <c r="MF88" s="32" t="s">
        <v>34</v>
      </c>
      <c r="MG88" s="8" t="s">
        <v>34</v>
      </c>
      <c r="MH88" s="32" t="s">
        <v>34</v>
      </c>
      <c r="MI88" s="32" t="s">
        <v>34</v>
      </c>
      <c r="MJ88" s="32" t="s">
        <v>34</v>
      </c>
      <c r="MK88" s="32" t="s">
        <v>34</v>
      </c>
      <c r="ML88" s="32" t="s">
        <v>34</v>
      </c>
      <c r="MM88" s="32" t="s">
        <v>34</v>
      </c>
      <c r="MN88" s="32" t="s">
        <v>34</v>
      </c>
      <c r="MO88" s="32" t="s">
        <v>34</v>
      </c>
      <c r="MP88" s="32" t="s">
        <v>34</v>
      </c>
      <c r="MQ88" s="32" t="s">
        <v>34</v>
      </c>
      <c r="MR88" s="32" t="s">
        <v>34</v>
      </c>
      <c r="MS88" s="32" t="s">
        <v>34</v>
      </c>
      <c r="MT88" s="32" t="s">
        <v>34</v>
      </c>
      <c r="MU88" s="32" t="s">
        <v>34</v>
      </c>
      <c r="MV88" s="32" t="s">
        <v>34</v>
      </c>
      <c r="MW88" s="32" t="s">
        <v>34</v>
      </c>
      <c r="MX88" s="32" t="s">
        <v>34</v>
      </c>
      <c r="MY88" s="32" t="s">
        <v>34</v>
      </c>
      <c r="MZ88" s="32" t="s">
        <v>34</v>
      </c>
      <c r="NA88" s="32" t="s">
        <v>34</v>
      </c>
      <c r="NB88" s="17" t="s">
        <v>34</v>
      </c>
      <c r="NC88" s="69"/>
      <c r="ND88" s="32" t="s">
        <v>34</v>
      </c>
      <c r="NE88" s="32" t="s">
        <v>34</v>
      </c>
      <c r="NF88" s="32" t="s">
        <v>34</v>
      </c>
      <c r="NG88" s="32" t="s">
        <v>34</v>
      </c>
      <c r="NH88" s="32" t="s">
        <v>34</v>
      </c>
      <c r="NI88" s="32" t="s">
        <v>34</v>
      </c>
      <c r="NJ88" s="32" t="s">
        <v>34</v>
      </c>
      <c r="NK88" s="32" t="s">
        <v>34</v>
      </c>
      <c r="NL88" s="32" t="s">
        <v>34</v>
      </c>
      <c r="NM88" s="32" t="s">
        <v>34</v>
      </c>
      <c r="NN88" s="32" t="s">
        <v>34</v>
      </c>
      <c r="NO88" s="32" t="s">
        <v>34</v>
      </c>
      <c r="NP88" s="32" t="s">
        <v>34</v>
      </c>
      <c r="NQ88" s="32" t="s">
        <v>34</v>
      </c>
      <c r="NR88" s="32" t="s">
        <v>34</v>
      </c>
      <c r="NS88" s="32" t="s">
        <v>34</v>
      </c>
      <c r="NT88" s="32" t="s">
        <v>34</v>
      </c>
      <c r="NU88" s="32" t="s">
        <v>34</v>
      </c>
      <c r="NV88" s="8" t="s">
        <v>34</v>
      </c>
      <c r="NW88" s="32" t="s">
        <v>34</v>
      </c>
      <c r="NX88" s="32" t="s">
        <v>34</v>
      </c>
      <c r="NY88" s="32" t="s">
        <v>34</v>
      </c>
      <c r="NZ88" s="32" t="s">
        <v>34</v>
      </c>
      <c r="OA88" s="32" t="s">
        <v>34</v>
      </c>
      <c r="OB88" s="32" t="s">
        <v>34</v>
      </c>
      <c r="OC88" s="32" t="s">
        <v>34</v>
      </c>
      <c r="OD88" s="32" t="s">
        <v>34</v>
      </c>
      <c r="OE88" s="32" t="s">
        <v>34</v>
      </c>
      <c r="OF88" s="32" t="s">
        <v>34</v>
      </c>
      <c r="OG88" s="32" t="s">
        <v>34</v>
      </c>
      <c r="OH88" s="32" t="s">
        <v>34</v>
      </c>
      <c r="OI88" s="32" t="s">
        <v>34</v>
      </c>
      <c r="OJ88" s="32" t="s">
        <v>34</v>
      </c>
      <c r="OK88" s="32" t="s">
        <v>34</v>
      </c>
      <c r="OL88" s="32" t="s">
        <v>34</v>
      </c>
      <c r="OM88" s="32" t="s">
        <v>34</v>
      </c>
      <c r="ON88" s="69"/>
      <c r="OO88" s="32" t="s">
        <v>34</v>
      </c>
      <c r="OP88" s="32" t="s">
        <v>34</v>
      </c>
      <c r="OQ88" s="32" t="s">
        <v>34</v>
      </c>
      <c r="OR88" s="32" t="s">
        <v>34</v>
      </c>
      <c r="OS88" s="32" t="s">
        <v>34</v>
      </c>
      <c r="OT88" s="32" t="s">
        <v>34</v>
      </c>
      <c r="OU88" s="32" t="s">
        <v>34</v>
      </c>
      <c r="OV88" s="32" t="s">
        <v>34</v>
      </c>
      <c r="OW88" s="32" t="s">
        <v>34</v>
      </c>
      <c r="OX88" s="32" t="s">
        <v>34</v>
      </c>
      <c r="OY88" s="32" t="s">
        <v>34</v>
      </c>
    </row>
    <row r="89" spans="1:415" ht="15.75" x14ac:dyDescent="0.25">
      <c r="A89" s="10">
        <v>88</v>
      </c>
      <c r="B89" s="3" t="s">
        <v>472</v>
      </c>
      <c r="C89" s="3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9"/>
      <c r="K89" s="32">
        <v>1037.912133</v>
      </c>
      <c r="L89" s="32">
        <v>16.474795761904762</v>
      </c>
      <c r="M89" s="32">
        <v>0.26400000000000001</v>
      </c>
      <c r="N89" s="32">
        <v>552.4433901820729</v>
      </c>
      <c r="O89" s="32">
        <v>8.7689427013027448</v>
      </c>
      <c r="P89" s="32">
        <v>246.60920773669469</v>
      </c>
      <c r="Q89" s="32">
        <v>3.9144318688364237</v>
      </c>
      <c r="R89" s="32">
        <v>399.52629895938378</v>
      </c>
      <c r="S89" s="32">
        <v>6.3416872850695842</v>
      </c>
      <c r="T89" s="32">
        <v>0.35599999999999998</v>
      </c>
      <c r="U89" s="32">
        <v>6.0999999999999999E-2</v>
      </c>
      <c r="V89" s="32">
        <v>33.035447089275188</v>
      </c>
      <c r="W89" s="32">
        <v>66.964552910724834</v>
      </c>
      <c r="X89" s="32">
        <v>86.875003249121875</v>
      </c>
      <c r="Y89" s="32">
        <v>80.166998761000826</v>
      </c>
      <c r="Z89" s="32">
        <v>0.48123889668339326</v>
      </c>
      <c r="AA89" s="32">
        <v>2.1567502962730001</v>
      </c>
      <c r="AB89" s="69"/>
      <c r="AC89" s="32">
        <v>323.81328300000001</v>
      </c>
      <c r="AD89" s="32">
        <v>5.1398933809523815</v>
      </c>
      <c r="AE89" s="32">
        <v>1.6E-2</v>
      </c>
      <c r="AF89" s="32">
        <v>1355.4135929999998</v>
      </c>
      <c r="AG89" s="32">
        <v>21.514501476190471</v>
      </c>
      <c r="AH89" s="32">
        <v>0.104</v>
      </c>
      <c r="AI89" s="32">
        <v>768.78722835602093</v>
      </c>
      <c r="AJ89" s="32">
        <v>12.202971878666999</v>
      </c>
      <c r="AK89" s="32">
        <v>277.75660768586391</v>
      </c>
      <c r="AL89" s="32">
        <v>4.4088350426327603</v>
      </c>
      <c r="AM89" s="32">
        <v>523.27191802094239</v>
      </c>
      <c r="AN89" s="32">
        <v>8.3059034606498798</v>
      </c>
      <c r="AO89" s="32">
        <v>0.19</v>
      </c>
      <c r="AP89" s="32">
        <v>6.0999999999999999E-2</v>
      </c>
      <c r="AQ89" s="32">
        <v>29.530693207505532</v>
      </c>
      <c r="AR89" s="32">
        <v>70.469306792494464</v>
      </c>
      <c r="AS89" s="32">
        <v>57.446801208053778</v>
      </c>
      <c r="AT89" s="32">
        <v>99.390856626035557</v>
      </c>
      <c r="AU89" s="32">
        <v>0.22658554155487148</v>
      </c>
      <c r="AV89" s="32">
        <v>5.9819068052573146</v>
      </c>
      <c r="AW89" s="69"/>
      <c r="AX89" s="32">
        <v>-32.748838111748675</v>
      </c>
      <c r="AY89" s="32">
        <v>-26.532239765846207</v>
      </c>
      <c r="AZ89" s="32">
        <v>86.956521739130451</v>
      </c>
      <c r="BA89" s="32">
        <v>60.805860805860789</v>
      </c>
      <c r="BB89" s="32">
        <v>11.203356528451186</v>
      </c>
      <c r="BC89" s="69"/>
      <c r="BD89" s="32">
        <v>336.61720299999996</v>
      </c>
      <c r="BE89" s="32">
        <v>5.3431302063492057</v>
      </c>
      <c r="BF89" s="32">
        <v>1.7000000000000001E-2</v>
      </c>
      <c r="BG89" s="32">
        <v>903.45277299999987</v>
      </c>
      <c r="BH89" s="32">
        <v>14.340520206349204</v>
      </c>
      <c r="BI89" s="32">
        <v>6.2E-2</v>
      </c>
      <c r="BJ89" s="32">
        <v>524.78284325563902</v>
      </c>
      <c r="BK89" s="32">
        <v>8.3298864008831597</v>
      </c>
      <c r="BL89" s="32">
        <v>-38.829422586466166</v>
      </c>
      <c r="BM89" s="32">
        <v>-0.61634004105501849</v>
      </c>
      <c r="BN89" s="32">
        <v>242.97671033458641</v>
      </c>
      <c r="BO89" s="32">
        <v>3.8567731799140699</v>
      </c>
      <c r="BP89" s="32">
        <v>97.075105235294131</v>
      </c>
      <c r="BQ89" s="32">
        <v>1.54087468627451</v>
      </c>
      <c r="BR89" s="32">
        <v>381.0080789607843</v>
      </c>
      <c r="BS89" s="32">
        <v>6.0477472850918144</v>
      </c>
      <c r="BT89" s="32">
        <v>5.0999999999999997E-2</v>
      </c>
      <c r="BU89" s="32">
        <v>-123.35540940243904</v>
      </c>
      <c r="BV89" s="8">
        <v>-1.9580223714672862</v>
      </c>
      <c r="BW89" s="32">
        <v>614.20373324390243</v>
      </c>
      <c r="BX89" s="32" t="s">
        <v>34</v>
      </c>
      <c r="BY89" s="32">
        <v>8.1000000000000003E-2</v>
      </c>
      <c r="BZ89" s="32">
        <v>49959.443583500004</v>
      </c>
      <c r="CA89" s="32">
        <v>19036.329530999999</v>
      </c>
      <c r="CB89" s="32">
        <v>0.13200000000000001</v>
      </c>
      <c r="CC89" s="32">
        <v>9.0999999999999998E-2</v>
      </c>
      <c r="CD89" s="32">
        <v>38.636363636363633</v>
      </c>
      <c r="CE89" s="32">
        <v>19.042178084942226</v>
      </c>
      <c r="CF89" s="32">
        <v>15.9940361221998</v>
      </c>
      <c r="CG89" s="32">
        <v>14.985329386523267</v>
      </c>
      <c r="CH89" s="32">
        <v>81.009891707259115</v>
      </c>
      <c r="CI89" s="32">
        <v>19.042178084942226</v>
      </c>
      <c r="CJ89" s="32">
        <v>30.054282227810702</v>
      </c>
      <c r="CK89" s="32">
        <v>14.985329386523267</v>
      </c>
      <c r="CL89" s="32">
        <v>24.520790121353329</v>
      </c>
      <c r="CM89" s="32" t="s">
        <v>34</v>
      </c>
      <c r="CN89" s="32" t="s">
        <v>34</v>
      </c>
      <c r="CO89" s="32" t="s">
        <v>34</v>
      </c>
      <c r="CP89" s="32" t="s">
        <v>34</v>
      </c>
      <c r="CQ89" s="8" t="s">
        <v>34</v>
      </c>
      <c r="CR89" s="69"/>
      <c r="CS89" s="32">
        <v>1337.5241299999998</v>
      </c>
      <c r="CT89" s="32">
        <v>21.230541746031744</v>
      </c>
      <c r="CU89" s="32">
        <v>0.02</v>
      </c>
      <c r="CV89" s="32">
        <v>1862.8281010000001</v>
      </c>
      <c r="CW89" s="32">
        <v>29.568700015873016</v>
      </c>
      <c r="CX89" s="32">
        <v>5.8999999999999997E-2</v>
      </c>
      <c r="CY89" s="32">
        <v>1136.8146167938928</v>
      </c>
      <c r="CZ89" s="32">
        <v>18.044676457045917</v>
      </c>
      <c r="DA89" s="32">
        <v>118.01589938167939</v>
      </c>
      <c r="DB89" s="32">
        <v>1.873268244153641</v>
      </c>
      <c r="DC89" s="32">
        <v>627.41525808778613</v>
      </c>
      <c r="DD89" s="32">
        <v>9.9589723505997796</v>
      </c>
      <c r="DE89" s="32">
        <v>223.59863510526316</v>
      </c>
      <c r="DF89" s="32">
        <v>3.5491846842105264</v>
      </c>
      <c r="DG89" s="32">
        <v>1107.3658100210528</v>
      </c>
      <c r="DH89" s="32">
        <v>17.57723507969925</v>
      </c>
      <c r="DI89" s="32">
        <v>8.4000000000000005E-2</v>
      </c>
      <c r="DJ89" s="32">
        <v>-160.60520877777782</v>
      </c>
      <c r="DK89" s="8">
        <v>-2.5492890282186957</v>
      </c>
      <c r="DL89" s="32">
        <v>1214.5267457777775</v>
      </c>
      <c r="DM89" s="32">
        <v>1.8170075251322755</v>
      </c>
      <c r="DN89" s="32">
        <v>4.4999999999999998E-2</v>
      </c>
      <c r="DO89" s="32">
        <v>42800.872223999999</v>
      </c>
      <c r="DP89" s="32">
        <v>105203.14228949999</v>
      </c>
      <c r="DQ89" s="32">
        <v>0.13</v>
      </c>
      <c r="DR89" s="32">
        <v>9.0999999999999998E-2</v>
      </c>
      <c r="DS89" s="32">
        <v>64.615384615384613</v>
      </c>
      <c r="DT89" s="32">
        <v>8.7868153154063524</v>
      </c>
      <c r="DU89" s="32">
        <v>11.957781244869171</v>
      </c>
      <c r="DV89" s="32">
        <v>16.647925590879183</v>
      </c>
      <c r="DW89" s="32">
        <v>84.640969038558694</v>
      </c>
      <c r="DX89" s="32">
        <v>8.7868153154063524</v>
      </c>
      <c r="DY89" s="32">
        <v>11.957781244869171</v>
      </c>
      <c r="DZ89" s="32">
        <v>16.647925590879183</v>
      </c>
      <c r="EA89" s="32">
        <v>0.1773870869316303</v>
      </c>
      <c r="EB89" s="32">
        <v>10.501486513040172</v>
      </c>
      <c r="EC89" s="69"/>
      <c r="ED89" s="32">
        <v>-73.667875433561292</v>
      </c>
      <c r="EE89" s="32">
        <v>-26.235891169738217</v>
      </c>
      <c r="EF89" s="32">
        <v>-78.911063771919913</v>
      </c>
      <c r="EG89" s="32">
        <v>-69.362105418656057</v>
      </c>
      <c r="EH89" s="32">
        <v>4.9586776859504171</v>
      </c>
      <c r="EI89" s="32">
        <v>-119.57257219214716</v>
      </c>
      <c r="EJ89" s="32">
        <v>1.5267175572519098</v>
      </c>
      <c r="EK89" s="32">
        <v>-164.8348482308451</v>
      </c>
      <c r="EL89" s="32">
        <v>-1058.504838016607</v>
      </c>
      <c r="EM89" s="32">
        <v>45.705846028386752</v>
      </c>
      <c r="EN89" s="32">
        <v>-10.511698562437594</v>
      </c>
      <c r="EO89" s="69"/>
      <c r="EP89" s="32">
        <v>1080.8143270000003</v>
      </c>
      <c r="EQ89" s="32">
        <v>17.155782968253973</v>
      </c>
      <c r="ER89" s="32">
        <v>0.17399999999999999</v>
      </c>
      <c r="ES89" s="32">
        <v>632.88183376579946</v>
      </c>
      <c r="ET89" s="32">
        <v>10.045743393107928</v>
      </c>
      <c r="EU89" s="32">
        <v>287.39967294423786</v>
      </c>
      <c r="EV89" s="32">
        <v>4.5618995705434582</v>
      </c>
      <c r="EW89" s="32">
        <v>460.14075335501866</v>
      </c>
      <c r="EX89" s="32">
        <v>7.3038214818256932</v>
      </c>
      <c r="EY89" s="32">
        <v>0.26800000000000002</v>
      </c>
      <c r="EZ89" s="32">
        <v>4.8000000000000001E-2</v>
      </c>
      <c r="FA89" s="32">
        <v>29.175304008061261</v>
      </c>
      <c r="FB89" s="32">
        <v>68.324993174095866</v>
      </c>
      <c r="FC89" s="32">
        <v>79.90867429604792</v>
      </c>
      <c r="FD89" s="32">
        <v>99.870505882138204</v>
      </c>
      <c r="FE89" s="32">
        <v>0.34853400419470476</v>
      </c>
      <c r="FF89" s="32">
        <v>3.1010297818637373</v>
      </c>
      <c r="FG89" s="69"/>
      <c r="FH89" s="32">
        <v>507.84728099999995</v>
      </c>
      <c r="FI89" s="32">
        <v>8.0610679523809523</v>
      </c>
      <c r="FJ89" s="32">
        <v>2.1000000000000001E-2</v>
      </c>
      <c r="FK89" s="32">
        <v>1287.3904549999995</v>
      </c>
      <c r="FL89" s="32">
        <v>20.434769126984119</v>
      </c>
      <c r="FM89" s="32">
        <v>9.9000000000000005E-2</v>
      </c>
      <c r="FN89" s="32">
        <v>789.93240192753615</v>
      </c>
      <c r="FO89" s="32">
        <v>12.538609554405335</v>
      </c>
      <c r="FP89" s="32">
        <v>225.49411142995166</v>
      </c>
      <c r="FQ89" s="32">
        <v>3.5792716099992328</v>
      </c>
      <c r="FR89" s="32">
        <v>507.7132566787439</v>
      </c>
      <c r="FS89" s="32">
        <v>8.0589405822022844</v>
      </c>
      <c r="FT89" s="32">
        <v>0.20599999999999999</v>
      </c>
      <c r="FU89" s="32">
        <v>4.8000000000000001E-2</v>
      </c>
      <c r="FV89" s="32">
        <v>27.462720222418792</v>
      </c>
      <c r="FW89" s="32">
        <v>72.537279777581219</v>
      </c>
      <c r="FX89" s="32">
        <v>87.036969845919614</v>
      </c>
      <c r="FY89" s="32">
        <v>97.791483180719766</v>
      </c>
      <c r="FZ89" s="32">
        <v>0.29066055503697419</v>
      </c>
      <c r="GA89" s="32">
        <v>4.4291887312890941</v>
      </c>
      <c r="GB89" s="69"/>
      <c r="GC89" s="32">
        <v>-22.076046784168721</v>
      </c>
      <c r="GD89" s="32">
        <v>-17.445799414824361</v>
      </c>
      <c r="GE89" s="32">
        <v>54.945054945054927</v>
      </c>
      <c r="GF89" s="32">
        <v>26.160337552742629</v>
      </c>
      <c r="GG89" s="32">
        <v>6.0474700836080109</v>
      </c>
      <c r="GH89" s="69"/>
      <c r="GI89" s="32">
        <v>1915.901235</v>
      </c>
      <c r="GJ89" s="32">
        <v>30.411130714285715</v>
      </c>
      <c r="GK89" s="32">
        <v>5.7000000000000002E-2</v>
      </c>
      <c r="GL89" s="32">
        <v>1915.901235</v>
      </c>
      <c r="GM89" s="32">
        <v>30.411130714285715</v>
      </c>
      <c r="GN89" s="32">
        <v>5.7000000000000002E-2</v>
      </c>
      <c r="GO89" s="32">
        <v>1123.352290013986</v>
      </c>
      <c r="GP89" s="32">
        <v>17.830988730380732</v>
      </c>
      <c r="GQ89" s="32">
        <v>114.65479251748252</v>
      </c>
      <c r="GR89" s="32">
        <v>1.8199173415473415</v>
      </c>
      <c r="GS89" s="32">
        <v>619.00354126573427</v>
      </c>
      <c r="GT89" s="32">
        <v>9.8254530359640366</v>
      </c>
      <c r="GU89" s="32">
        <v>211.44928978571429</v>
      </c>
      <c r="GV89" s="32">
        <v>3.3563379331065759</v>
      </c>
      <c r="GW89" s="32">
        <v>1059.5510850612247</v>
      </c>
      <c r="GX89" s="32">
        <v>16.818271191448012</v>
      </c>
      <c r="GY89" s="32">
        <v>9.1999999999999998E-2</v>
      </c>
      <c r="GZ89" s="32">
        <v>-96.142112644444452</v>
      </c>
      <c r="HA89" s="8">
        <v>-1.5260652800705468</v>
      </c>
      <c r="HB89" s="32">
        <v>1262.2971363555555</v>
      </c>
      <c r="HC89" s="32">
        <v>-5.6976352733686148E-2</v>
      </c>
      <c r="HD89" s="32">
        <v>0.05</v>
      </c>
      <c r="HE89" s="32">
        <v>55839.685761000001</v>
      </c>
      <c r="HF89" s="32">
        <v>103191.093821</v>
      </c>
      <c r="HG89" s="32">
        <v>0.14199999999999999</v>
      </c>
      <c r="HH89" s="32">
        <v>0.11700000000000001</v>
      </c>
      <c r="HI89" s="32">
        <v>64.788732394366207</v>
      </c>
      <c r="HJ89" s="32">
        <v>7.2215162118510827</v>
      </c>
      <c r="HK89" s="32">
        <v>8.6120579229779057</v>
      </c>
      <c r="HL89" s="32">
        <v>15.882576658358563</v>
      </c>
      <c r="HM89" s="32">
        <v>84.378287004751044</v>
      </c>
      <c r="HN89" s="32">
        <v>7.2215162118510827</v>
      </c>
      <c r="HO89" s="32">
        <v>29.785525895397679</v>
      </c>
      <c r="HP89" s="32">
        <v>15.882576658358563</v>
      </c>
      <c r="HQ89" s="32">
        <v>22.875726460137908</v>
      </c>
      <c r="HR89" s="32">
        <v>64.788732394366207</v>
      </c>
      <c r="HS89" s="32" t="s">
        <v>34</v>
      </c>
      <c r="HT89" s="32" t="s">
        <v>34</v>
      </c>
      <c r="HU89" s="32" t="s">
        <v>34</v>
      </c>
      <c r="HV89" s="32" t="s">
        <v>34</v>
      </c>
      <c r="HW89" s="8" t="s">
        <v>34</v>
      </c>
      <c r="HX89" s="69"/>
      <c r="HY89" s="32">
        <v>1260.3038320000001</v>
      </c>
      <c r="HZ89" s="32">
        <v>20.004822730158732</v>
      </c>
      <c r="IA89" s="32">
        <v>2.1999999999999999E-2</v>
      </c>
      <c r="IB89" s="32">
        <v>1870.0776329999999</v>
      </c>
      <c r="IC89" s="32">
        <v>29.683771952380951</v>
      </c>
      <c r="ID89" s="32">
        <v>0.06</v>
      </c>
      <c r="IE89" s="32">
        <v>1098.7748753055555</v>
      </c>
      <c r="IF89" s="32">
        <v>17.440871036596118</v>
      </c>
      <c r="IG89" s="32">
        <v>73.606087861111106</v>
      </c>
      <c r="IH89" s="32">
        <v>1.1683506009700175</v>
      </c>
      <c r="II89" s="32">
        <v>586.19048158333328</v>
      </c>
      <c r="IJ89" s="32">
        <v>9.3046108187830683</v>
      </c>
      <c r="IK89" s="32">
        <v>191.67789291111112</v>
      </c>
      <c r="IL89" s="32">
        <v>3.0425062366843032</v>
      </c>
      <c r="IM89" s="32">
        <v>977.48074283333324</v>
      </c>
      <c r="IN89" s="32">
        <v>15.515567346560845</v>
      </c>
      <c r="IO89" s="32">
        <v>8.5999999999999993E-2</v>
      </c>
      <c r="IP89" s="32">
        <v>-123.1802538888889</v>
      </c>
      <c r="IQ89" s="8">
        <v>-1.9552421252204588</v>
      </c>
      <c r="IR89" s="32">
        <v>1300.9317627592591</v>
      </c>
      <c r="IS89" s="32">
        <v>0.79638810787771908</v>
      </c>
      <c r="IT89" s="32">
        <v>5.6000000000000001E-2</v>
      </c>
      <c r="IU89" s="32">
        <v>69310.172817999992</v>
      </c>
      <c r="IV89" s="32">
        <v>87974.989073500008</v>
      </c>
      <c r="IW89" s="32">
        <v>0.14299999999999999</v>
      </c>
      <c r="IX89" s="32">
        <v>0.11700000000000001</v>
      </c>
      <c r="IY89" s="32">
        <v>60.139860139860133</v>
      </c>
      <c r="IZ89" s="32">
        <v>5.8197389021338424</v>
      </c>
      <c r="JA89" s="32">
        <v>9.7393698858792845</v>
      </c>
      <c r="JB89" s="32">
        <v>15.155204174941719</v>
      </c>
      <c r="JC89" s="32">
        <v>86.875733683456701</v>
      </c>
      <c r="JD89" s="32">
        <v>5.8197389021338424</v>
      </c>
      <c r="JE89" s="32">
        <v>9.7393698858792845</v>
      </c>
      <c r="JF89" s="32">
        <v>15.155204174941719</v>
      </c>
      <c r="JG89" s="32">
        <v>0.20906572934833503</v>
      </c>
      <c r="JH89" s="32">
        <v>8.9449267406432185</v>
      </c>
      <c r="JI89" s="69"/>
      <c r="JJ89" s="32">
        <v>2.2120619460494551</v>
      </c>
      <c r="JK89" s="32">
        <v>-24.6560728591583</v>
      </c>
      <c r="JL89" s="32">
        <v>9.809012005758186</v>
      </c>
      <c r="JM89" s="32">
        <v>2.4207003576967754</v>
      </c>
      <c r="JN89" s="32">
        <v>-5.1282051282051206</v>
      </c>
      <c r="JO89" s="32">
        <v>41.281805750610879</v>
      </c>
      <c r="JP89" s="32">
        <v>-0.70175438596491302</v>
      </c>
      <c r="JQ89" s="32">
        <v>-124.17670483925885</v>
      </c>
      <c r="JR89" s="32">
        <v>38.696761805644975</v>
      </c>
      <c r="JS89" s="32">
        <v>-29.690119484560778</v>
      </c>
      <c r="JT89" s="32">
        <v>4.687013464805764</v>
      </c>
      <c r="JU89" s="69"/>
      <c r="JV89" s="32">
        <v>959.17693499999996</v>
      </c>
      <c r="JW89" s="32">
        <v>15.225030714285714</v>
      </c>
      <c r="JX89" s="32">
        <v>0.28100000000000003</v>
      </c>
      <c r="JY89" s="32">
        <v>500.13642755936678</v>
      </c>
      <c r="JZ89" s="32">
        <v>7.9386734533232826</v>
      </c>
      <c r="KA89" s="32">
        <v>199.33867567282314</v>
      </c>
      <c r="KB89" s="32">
        <v>3.1641059630606847</v>
      </c>
      <c r="KC89" s="32">
        <v>349.73755161609495</v>
      </c>
      <c r="KD89" s="32">
        <v>5.5513897081919836</v>
      </c>
      <c r="KE89" s="32">
        <v>0.378</v>
      </c>
      <c r="KF89" s="32">
        <v>5.8000000000000003E-2</v>
      </c>
      <c r="KG89" s="32">
        <v>28.653704473724538</v>
      </c>
      <c r="KH89" s="32">
        <v>71.346295526275469</v>
      </c>
      <c r="KI89" s="32">
        <v>86.363556164963626</v>
      </c>
      <c r="KJ89" s="32">
        <v>81.03364667778466</v>
      </c>
      <c r="KK89" s="32">
        <v>0.47949425099249149</v>
      </c>
      <c r="KL89" s="32">
        <v>2.0003929828452103</v>
      </c>
      <c r="KM89" s="69"/>
      <c r="KN89" s="32">
        <v>484.69199700000001</v>
      </c>
      <c r="KO89" s="32">
        <v>7.6935237619047623</v>
      </c>
      <c r="KP89" s="32">
        <v>2.1000000000000001E-2</v>
      </c>
      <c r="KQ89" s="32">
        <v>1262.9006609999999</v>
      </c>
      <c r="KR89" s="32">
        <v>20.046042238095236</v>
      </c>
      <c r="KS89" s="32">
        <v>9.6000000000000002E-2</v>
      </c>
      <c r="KT89" s="32">
        <v>783.203026142157</v>
      </c>
      <c r="KU89" s="32">
        <v>12.431794065748523</v>
      </c>
      <c r="KV89" s="32">
        <v>245.47644368627445</v>
      </c>
      <c r="KW89" s="32">
        <v>3.8964514870837212</v>
      </c>
      <c r="KX89" s="32">
        <v>514.33973491421568</v>
      </c>
      <c r="KY89" s="32">
        <v>8.1641227764161215</v>
      </c>
      <c r="KZ89" s="32">
        <v>0.20300000000000001</v>
      </c>
      <c r="LA89" s="32">
        <v>5.8000000000000003E-2</v>
      </c>
      <c r="LB89" s="32">
        <v>28.704399979572795</v>
      </c>
      <c r="LC89" s="32">
        <v>71.295600020427216</v>
      </c>
      <c r="LD89" s="32">
        <v>84.347851244650712</v>
      </c>
      <c r="LE89" s="32">
        <v>98.457911973778991</v>
      </c>
      <c r="LF89" s="32">
        <v>0.28030082880231888</v>
      </c>
      <c r="LG89" s="32">
        <v>4.5055188255995349</v>
      </c>
      <c r="LH89" s="69"/>
      <c r="LI89" s="32">
        <v>-44.114064718628249</v>
      </c>
      <c r="LJ89" s="32">
        <v>-27.336914475600508</v>
      </c>
      <c r="LK89" s="32">
        <v>98.143236074270561</v>
      </c>
      <c r="LL89" s="32">
        <v>60.24096385542169</v>
      </c>
      <c r="LM89" s="32">
        <v>-0.17676841426841278</v>
      </c>
      <c r="LN89" s="69"/>
      <c r="LO89" s="32">
        <v>1868.27424</v>
      </c>
      <c r="LP89" s="32">
        <v>29.655146666666667</v>
      </c>
      <c r="LQ89" s="32">
        <v>5.8999999999999997E-2</v>
      </c>
      <c r="LR89" s="32">
        <v>1868.27424</v>
      </c>
      <c r="LS89" s="32">
        <v>29.655146666666667</v>
      </c>
      <c r="LT89" s="32">
        <v>5.8999999999999997E-2</v>
      </c>
      <c r="LU89" s="32">
        <v>1101.0821231013513</v>
      </c>
      <c r="LV89" s="32">
        <v>17.477494017481767</v>
      </c>
      <c r="LW89" s="32">
        <v>93.275949371621621</v>
      </c>
      <c r="LX89" s="32">
        <v>1.480570624946375</v>
      </c>
      <c r="LY89" s="32">
        <v>597.17903623648647</v>
      </c>
      <c r="LZ89" s="32">
        <v>9.4790323212140706</v>
      </c>
      <c r="MA89" s="32">
        <v>208.51226967021276</v>
      </c>
      <c r="MB89" s="32">
        <v>3.3097185661938533</v>
      </c>
      <c r="MC89" s="32">
        <v>1002.4116029042552</v>
      </c>
      <c r="MD89" s="32">
        <v>15.911295284194528</v>
      </c>
      <c r="ME89" s="32">
        <v>9.0999999999999998E-2</v>
      </c>
      <c r="MF89" s="32">
        <v>-107.32060818518521</v>
      </c>
      <c r="MG89" s="8">
        <v>-1.7035017172251621</v>
      </c>
      <c r="MH89" s="32">
        <v>1272.8419175185188</v>
      </c>
      <c r="MI89" s="32">
        <v>-0.21751240299823632</v>
      </c>
      <c r="MJ89" s="32">
        <v>5.6000000000000001E-2</v>
      </c>
      <c r="MK89" s="32">
        <v>67795.070468499995</v>
      </c>
      <c r="ML89" s="32">
        <v>93565.520759999999</v>
      </c>
      <c r="MM89" s="32">
        <v>0.14699999999999999</v>
      </c>
      <c r="MN89" s="32">
        <v>0.11600000000000001</v>
      </c>
      <c r="MO89" s="32">
        <v>61.904761904761905</v>
      </c>
      <c r="MP89" s="32">
        <v>8.3910026251128134</v>
      </c>
      <c r="MQ89" s="32">
        <v>7.2929025400846523</v>
      </c>
      <c r="MR89" s="32">
        <v>16.302805507325747</v>
      </c>
      <c r="MS89" s="32">
        <v>86.089551127642864</v>
      </c>
      <c r="MT89" s="32">
        <v>8.3910026251128134</v>
      </c>
      <c r="MU89" s="32">
        <v>28.966818042751104</v>
      </c>
      <c r="MV89" s="32">
        <v>16.302805507325747</v>
      </c>
      <c r="MW89" s="32">
        <v>21.773356345302268</v>
      </c>
      <c r="MX89" s="32" t="s">
        <v>34</v>
      </c>
      <c r="MY89" s="32" t="s">
        <v>34</v>
      </c>
      <c r="MZ89" s="32" t="s">
        <v>34</v>
      </c>
      <c r="NA89" s="32" t="s">
        <v>34</v>
      </c>
      <c r="NB89" s="8" t="s">
        <v>34</v>
      </c>
      <c r="NC89" s="69"/>
      <c r="ND89" s="32">
        <v>1876.3894399999999</v>
      </c>
      <c r="NE89" s="32">
        <v>29.783959365079365</v>
      </c>
      <c r="NF89" s="32">
        <v>0.06</v>
      </c>
      <c r="NG89" s="32">
        <v>1876.3894399999999</v>
      </c>
      <c r="NH89" s="32">
        <v>29.783959365079365</v>
      </c>
      <c r="NI89" s="32">
        <v>0.06</v>
      </c>
      <c r="NJ89" s="32">
        <v>1115.9292278851353</v>
      </c>
      <c r="NK89" s="32">
        <v>17.713162347383101</v>
      </c>
      <c r="NL89" s="32">
        <v>67.873764331081077</v>
      </c>
      <c r="NM89" s="32">
        <v>1.0773613385885885</v>
      </c>
      <c r="NN89" s="32">
        <v>591.90149610810818</v>
      </c>
      <c r="NO89" s="32">
        <v>9.3952618429858443</v>
      </c>
      <c r="NP89" s="32">
        <v>198.79582478409091</v>
      </c>
      <c r="NQ89" s="32">
        <v>3.1554892822871574</v>
      </c>
      <c r="NR89" s="32">
        <v>943.70606490909097</v>
      </c>
      <c r="NS89" s="32">
        <v>14.979461347763349</v>
      </c>
      <c r="NT89" s="32">
        <v>8.6999999999999994E-2</v>
      </c>
      <c r="NU89" s="32">
        <v>-124.14525766666665</v>
      </c>
      <c r="NV89" s="8">
        <v>-1.9705596455026453</v>
      </c>
      <c r="NW89" s="32">
        <v>1368.5232002499999</v>
      </c>
      <c r="NX89" s="32">
        <v>0.17442604444444437</v>
      </c>
      <c r="NY89" s="32">
        <v>5.8999999999999997E-2</v>
      </c>
      <c r="NZ89" s="32">
        <v>81164.108301500004</v>
      </c>
      <c r="OA89" s="32">
        <v>83047.323937500012</v>
      </c>
      <c r="OB89" s="32">
        <v>0.14699999999999999</v>
      </c>
      <c r="OC89" s="32">
        <v>0.11600000000000001</v>
      </c>
      <c r="OD89" s="32">
        <v>59.183673469387756</v>
      </c>
      <c r="OE89" s="32">
        <v>5.2842202285617894</v>
      </c>
      <c r="OF89" s="32">
        <v>9.6651613227500324</v>
      </c>
      <c r="OG89" s="32">
        <v>15.476980377183489</v>
      </c>
      <c r="OH89" s="32">
        <v>86.879162482721966</v>
      </c>
      <c r="OI89" s="32">
        <v>5.2842202285617894</v>
      </c>
      <c r="OJ89" s="32">
        <v>9.6651613227500324</v>
      </c>
      <c r="OK89" s="32">
        <v>15.476980377183489</v>
      </c>
      <c r="OL89" s="32">
        <v>0.22603698320879867</v>
      </c>
      <c r="OM89" s="32">
        <v>8.3012497041986713</v>
      </c>
      <c r="ON89" s="69"/>
      <c r="OO89" s="32">
        <v>-1.3393801323730397</v>
      </c>
      <c r="OP89" s="32">
        <v>-14.537477843277285</v>
      </c>
      <c r="OQ89" s="32">
        <v>4.7710541569961098</v>
      </c>
      <c r="OR89" s="32">
        <v>-0.43342744200728645</v>
      </c>
      <c r="OS89" s="32">
        <v>-1.6806722689075646</v>
      </c>
      <c r="OT89" s="32">
        <v>-0.43342744200728645</v>
      </c>
      <c r="OU89" s="32">
        <v>0</v>
      </c>
      <c r="OV89" s="32">
        <v>-119.86157745133843</v>
      </c>
      <c r="OW89" s="32">
        <v>31.941841524045785</v>
      </c>
      <c r="OX89" s="32">
        <v>-14.113282326371767</v>
      </c>
      <c r="OY89" s="32">
        <v>5.197172398476094</v>
      </c>
    </row>
    <row r="90" spans="1:415" ht="15.75" x14ac:dyDescent="0.25">
      <c r="A90" s="10">
        <v>89</v>
      </c>
      <c r="B90" s="3" t="s">
        <v>474</v>
      </c>
      <c r="C90" s="3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9"/>
      <c r="K90" s="32">
        <v>1177.7274599999994</v>
      </c>
      <c r="L90" s="32">
        <v>17.319521470588228</v>
      </c>
      <c r="M90" s="32">
        <v>0.219</v>
      </c>
      <c r="N90" s="32">
        <v>599.56679070909092</v>
      </c>
      <c r="O90" s="32">
        <v>8.8171586868983951</v>
      </c>
      <c r="P90" s="32">
        <v>256.73296889090904</v>
      </c>
      <c r="Q90" s="32">
        <v>3.7754848366310152</v>
      </c>
      <c r="R90" s="32">
        <v>428.14987980000001</v>
      </c>
      <c r="S90" s="32">
        <v>6.2963217617647063</v>
      </c>
      <c r="T90" s="32">
        <v>0.32900000000000001</v>
      </c>
      <c r="U90" s="32">
        <v>2.5000000000000001E-2</v>
      </c>
      <c r="V90" s="32">
        <v>27.845715428462384</v>
      </c>
      <c r="W90" s="32">
        <v>71.665446581546135</v>
      </c>
      <c r="X90" s="32">
        <v>84.246571960626198</v>
      </c>
      <c r="Y90" s="32">
        <v>98.464772582623709</v>
      </c>
      <c r="Z90" s="32">
        <v>0.42825422281766545</v>
      </c>
      <c r="AA90" s="32">
        <v>2.7500661925788683</v>
      </c>
      <c r="AB90" s="69"/>
      <c r="AC90" s="32">
        <v>503.825785</v>
      </c>
      <c r="AD90" s="32">
        <v>7.4092027205882349</v>
      </c>
      <c r="AE90" s="32">
        <v>1.9E-2</v>
      </c>
      <c r="AF90" s="32">
        <v>1218.627925</v>
      </c>
      <c r="AG90" s="32">
        <v>17.920998897058823</v>
      </c>
      <c r="AH90" s="32">
        <v>0.13900000000000001</v>
      </c>
      <c r="AI90" s="32">
        <v>758.15614181893011</v>
      </c>
      <c r="AJ90" s="32">
        <v>11.149355026748973</v>
      </c>
      <c r="AK90" s="32">
        <v>232.69659665020575</v>
      </c>
      <c r="AL90" s="32">
        <v>3.4220087742677316</v>
      </c>
      <c r="AM90" s="32">
        <v>495.42636923456791</v>
      </c>
      <c r="AN90" s="32">
        <v>7.2856819005083517</v>
      </c>
      <c r="AO90" s="32">
        <v>0.24199999999999999</v>
      </c>
      <c r="AP90" s="32">
        <v>2.5000000000000001E-2</v>
      </c>
      <c r="AQ90" s="32">
        <v>27.56221932296911</v>
      </c>
      <c r="AR90" s="32">
        <v>72.437780677030887</v>
      </c>
      <c r="AS90" s="32">
        <v>49.030398667856957</v>
      </c>
      <c r="AT90" s="32">
        <v>95.651256932228705</v>
      </c>
      <c r="AU90" s="32">
        <v>0.33704415662368642</v>
      </c>
      <c r="AV90" s="32">
        <v>3.6156328512189924</v>
      </c>
      <c r="AW90" s="69"/>
      <c r="AX90" s="32">
        <v>23.361077184511089</v>
      </c>
      <c r="AY90" s="32">
        <v>3.4135558737253517</v>
      </c>
      <c r="AZ90" s="32">
        <v>-44.692737430167597</v>
      </c>
      <c r="BA90" s="32">
        <v>-30.472854640980746</v>
      </c>
      <c r="BB90" s="32">
        <v>-1.0233050799134857</v>
      </c>
      <c r="BC90" s="69"/>
      <c r="BD90" s="32">
        <v>1451.2988589999998</v>
      </c>
      <c r="BE90" s="32">
        <v>21.342630279411761</v>
      </c>
      <c r="BF90" s="32">
        <v>1.4999999999999999E-2</v>
      </c>
      <c r="BG90" s="32">
        <v>1700.362472</v>
      </c>
      <c r="BH90" s="32">
        <v>25.005330470588234</v>
      </c>
      <c r="BI90" s="32">
        <v>6.3E-2</v>
      </c>
      <c r="BJ90" s="32">
        <v>1104.6766695316455</v>
      </c>
      <c r="BK90" s="32">
        <v>16.245245140171257</v>
      </c>
      <c r="BL90" s="32">
        <v>112.07185653797468</v>
      </c>
      <c r="BM90" s="32">
        <v>1.6481155373231571</v>
      </c>
      <c r="BN90" s="32">
        <v>608.37426303481016</v>
      </c>
      <c r="BO90" s="32">
        <v>8.9466803387472087</v>
      </c>
      <c r="BP90" s="32">
        <v>206.52091271428571</v>
      </c>
      <c r="BQ90" s="32">
        <v>3.0370722457983192</v>
      </c>
      <c r="BR90" s="32">
        <v>1014.8610040089287</v>
      </c>
      <c r="BS90" s="32">
        <v>14.924426529543069</v>
      </c>
      <c r="BT90" s="32">
        <v>0.10199999999999999</v>
      </c>
      <c r="BU90" s="32">
        <v>-117.89106284782606</v>
      </c>
      <c r="BV90" s="8">
        <v>-1.7336921007033244</v>
      </c>
      <c r="BW90" s="32">
        <v>1323.3582899347828</v>
      </c>
      <c r="BX90" s="32" t="s">
        <v>34</v>
      </c>
      <c r="BY90" s="32">
        <v>5.5E-2</v>
      </c>
      <c r="BZ90" s="32">
        <v>60000.116930500008</v>
      </c>
      <c r="CA90" s="32">
        <v>112969.71987650001</v>
      </c>
      <c r="CB90" s="32">
        <v>0.157</v>
      </c>
      <c r="CC90" s="32">
        <v>9.8000000000000004E-2</v>
      </c>
      <c r="CD90" s="32">
        <v>64.968152866242036</v>
      </c>
      <c r="CE90" s="32">
        <v>8.8381766876186383</v>
      </c>
      <c r="CF90" s="32">
        <v>8.4019165309470587</v>
      </c>
      <c r="CG90" s="32">
        <v>15.482669102857971</v>
      </c>
      <c r="CH90" s="32">
        <v>82.816520202326984</v>
      </c>
      <c r="CI90" s="32">
        <v>8.8381766876186383</v>
      </c>
      <c r="CJ90" s="32">
        <v>29.90015586344839</v>
      </c>
      <c r="CK90" s="32">
        <v>15.482669102857971</v>
      </c>
      <c r="CL90" s="32">
        <v>21.190611447660473</v>
      </c>
      <c r="CM90" s="32" t="s">
        <v>34</v>
      </c>
      <c r="CN90" s="32" t="s">
        <v>34</v>
      </c>
      <c r="CO90" s="32" t="s">
        <v>34</v>
      </c>
      <c r="CP90" s="32" t="s">
        <v>34</v>
      </c>
      <c r="CQ90" s="17" t="s">
        <v>34</v>
      </c>
      <c r="CR90" s="69"/>
      <c r="CS90" s="32">
        <v>1700.9935889999999</v>
      </c>
      <c r="CT90" s="32">
        <v>25.014611602941176</v>
      </c>
      <c r="CU90" s="32">
        <v>1.7000000000000001E-2</v>
      </c>
      <c r="CV90" s="32">
        <v>1700.9935889999999</v>
      </c>
      <c r="CW90" s="32">
        <v>25.014611602941176</v>
      </c>
      <c r="CX90" s="32">
        <v>1.7000000000000001E-2</v>
      </c>
      <c r="CY90" s="32">
        <v>1160.4757562787877</v>
      </c>
      <c r="CZ90" s="32">
        <v>17.065819945276289</v>
      </c>
      <c r="DA90" s="32">
        <v>38.194522387878784</v>
      </c>
      <c r="DB90" s="32">
        <v>0.56168415276292327</v>
      </c>
      <c r="DC90" s="32">
        <v>599.33513933333325</v>
      </c>
      <c r="DD90" s="32">
        <v>8.8137520490196071</v>
      </c>
      <c r="DE90" s="32">
        <v>207.07924126136365</v>
      </c>
      <c r="DF90" s="32">
        <v>3.0452829597259359</v>
      </c>
      <c r="DG90" s="32">
        <v>962.97590018181825</v>
      </c>
      <c r="DH90" s="32">
        <v>14.161410296791445</v>
      </c>
      <c r="DI90" s="32">
        <v>8.7999999999999995E-2</v>
      </c>
      <c r="DJ90" s="32">
        <v>-154.8165848961039</v>
      </c>
      <c r="DK90" s="8">
        <v>-2.2767144837662339</v>
      </c>
      <c r="DL90" s="32">
        <v>1386.1898775324676</v>
      </c>
      <c r="DM90" s="32">
        <v>-0.28538448777692904</v>
      </c>
      <c r="DN90" s="32">
        <v>7.5999999999999998E-2</v>
      </c>
      <c r="DO90" s="32">
        <v>105906.25841350001</v>
      </c>
      <c r="DP90" s="32">
        <v>83906.124989500007</v>
      </c>
      <c r="DQ90" s="32">
        <v>0.16400000000000001</v>
      </c>
      <c r="DR90" s="32">
        <v>9.8000000000000004E-2</v>
      </c>
      <c r="DS90" s="32">
        <v>53.658536585365844</v>
      </c>
      <c r="DT90" s="32">
        <v>2.8436194239725583</v>
      </c>
      <c r="DU90" s="32">
        <v>11.526245661429444</v>
      </c>
      <c r="DV90" s="32">
        <v>15.417251373699312</v>
      </c>
      <c r="DW90" s="32">
        <v>86.398551292026653</v>
      </c>
      <c r="DX90" s="32">
        <v>2.8436194239725583</v>
      </c>
      <c r="DY90" s="32">
        <v>11.526245661429444</v>
      </c>
      <c r="DZ90" s="32">
        <v>15.417251373699312</v>
      </c>
      <c r="EA90" s="32">
        <v>0.26708501486842096</v>
      </c>
      <c r="EB90" s="32">
        <v>6.3687346511671272</v>
      </c>
      <c r="EC90" s="69"/>
      <c r="ED90" s="32">
        <v>4.9267401267425246</v>
      </c>
      <c r="EE90" s="32">
        <v>27.080664846591013</v>
      </c>
      <c r="EF90" s="32">
        <v>0.26998469014632226</v>
      </c>
      <c r="EG90" s="32">
        <v>3.7109728513065765E-2</v>
      </c>
      <c r="EH90" s="32">
        <v>-114.99999999999999</v>
      </c>
      <c r="EI90" s="32">
        <v>15.84210438079254</v>
      </c>
      <c r="EJ90" s="32">
        <v>4.3613707165109075</v>
      </c>
      <c r="EK90" s="32">
        <v>111.41642245203545</v>
      </c>
      <c r="EL90" s="32">
        <v>98.853396214395545</v>
      </c>
      <c r="EM90" s="32">
        <v>26.39965846059421</v>
      </c>
      <c r="EN90" s="32">
        <v>-0.42341681240434931</v>
      </c>
      <c r="EO90" s="69"/>
      <c r="EP90" s="32">
        <v>1181.4424240000001</v>
      </c>
      <c r="EQ90" s="32">
        <v>17.374153294117647</v>
      </c>
      <c r="ER90" s="32">
        <v>0.26700000000000002</v>
      </c>
      <c r="ES90" s="32">
        <v>570.69298621066685</v>
      </c>
      <c r="ET90" s="32">
        <v>8.3925439148627472</v>
      </c>
      <c r="EU90" s="32">
        <v>204.95782042399995</v>
      </c>
      <c r="EV90" s="32">
        <v>3.0140855944705875</v>
      </c>
      <c r="EW90" s="32">
        <v>387.82540331733338</v>
      </c>
      <c r="EX90" s="32">
        <v>5.7033147546666676</v>
      </c>
      <c r="EY90" s="32">
        <v>0.374</v>
      </c>
      <c r="EZ90" s="32">
        <v>6.5000000000000002E-2</v>
      </c>
      <c r="FA90" s="32">
        <v>25.314359936258562</v>
      </c>
      <c r="FB90" s="32">
        <v>74.467113676649504</v>
      </c>
      <c r="FC90" s="32">
        <v>95.161310518275783</v>
      </c>
      <c r="FD90" s="32">
        <v>99.816726658970552</v>
      </c>
      <c r="FE90" s="32">
        <v>0.49770205174853926</v>
      </c>
      <c r="FF90" s="32">
        <v>2.373794562126732</v>
      </c>
      <c r="FG90" s="69"/>
      <c r="FH90" s="32">
        <v>544.99671999999987</v>
      </c>
      <c r="FI90" s="32">
        <v>8.0146576470588222</v>
      </c>
      <c r="FJ90" s="32">
        <v>1.9E-2</v>
      </c>
      <c r="FK90" s="32">
        <v>1411.516468</v>
      </c>
      <c r="FL90" s="32">
        <v>20.75759511764706</v>
      </c>
      <c r="FM90" s="32">
        <v>0.10299999999999999</v>
      </c>
      <c r="FN90" s="32">
        <v>881.5484856210046</v>
      </c>
      <c r="FO90" s="32">
        <v>12.96394831795595</v>
      </c>
      <c r="FP90" s="32">
        <v>226.22193280821918</v>
      </c>
      <c r="FQ90" s="32">
        <v>3.3267931295326352</v>
      </c>
      <c r="FR90" s="32">
        <v>553.8852092146119</v>
      </c>
      <c r="FS90" s="32">
        <v>8.1453707237442927</v>
      </c>
      <c r="FT90" s="32">
        <v>0.218</v>
      </c>
      <c r="FU90" s="32">
        <v>6.5000000000000002E-2</v>
      </c>
      <c r="FV90" s="32">
        <v>23.008049958752171</v>
      </c>
      <c r="FW90" s="32">
        <v>76.991950041247847</v>
      </c>
      <c r="FX90" s="32">
        <v>50.175549878112434</v>
      </c>
      <c r="FY90" s="32">
        <v>99.896110049169835</v>
      </c>
      <c r="FZ90" s="32">
        <v>0.34109805465088444</v>
      </c>
      <c r="GA90" s="32">
        <v>4.1381545533723267</v>
      </c>
      <c r="GB90" s="69"/>
      <c r="GC90" s="32">
        <v>42.810442400913459</v>
      </c>
      <c r="GD90" s="32">
        <v>17.746061822255836</v>
      </c>
      <c r="GE90" s="32">
        <v>-88.64864864864866</v>
      </c>
      <c r="GF90" s="32">
        <v>-52.702702702702709</v>
      </c>
      <c r="GG90" s="32">
        <v>-9.5455089368153239</v>
      </c>
      <c r="GH90" s="69"/>
      <c r="GI90" s="32">
        <v>1674.3217069999998</v>
      </c>
      <c r="GJ90" s="32">
        <v>24.622378044117646</v>
      </c>
      <c r="GK90" s="32">
        <v>1.6E-2</v>
      </c>
      <c r="GL90" s="32">
        <v>1758.2325860000001</v>
      </c>
      <c r="GM90" s="32">
        <v>25.856361558823529</v>
      </c>
      <c r="GN90" s="32">
        <v>6.9000000000000006E-2</v>
      </c>
      <c r="GO90" s="32">
        <v>1121.7458403529411</v>
      </c>
      <c r="GP90" s="32">
        <v>16.496262358131485</v>
      </c>
      <c r="GQ90" s="32">
        <v>58.379254247058817</v>
      </c>
      <c r="GR90" s="32">
        <v>0.85851844480968853</v>
      </c>
      <c r="GS90" s="32">
        <v>590.06254729999989</v>
      </c>
      <c r="GT90" s="32">
        <v>8.6773904014705874</v>
      </c>
      <c r="GU90" s="32">
        <v>182.73439708411215</v>
      </c>
      <c r="GV90" s="32">
        <v>2.6872705453545902</v>
      </c>
      <c r="GW90" s="32">
        <v>941.35238350467296</v>
      </c>
      <c r="GX90" s="32">
        <v>13.843417404480485</v>
      </c>
      <c r="GY90" s="32">
        <v>9.9000000000000005E-2</v>
      </c>
      <c r="GZ90" s="32">
        <v>-152.82709946031744</v>
      </c>
      <c r="HA90" s="8">
        <v>-2.2474573450046682</v>
      </c>
      <c r="HB90" s="32">
        <v>1428.1283781746031</v>
      </c>
      <c r="HC90" s="32">
        <v>0.77871611204481794</v>
      </c>
      <c r="HD90" s="32">
        <v>0.16900000000000001</v>
      </c>
      <c r="HE90" s="32">
        <v>89954.117232999997</v>
      </c>
      <c r="HF90" s="32">
        <v>100545.44095</v>
      </c>
      <c r="HG90" s="32">
        <v>0.16900000000000001</v>
      </c>
      <c r="HH90" s="32">
        <v>0.114</v>
      </c>
      <c r="HI90" s="32">
        <v>58.57988165680473</v>
      </c>
      <c r="HJ90" s="32">
        <v>11.693610321379035</v>
      </c>
      <c r="HK90" s="32">
        <v>4.4669057544671666</v>
      </c>
      <c r="HL90" s="32">
        <v>13.981975967348575</v>
      </c>
      <c r="HM90" s="32">
        <v>85.830711850427633</v>
      </c>
      <c r="HN90" s="32">
        <v>11.693610321379035</v>
      </c>
      <c r="HO90" s="32">
        <v>27.219010887274752</v>
      </c>
      <c r="HP90" s="32">
        <v>13.981975967348575</v>
      </c>
      <c r="HQ90" s="32">
        <v>20.542058163853621</v>
      </c>
      <c r="HR90" s="32">
        <v>58.57988165680473</v>
      </c>
      <c r="HS90" s="32" t="s">
        <v>34</v>
      </c>
      <c r="HT90" s="32" t="s">
        <v>34</v>
      </c>
      <c r="HU90" s="32" t="s">
        <v>34</v>
      </c>
      <c r="HV90" s="32" t="s">
        <v>34</v>
      </c>
      <c r="HW90" s="17" t="s">
        <v>34</v>
      </c>
      <c r="HX90" s="69"/>
      <c r="HY90" s="32">
        <v>1861.7460879999999</v>
      </c>
      <c r="HZ90" s="32">
        <v>27.37861894117647</v>
      </c>
      <c r="IA90" s="32">
        <v>1.7000000000000001E-2</v>
      </c>
      <c r="IB90" s="32">
        <v>1861.7460879999999</v>
      </c>
      <c r="IC90" s="32">
        <v>27.37861894117647</v>
      </c>
      <c r="ID90" s="32">
        <v>1.7000000000000001E-2</v>
      </c>
      <c r="IE90" s="32">
        <v>1237.8316137317072</v>
      </c>
      <c r="IF90" s="32">
        <v>18.20340608428981</v>
      </c>
      <c r="IG90" s="32">
        <v>38.048598286585374</v>
      </c>
      <c r="IH90" s="32">
        <v>0.55953821009684379</v>
      </c>
      <c r="II90" s="32">
        <v>637.94010600914623</v>
      </c>
      <c r="IJ90" s="32">
        <v>9.3814721471933264</v>
      </c>
      <c r="IK90" s="32">
        <v>193.36017697826085</v>
      </c>
      <c r="IL90" s="32">
        <v>2.8435320143861889</v>
      </c>
      <c r="IM90" s="32">
        <v>980.49376049999989</v>
      </c>
      <c r="IN90" s="32">
        <v>14.41902588970588</v>
      </c>
      <c r="IO90" s="32">
        <v>8.8999999999999996E-2</v>
      </c>
      <c r="IP90" s="32">
        <v>-160.40508559722224</v>
      </c>
      <c r="IQ90" s="8">
        <v>-2.3588983176062093</v>
      </c>
      <c r="IR90" s="32">
        <v>1566.6522039722222</v>
      </c>
      <c r="IS90" s="32">
        <v>-1.1085279899918299</v>
      </c>
      <c r="IT90" s="32">
        <v>7.3999999999999996E-2</v>
      </c>
      <c r="IU90" s="32">
        <v>111924.81971149999</v>
      </c>
      <c r="IV90" s="32">
        <v>89308.979289499999</v>
      </c>
      <c r="IW90" s="32">
        <v>0.16300000000000001</v>
      </c>
      <c r="IX90" s="32">
        <v>0.114</v>
      </c>
      <c r="IY90" s="32">
        <v>54.601226993865026</v>
      </c>
      <c r="IZ90" s="32">
        <v>2.6856752829043837</v>
      </c>
      <c r="JA90" s="32">
        <v>11.322256089326308</v>
      </c>
      <c r="JB90" s="32">
        <v>13.648404182911008</v>
      </c>
      <c r="JC90" s="32">
        <v>87.372831565492049</v>
      </c>
      <c r="JD90" s="32">
        <v>2.6856752829043837</v>
      </c>
      <c r="JE90" s="32">
        <v>11.322256089326308</v>
      </c>
      <c r="JF90" s="32">
        <v>13.648404182911008</v>
      </c>
      <c r="JG90" s="32">
        <v>0.29138619940222815</v>
      </c>
      <c r="JH90" s="32">
        <v>6.3892733829513118</v>
      </c>
      <c r="JI90" s="69"/>
      <c r="JJ90" s="32">
        <v>9.8395391240758681</v>
      </c>
      <c r="JK90" s="32">
        <v>4.8385743856511727</v>
      </c>
      <c r="JL90" s="32">
        <v>5.6505893075641582</v>
      </c>
      <c r="JM90" s="32">
        <v>5.7190117026639582</v>
      </c>
      <c r="JN90" s="32">
        <v>-120.93023255813952</v>
      </c>
      <c r="JO90" s="32">
        <v>10.600723281664347</v>
      </c>
      <c r="JP90" s="32">
        <v>-3.6144578313253044</v>
      </c>
      <c r="JQ90" s="32">
        <v>111.39547556753367</v>
      </c>
      <c r="JR90" s="32">
        <v>49.806649159402021</v>
      </c>
      <c r="JS90" s="32">
        <v>-3.226941149432462</v>
      </c>
      <c r="JT90" s="32">
        <v>-2.4145290989377335</v>
      </c>
      <c r="JU90" s="69"/>
      <c r="JV90" s="32">
        <v>1106.5845000000002</v>
      </c>
      <c r="JW90" s="32">
        <v>16.273301470588237</v>
      </c>
      <c r="JX90" s="32">
        <v>0.29599999999999999</v>
      </c>
      <c r="JY90" s="32">
        <v>534.70383210552757</v>
      </c>
      <c r="JZ90" s="32">
        <v>7.8632916486106996</v>
      </c>
      <c r="KA90" s="32">
        <v>198.59962282412064</v>
      </c>
      <c r="KB90" s="32">
        <v>2.9205826885900095</v>
      </c>
      <c r="KC90" s="32">
        <v>366.65172746482409</v>
      </c>
      <c r="KD90" s="32">
        <v>5.3919371686003545</v>
      </c>
      <c r="KE90" s="32">
        <v>0.39700000000000002</v>
      </c>
      <c r="KF90" s="32">
        <v>8.1000000000000003E-2</v>
      </c>
      <c r="KG90" s="32">
        <v>29.772813570123699</v>
      </c>
      <c r="KH90" s="32">
        <v>70.227186429876312</v>
      </c>
      <c r="KI90" s="32">
        <v>88.095268744588921</v>
      </c>
      <c r="KJ90" s="32">
        <v>80.536432612292941</v>
      </c>
      <c r="KK90" s="32">
        <v>0.48962277016496208</v>
      </c>
      <c r="KL90" s="32">
        <v>2.2600756489065521</v>
      </c>
      <c r="KM90" s="69"/>
      <c r="KN90" s="32">
        <v>1516.7972539999996</v>
      </c>
      <c r="KO90" s="32">
        <v>22.305841970588229</v>
      </c>
      <c r="KP90" s="32">
        <v>0.109</v>
      </c>
      <c r="KQ90" s="32">
        <v>1516.7972539999996</v>
      </c>
      <c r="KR90" s="32">
        <v>22.305841970588229</v>
      </c>
      <c r="KS90" s="32">
        <v>0.109</v>
      </c>
      <c r="KT90" s="32">
        <v>915.83975462931028</v>
      </c>
      <c r="KU90" s="32">
        <v>13.468231685725151</v>
      </c>
      <c r="KV90" s="32">
        <v>211.98089012931035</v>
      </c>
      <c r="KW90" s="32">
        <v>3.1173660313133875</v>
      </c>
      <c r="KX90" s="32">
        <v>563.91032237931029</v>
      </c>
      <c r="KY90" s="32">
        <v>8.2927988585192693</v>
      </c>
      <c r="KZ90" s="32">
        <v>0.23100000000000001</v>
      </c>
      <c r="LA90" s="32">
        <v>8.1000000000000003E-2</v>
      </c>
      <c r="LB90" s="32">
        <v>21.753444560751117</v>
      </c>
      <c r="LC90" s="32">
        <v>78.24655543924888</v>
      </c>
      <c r="LD90" s="32">
        <v>49.99994454850841</v>
      </c>
      <c r="LE90" s="32">
        <v>98.94865646645674</v>
      </c>
      <c r="LF90" s="32">
        <v>0.39750767599319831</v>
      </c>
      <c r="LG90" s="32">
        <v>3.8157684633640971</v>
      </c>
      <c r="LH90" s="69"/>
      <c r="LI90" s="32">
        <v>52.550771449993675</v>
      </c>
      <c r="LJ90" s="32">
        <v>31.273584439209255</v>
      </c>
      <c r="LK90" s="32">
        <v>-92.345679012345684</v>
      </c>
      <c r="LL90" s="32">
        <v>-52.866242038216562</v>
      </c>
      <c r="LM90" s="32">
        <v>-31.127309842696814</v>
      </c>
      <c r="LN90" s="69"/>
      <c r="LO90" s="32">
        <v>1582.097372</v>
      </c>
      <c r="LP90" s="32">
        <v>23.266137823529412</v>
      </c>
      <c r="LQ90" s="32">
        <v>1.9E-2</v>
      </c>
      <c r="LR90" s="32">
        <v>1821.1161159999999</v>
      </c>
      <c r="LS90" s="32">
        <v>26.781119352941175</v>
      </c>
      <c r="LT90" s="32">
        <v>8.3000000000000004E-2</v>
      </c>
      <c r="LU90" s="32">
        <v>1151.3608778729281</v>
      </c>
      <c r="LV90" s="32">
        <v>16.931777615778355</v>
      </c>
      <c r="LW90" s="32">
        <v>63.615453872928185</v>
      </c>
      <c r="LX90" s="32">
        <v>0.93552138048423805</v>
      </c>
      <c r="LY90" s="32">
        <v>607.48816587292811</v>
      </c>
      <c r="LZ90" s="32">
        <v>8.9336494981312953</v>
      </c>
      <c r="MA90" s="32">
        <v>181.03866827192982</v>
      </c>
      <c r="MB90" s="32">
        <v>2.6623333569401444</v>
      </c>
      <c r="MC90" s="32">
        <v>973.38069291228044</v>
      </c>
      <c r="MD90" s="32">
        <v>14.31442195459236</v>
      </c>
      <c r="ME90" s="32">
        <v>0.106</v>
      </c>
      <c r="MF90" s="32">
        <v>-136.17926913432836</v>
      </c>
      <c r="MG90" s="8">
        <v>-2.0026363107989464</v>
      </c>
      <c r="MH90" s="32">
        <v>1454.1928343731342</v>
      </c>
      <c r="MI90" s="32">
        <v>0.48297566439859524</v>
      </c>
      <c r="MJ90" s="32">
        <v>7.3999999999999996E-2</v>
      </c>
      <c r="MK90" s="32">
        <v>96509.559665500012</v>
      </c>
      <c r="ML90" s="32">
        <v>110832.8512295</v>
      </c>
      <c r="MM90" s="32">
        <v>0.18</v>
      </c>
      <c r="MN90" s="32">
        <v>0.122</v>
      </c>
      <c r="MO90" s="32">
        <v>58.888888888888893</v>
      </c>
      <c r="MP90" s="32">
        <v>10.249920794298719</v>
      </c>
      <c r="MQ90" s="32">
        <v>4.7881984360459935</v>
      </c>
      <c r="MR90" s="32">
        <v>13.626391317038062</v>
      </c>
      <c r="MS90" s="32">
        <v>86.660457783855463</v>
      </c>
      <c r="MT90" s="32">
        <v>10.249920794298719</v>
      </c>
      <c r="MU90" s="32">
        <v>26.825476847865303</v>
      </c>
      <c r="MV90" s="32">
        <v>13.626391317038062</v>
      </c>
      <c r="MW90" s="32">
        <v>17.990995205783562</v>
      </c>
      <c r="MX90" s="32" t="s">
        <v>34</v>
      </c>
      <c r="MY90" s="32" t="s">
        <v>34</v>
      </c>
      <c r="MZ90" s="32" t="s">
        <v>34</v>
      </c>
      <c r="NA90" s="32" t="s">
        <v>34</v>
      </c>
      <c r="NB90" s="17" t="s">
        <v>34</v>
      </c>
      <c r="NC90" s="69"/>
      <c r="ND90" s="32">
        <v>1632.645802</v>
      </c>
      <c r="NE90" s="32">
        <v>24.009497088235292</v>
      </c>
      <c r="NF90" s="32">
        <v>1.7000000000000001E-2</v>
      </c>
      <c r="NG90" s="32">
        <v>1723.643875</v>
      </c>
      <c r="NH90" s="32">
        <v>25.347704044117648</v>
      </c>
      <c r="NI90" s="32">
        <v>7.9000000000000001E-2</v>
      </c>
      <c r="NJ90" s="32">
        <v>1120.3573523405405</v>
      </c>
      <c r="NK90" s="32">
        <v>16.475843416772655</v>
      </c>
      <c r="NL90" s="32">
        <v>41.51057701621621</v>
      </c>
      <c r="NM90" s="32">
        <v>0.61044966200317952</v>
      </c>
      <c r="NN90" s="32">
        <v>580.9339646783784</v>
      </c>
      <c r="NO90" s="32">
        <v>8.5431465393879176</v>
      </c>
      <c r="NP90" s="32">
        <v>183.39440874285717</v>
      </c>
      <c r="NQ90" s="32">
        <v>2.6969765991596644</v>
      </c>
      <c r="NR90" s="32">
        <v>952.40845446666663</v>
      </c>
      <c r="NS90" s="32">
        <v>14.006006683333332</v>
      </c>
      <c r="NT90" s="32">
        <v>0.10100000000000001</v>
      </c>
      <c r="NU90" s="32">
        <v>-144.71195212499998</v>
      </c>
      <c r="NV90" s="8">
        <v>-2.1281169430147058</v>
      </c>
      <c r="NW90" s="32">
        <v>1340.7902807999999</v>
      </c>
      <c r="NX90" s="32">
        <v>-1.2926324172794115</v>
      </c>
      <c r="NY90" s="32">
        <v>0.184</v>
      </c>
      <c r="NZ90" s="32">
        <v>107267.50546999999</v>
      </c>
      <c r="OA90" s="32">
        <v>99235.318948500004</v>
      </c>
      <c r="OB90" s="32">
        <v>0.184</v>
      </c>
      <c r="OC90" s="32">
        <v>0.122</v>
      </c>
      <c r="OD90" s="32">
        <v>54.891304347826086</v>
      </c>
      <c r="OE90" s="32">
        <v>3.2253143818342407</v>
      </c>
      <c r="OF90" s="32">
        <v>11.243918392889041</v>
      </c>
      <c r="OG90" s="32">
        <v>14.249491734004364</v>
      </c>
      <c r="OH90" s="32">
        <v>87.050215656748207</v>
      </c>
      <c r="OI90" s="32">
        <v>3.2253143818342407</v>
      </c>
      <c r="OJ90" s="32">
        <v>11.243918392889041</v>
      </c>
      <c r="OK90" s="32">
        <v>14.249491734004364</v>
      </c>
      <c r="OL90" s="32">
        <v>0.33955878874082379</v>
      </c>
      <c r="OM90" s="32">
        <v>5.0761279994893949</v>
      </c>
      <c r="ON90" s="69"/>
      <c r="OO90" s="32">
        <v>-2.7295220965387283</v>
      </c>
      <c r="OP90" s="32">
        <v>6.0754358590608657</v>
      </c>
      <c r="OQ90" s="32">
        <v>1.2928247294258415</v>
      </c>
      <c r="OR90" s="32">
        <v>-5.4995114618466667</v>
      </c>
      <c r="OS90" s="32">
        <v>-4.9382716049382758</v>
      </c>
      <c r="OT90" s="32">
        <v>3.1447880756896849</v>
      </c>
      <c r="OU90" s="32">
        <v>2.1978021978021998</v>
      </c>
      <c r="OV90" s="32">
        <v>86.261608086191174</v>
      </c>
      <c r="OW90" s="32">
        <v>39.006215868889647</v>
      </c>
      <c r="OX90" s="32">
        <v>9.2491396249287412</v>
      </c>
      <c r="OY90" s="32">
        <v>4.4705340155529276</v>
      </c>
    </row>
    <row r="91" spans="1:415" ht="15.75" customHeight="1" x14ac:dyDescent="0.25">
      <c r="A91" s="10">
        <v>90</v>
      </c>
      <c r="B91" s="3" t="s">
        <v>476</v>
      </c>
      <c r="C91" s="3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9"/>
      <c r="K91" s="32">
        <v>1120.7048610000002</v>
      </c>
      <c r="L91" s="32">
        <v>16.24209943478261</v>
      </c>
      <c r="M91" s="32">
        <v>0.505</v>
      </c>
      <c r="N91" s="32">
        <v>729.47587369522228</v>
      </c>
      <c r="O91" s="32">
        <v>10.572114111524961</v>
      </c>
      <c r="P91" s="32">
        <v>358.20523309555199</v>
      </c>
      <c r="Q91" s="32">
        <v>5.1913801897906087</v>
      </c>
      <c r="R91" s="32">
        <v>543.84055339538713</v>
      </c>
      <c r="S91" s="32">
        <v>7.8817471506577848</v>
      </c>
      <c r="T91" s="32">
        <v>0.60599999999999998</v>
      </c>
      <c r="U91" s="32">
        <v>0.04</v>
      </c>
      <c r="V91" s="32">
        <v>32.68562085930683</v>
      </c>
      <c r="W91" s="32">
        <v>67.314379140693177</v>
      </c>
      <c r="X91" s="32">
        <v>68.251747969730658</v>
      </c>
      <c r="Y91" s="32">
        <v>81.367681403437672</v>
      </c>
      <c r="Z91" s="32">
        <v>1.8879282041819039</v>
      </c>
      <c r="AA91" s="32">
        <v>0.59361625008702879</v>
      </c>
      <c r="AB91" s="69"/>
      <c r="AC91" s="32" t="s">
        <v>34</v>
      </c>
      <c r="AD91" s="32" t="s">
        <v>34</v>
      </c>
      <c r="AE91" s="32" t="s">
        <v>34</v>
      </c>
      <c r="AF91" s="32" t="s">
        <v>34</v>
      </c>
      <c r="AG91" s="32" t="s">
        <v>34</v>
      </c>
      <c r="AH91" s="32" t="s">
        <v>34</v>
      </c>
      <c r="AI91" s="32" t="s">
        <v>34</v>
      </c>
      <c r="AJ91" s="32" t="s">
        <v>34</v>
      </c>
      <c r="AK91" s="32" t="s">
        <v>34</v>
      </c>
      <c r="AL91" s="32" t="s">
        <v>34</v>
      </c>
      <c r="AM91" s="32" t="s">
        <v>34</v>
      </c>
      <c r="AN91" s="32" t="s">
        <v>34</v>
      </c>
      <c r="AO91" s="32" t="s">
        <v>34</v>
      </c>
      <c r="AP91" s="32" t="s">
        <v>34</v>
      </c>
      <c r="AQ91" s="32" t="s">
        <v>34</v>
      </c>
      <c r="AR91" s="32" t="s">
        <v>34</v>
      </c>
      <c r="AS91" s="32" t="s">
        <v>34</v>
      </c>
      <c r="AT91" s="32" t="s">
        <v>34</v>
      </c>
      <c r="AU91" s="32" t="s">
        <v>34</v>
      </c>
      <c r="AV91" s="32" t="s">
        <v>34</v>
      </c>
      <c r="AW91" s="69"/>
      <c r="AX91" s="32" t="s">
        <v>34</v>
      </c>
      <c r="AY91" s="32" t="s">
        <v>34</v>
      </c>
      <c r="AZ91" s="32" t="s">
        <v>34</v>
      </c>
      <c r="BA91" s="32" t="s">
        <v>34</v>
      </c>
      <c r="BB91" s="32" t="s">
        <v>34</v>
      </c>
      <c r="BC91" s="69"/>
      <c r="BD91" s="32">
        <v>1730.3885559999997</v>
      </c>
      <c r="BE91" s="32">
        <v>25.078095014492749</v>
      </c>
      <c r="BF91" s="32">
        <v>2.3E-2</v>
      </c>
      <c r="BG91" s="32">
        <v>1730.3885559999997</v>
      </c>
      <c r="BH91" s="32">
        <v>25.078095014492749</v>
      </c>
      <c r="BI91" s="32">
        <v>2.3E-2</v>
      </c>
      <c r="BJ91" s="32">
        <v>1145.3143802594936</v>
      </c>
      <c r="BK91" s="32">
        <v>16.598759134195561</v>
      </c>
      <c r="BL91" s="32">
        <v>118.4330765379747</v>
      </c>
      <c r="BM91" s="32">
        <v>1.7164213991010826</v>
      </c>
      <c r="BN91" s="32">
        <v>631.87372839873422</v>
      </c>
      <c r="BO91" s="32">
        <v>9.157590266648322</v>
      </c>
      <c r="BP91" s="32">
        <v>236.62685927272727</v>
      </c>
      <c r="BQ91" s="32">
        <v>3.429374772068511</v>
      </c>
      <c r="BR91" s="32">
        <v>1070.8837978272727</v>
      </c>
      <c r="BS91" s="32">
        <v>15.520055040974967</v>
      </c>
      <c r="BT91" s="32">
        <v>9.9000000000000005E-2</v>
      </c>
      <c r="BU91" s="32">
        <v>-152.42767556250001</v>
      </c>
      <c r="BV91" s="8">
        <v>-2.2090967472826089</v>
      </c>
      <c r="BW91" s="32">
        <v>1315.8844650000001</v>
      </c>
      <c r="BX91" s="32" t="s">
        <v>34</v>
      </c>
      <c r="BY91" s="32">
        <v>5.8000000000000003E-2</v>
      </c>
      <c r="BZ91" s="32">
        <v>62345.734669999991</v>
      </c>
      <c r="CA91" s="32">
        <v>116950.8596885</v>
      </c>
      <c r="CB91" s="32">
        <v>0.157</v>
      </c>
      <c r="CC91" s="32" t="s">
        <v>34</v>
      </c>
      <c r="CD91" s="32">
        <v>63.057324840764338</v>
      </c>
      <c r="CE91" s="32">
        <v>10.960644251278683</v>
      </c>
      <c r="CF91" s="32">
        <v>8.5161885118751837</v>
      </c>
      <c r="CG91" s="32">
        <v>17.015170081251419</v>
      </c>
      <c r="CH91" s="32">
        <v>82.356326904366895</v>
      </c>
      <c r="CI91" s="32">
        <v>10.960644251278683</v>
      </c>
      <c r="CJ91" s="32">
        <v>30.997588810481552</v>
      </c>
      <c r="CK91" s="32">
        <v>17.015170081251419</v>
      </c>
      <c r="CL91" s="32">
        <v>24.687189020763352</v>
      </c>
      <c r="CM91" s="32" t="s">
        <v>34</v>
      </c>
      <c r="CN91" s="32" t="s">
        <v>34</v>
      </c>
      <c r="CO91" s="32" t="s">
        <v>34</v>
      </c>
      <c r="CP91" s="32" t="s">
        <v>34</v>
      </c>
      <c r="CQ91" s="17" t="s">
        <v>34</v>
      </c>
      <c r="CR91" s="69"/>
      <c r="CS91" s="32" t="s">
        <v>34</v>
      </c>
      <c r="CT91" s="32" t="s">
        <v>34</v>
      </c>
      <c r="CU91" s="32" t="s">
        <v>34</v>
      </c>
      <c r="CV91" s="32" t="s">
        <v>34</v>
      </c>
      <c r="CW91" s="32" t="s">
        <v>34</v>
      </c>
      <c r="CX91" s="32" t="s">
        <v>34</v>
      </c>
      <c r="CY91" s="32" t="s">
        <v>34</v>
      </c>
      <c r="CZ91" s="32" t="s">
        <v>34</v>
      </c>
      <c r="DA91" s="32" t="s">
        <v>34</v>
      </c>
      <c r="DB91" s="32" t="s">
        <v>34</v>
      </c>
      <c r="DC91" s="32" t="s">
        <v>34</v>
      </c>
      <c r="DD91" s="32" t="s">
        <v>34</v>
      </c>
      <c r="DE91" s="32" t="s">
        <v>34</v>
      </c>
      <c r="DF91" s="32" t="s">
        <v>34</v>
      </c>
      <c r="DG91" s="32" t="s">
        <v>34</v>
      </c>
      <c r="DH91" s="32" t="s">
        <v>34</v>
      </c>
      <c r="DI91" s="32" t="s">
        <v>34</v>
      </c>
      <c r="DJ91" s="32" t="s">
        <v>34</v>
      </c>
      <c r="DK91" s="8" t="s">
        <v>34</v>
      </c>
      <c r="DL91" s="32" t="s">
        <v>34</v>
      </c>
      <c r="DM91" s="32" t="s">
        <v>34</v>
      </c>
      <c r="DN91" s="32" t="s">
        <v>34</v>
      </c>
      <c r="DO91" s="32" t="s">
        <v>34</v>
      </c>
      <c r="DP91" s="32" t="s">
        <v>34</v>
      </c>
      <c r="DQ91" s="32" t="s">
        <v>34</v>
      </c>
      <c r="DR91" s="32" t="s">
        <v>34</v>
      </c>
      <c r="DS91" s="32" t="s">
        <v>34</v>
      </c>
      <c r="DT91" s="32" t="s">
        <v>34</v>
      </c>
      <c r="DU91" s="32" t="s">
        <v>34</v>
      </c>
      <c r="DV91" s="32" t="s">
        <v>34</v>
      </c>
      <c r="DW91" s="32" t="s">
        <v>34</v>
      </c>
      <c r="DX91" s="32" t="s">
        <v>34</v>
      </c>
      <c r="DY91" s="32" t="s">
        <v>34</v>
      </c>
      <c r="DZ91" s="32" t="s">
        <v>34</v>
      </c>
      <c r="EA91" s="32" t="s">
        <v>34</v>
      </c>
      <c r="EB91" s="32" t="s">
        <v>34</v>
      </c>
      <c r="EC91" s="69"/>
      <c r="ED91" s="32" t="s">
        <v>34</v>
      </c>
      <c r="EE91" s="32" t="s">
        <v>34</v>
      </c>
      <c r="EF91" s="32" t="s">
        <v>34</v>
      </c>
      <c r="EG91" s="32" t="s">
        <v>34</v>
      </c>
      <c r="EH91" s="32" t="s">
        <v>34</v>
      </c>
      <c r="EI91" s="32" t="s">
        <v>34</v>
      </c>
      <c r="EJ91" s="32" t="s">
        <v>34</v>
      </c>
      <c r="EK91" s="32" t="s">
        <v>34</v>
      </c>
      <c r="EL91" s="32" t="s">
        <v>34</v>
      </c>
      <c r="EM91" s="32" t="s">
        <v>34</v>
      </c>
      <c r="EN91" s="32" t="s">
        <v>34</v>
      </c>
      <c r="EO91" s="69"/>
      <c r="EP91" s="32">
        <v>1062.978991</v>
      </c>
      <c r="EQ91" s="32">
        <v>15.405492623188405</v>
      </c>
      <c r="ER91" s="32">
        <v>0.26400000000000001</v>
      </c>
      <c r="ES91" s="32">
        <v>598.56330556749322</v>
      </c>
      <c r="ET91" s="32">
        <v>8.6748305154709158</v>
      </c>
      <c r="EU91" s="32">
        <v>265.99229533333329</v>
      </c>
      <c r="EV91" s="32">
        <v>3.8549608019323665</v>
      </c>
      <c r="EW91" s="32">
        <v>432.27780045041322</v>
      </c>
      <c r="EX91" s="32">
        <v>6.2648956587016409</v>
      </c>
      <c r="EY91" s="32">
        <v>0.36199999999999999</v>
      </c>
      <c r="EZ91" s="32">
        <v>0.05</v>
      </c>
      <c r="FA91" s="32">
        <v>31.899219996790077</v>
      </c>
      <c r="FB91" s="32">
        <v>68.10078000320992</v>
      </c>
      <c r="FC91" s="32">
        <v>72.968485587060755</v>
      </c>
      <c r="FD91" s="32">
        <v>77.477673707181651</v>
      </c>
      <c r="FE91" s="32">
        <v>0.50608018546121236</v>
      </c>
      <c r="FF91" s="32">
        <v>2.1004161426143604</v>
      </c>
      <c r="FG91" s="69"/>
      <c r="FH91" s="32" t="s">
        <v>34</v>
      </c>
      <c r="FI91" s="32" t="s">
        <v>34</v>
      </c>
      <c r="FJ91" s="32" t="s">
        <v>34</v>
      </c>
      <c r="FK91" s="32" t="s">
        <v>34</v>
      </c>
      <c r="FL91" s="32" t="s">
        <v>34</v>
      </c>
      <c r="FM91" s="32" t="s">
        <v>34</v>
      </c>
      <c r="FN91" s="32" t="s">
        <v>34</v>
      </c>
      <c r="FO91" s="32" t="s">
        <v>34</v>
      </c>
      <c r="FP91" s="32" t="s">
        <v>34</v>
      </c>
      <c r="FQ91" s="32" t="s">
        <v>34</v>
      </c>
      <c r="FR91" s="32" t="s">
        <v>34</v>
      </c>
      <c r="FS91" s="32" t="s">
        <v>34</v>
      </c>
      <c r="FT91" s="32" t="s">
        <v>34</v>
      </c>
      <c r="FU91" s="32" t="s">
        <v>34</v>
      </c>
      <c r="FV91" s="32" t="s">
        <v>34</v>
      </c>
      <c r="FW91" s="32" t="s">
        <v>34</v>
      </c>
      <c r="FX91" s="32" t="s">
        <v>34</v>
      </c>
      <c r="FY91" s="32" t="s">
        <v>34</v>
      </c>
      <c r="FZ91" s="32" t="s">
        <v>34</v>
      </c>
      <c r="GA91" s="32" t="s">
        <v>34</v>
      </c>
      <c r="GB91" s="69"/>
      <c r="GC91" s="32" t="s">
        <v>34</v>
      </c>
      <c r="GD91" s="32" t="s">
        <v>34</v>
      </c>
      <c r="GE91" s="32" t="s">
        <v>34</v>
      </c>
      <c r="GF91" s="32" t="s">
        <v>34</v>
      </c>
      <c r="GG91" s="32" t="s">
        <v>34</v>
      </c>
      <c r="GH91" s="69"/>
      <c r="GI91" s="32">
        <v>1756.0324840000001</v>
      </c>
      <c r="GJ91" s="32">
        <v>25.449746144927538</v>
      </c>
      <c r="GK91" s="32">
        <v>3.5000000000000003E-2</v>
      </c>
      <c r="GL91" s="32">
        <v>1811.5221349999999</v>
      </c>
      <c r="GM91" s="32">
        <v>26.253943985507245</v>
      </c>
      <c r="GN91" s="32">
        <v>6.9000000000000006E-2</v>
      </c>
      <c r="GO91" s="32">
        <v>1166.6164807419354</v>
      </c>
      <c r="GP91" s="32">
        <v>16.90748522814399</v>
      </c>
      <c r="GQ91" s="32">
        <v>95.687443490322579</v>
      </c>
      <c r="GR91" s="32">
        <v>1.3867745433380083</v>
      </c>
      <c r="GS91" s="32">
        <v>631.15196211612897</v>
      </c>
      <c r="GT91" s="32">
        <v>9.1471298857410002</v>
      </c>
      <c r="GU91" s="32">
        <v>211.3678550485437</v>
      </c>
      <c r="GV91" s="32">
        <v>3.0633022470803435</v>
      </c>
      <c r="GW91" s="32">
        <v>1064.3563527572817</v>
      </c>
      <c r="GX91" s="32">
        <v>15.425454387786692</v>
      </c>
      <c r="GY91" s="32">
        <v>9.6000000000000002E-2</v>
      </c>
      <c r="GZ91" s="32">
        <v>-133.44875632692307</v>
      </c>
      <c r="HA91" s="8">
        <v>-1.9340399467670011</v>
      </c>
      <c r="HB91" s="32">
        <v>1369.1701957884616</v>
      </c>
      <c r="HC91" s="32">
        <v>2.1139855908584203E-2</v>
      </c>
      <c r="HD91" s="32">
        <v>5.8000000000000003E-2</v>
      </c>
      <c r="HE91" s="32">
        <v>70285.742089000007</v>
      </c>
      <c r="HF91" s="32">
        <v>108837.45728649999</v>
      </c>
      <c r="HG91" s="32">
        <v>0.154</v>
      </c>
      <c r="HH91" s="32" t="s">
        <v>34</v>
      </c>
      <c r="HI91" s="32">
        <v>62.337662337662337</v>
      </c>
      <c r="HJ91" s="32">
        <v>9.6074136134891877</v>
      </c>
      <c r="HK91" s="32">
        <v>6.8888528640669948</v>
      </c>
      <c r="HL91" s="32">
        <v>15.21706506632837</v>
      </c>
      <c r="HM91" s="32">
        <v>83.988546370137186</v>
      </c>
      <c r="HN91" s="32">
        <v>9.6074136134891877</v>
      </c>
      <c r="HO91" s="32">
        <v>28.867832385928921</v>
      </c>
      <c r="HP91" s="32">
        <v>15.21706506632837</v>
      </c>
      <c r="HQ91" s="32">
        <v>23.711351375696314</v>
      </c>
      <c r="HR91" s="32">
        <v>62.337662337662337</v>
      </c>
      <c r="HS91" s="32" t="s">
        <v>34</v>
      </c>
      <c r="HT91" s="32" t="s">
        <v>34</v>
      </c>
      <c r="HU91" s="32" t="s">
        <v>34</v>
      </c>
      <c r="HV91" s="32" t="s">
        <v>34</v>
      </c>
      <c r="HW91" s="17" t="s">
        <v>34</v>
      </c>
      <c r="HX91" s="69"/>
      <c r="HY91" s="32" t="s">
        <v>34</v>
      </c>
      <c r="HZ91" s="32" t="s">
        <v>34</v>
      </c>
      <c r="IA91" s="32" t="s">
        <v>34</v>
      </c>
      <c r="IB91" s="32" t="s">
        <v>34</v>
      </c>
      <c r="IC91" s="32" t="s">
        <v>34</v>
      </c>
      <c r="ID91" s="32" t="s">
        <v>34</v>
      </c>
      <c r="IE91" s="32" t="s">
        <v>34</v>
      </c>
      <c r="IF91" s="32" t="s">
        <v>34</v>
      </c>
      <c r="IG91" s="32" t="s">
        <v>34</v>
      </c>
      <c r="IH91" s="32" t="s">
        <v>34</v>
      </c>
      <c r="II91" s="32" t="s">
        <v>34</v>
      </c>
      <c r="IJ91" s="32" t="s">
        <v>34</v>
      </c>
      <c r="IK91" s="32" t="s">
        <v>34</v>
      </c>
      <c r="IL91" s="32" t="s">
        <v>34</v>
      </c>
      <c r="IM91" s="32" t="s">
        <v>34</v>
      </c>
      <c r="IN91" s="32" t="s">
        <v>34</v>
      </c>
      <c r="IO91" s="32" t="s">
        <v>34</v>
      </c>
      <c r="IP91" s="32" t="s">
        <v>34</v>
      </c>
      <c r="IQ91" s="8" t="s">
        <v>34</v>
      </c>
      <c r="IR91" s="32" t="s">
        <v>34</v>
      </c>
      <c r="IS91" s="32" t="s">
        <v>34</v>
      </c>
      <c r="IT91" s="32" t="s">
        <v>34</v>
      </c>
      <c r="IU91" s="32" t="s">
        <v>34</v>
      </c>
      <c r="IV91" s="32" t="s">
        <v>34</v>
      </c>
      <c r="IW91" s="32" t="s">
        <v>34</v>
      </c>
      <c r="IX91" s="32" t="s">
        <v>34</v>
      </c>
      <c r="IY91" s="32" t="s">
        <v>34</v>
      </c>
      <c r="IZ91" s="32" t="s">
        <v>34</v>
      </c>
      <c r="JA91" s="32" t="s">
        <v>34</v>
      </c>
      <c r="JB91" s="32" t="s">
        <v>34</v>
      </c>
      <c r="JC91" s="32" t="s">
        <v>34</v>
      </c>
      <c r="JD91" s="32" t="s">
        <v>34</v>
      </c>
      <c r="JE91" s="32" t="s">
        <v>34</v>
      </c>
      <c r="JF91" s="32" t="s">
        <v>34</v>
      </c>
      <c r="JG91" s="32" t="s">
        <v>34</v>
      </c>
      <c r="JH91" s="32" t="s">
        <v>34</v>
      </c>
      <c r="JI91" s="69"/>
      <c r="JJ91" s="32" t="s">
        <v>34</v>
      </c>
      <c r="JK91" s="32" t="s">
        <v>34</v>
      </c>
      <c r="JL91" s="32" t="s">
        <v>34</v>
      </c>
      <c r="JM91" s="32" t="s">
        <v>34</v>
      </c>
      <c r="JN91" s="32" t="s">
        <v>34</v>
      </c>
      <c r="JO91" s="32" t="s">
        <v>34</v>
      </c>
      <c r="JP91" s="32" t="s">
        <v>34</v>
      </c>
      <c r="JQ91" s="32" t="s">
        <v>34</v>
      </c>
      <c r="JR91" s="32" t="s">
        <v>34</v>
      </c>
      <c r="JS91" s="32" t="s">
        <v>34</v>
      </c>
      <c r="JT91" s="32" t="s">
        <v>34</v>
      </c>
      <c r="JU91" s="69"/>
      <c r="JV91" s="32">
        <v>1045.161691</v>
      </c>
      <c r="JW91" s="32">
        <v>15.147270884057971</v>
      </c>
      <c r="JX91" s="32">
        <v>0.27100000000000002</v>
      </c>
      <c r="JY91" s="32">
        <v>588.60999716164395</v>
      </c>
      <c r="JZ91" s="32">
        <v>8.5305796690093327</v>
      </c>
      <c r="KA91" s="32">
        <v>249.30061720273974</v>
      </c>
      <c r="KB91" s="32">
        <v>3.6130524232281123</v>
      </c>
      <c r="KC91" s="32">
        <v>418.95530718219186</v>
      </c>
      <c r="KD91" s="32">
        <v>6.0718160461187223</v>
      </c>
      <c r="KE91" s="32">
        <v>0.36399999999999999</v>
      </c>
      <c r="KF91" s="32">
        <v>6.2E-2</v>
      </c>
      <c r="KG91" s="32">
        <v>29.968712941993275</v>
      </c>
      <c r="KH91" s="32">
        <v>70.031287058006754</v>
      </c>
      <c r="KI91" s="32">
        <v>70.65869357038784</v>
      </c>
      <c r="KJ91" s="32">
        <v>84.438773323372146</v>
      </c>
      <c r="KK91" s="32">
        <v>0.49479170340096257</v>
      </c>
      <c r="KL91" s="32">
        <v>2.1123266291978142</v>
      </c>
      <c r="KM91" s="69"/>
      <c r="KN91" s="32">
        <v>1145.7356590000002</v>
      </c>
      <c r="KO91" s="32">
        <v>16.604864623188409</v>
      </c>
      <c r="KP91" s="32">
        <v>4.8000000000000001E-2</v>
      </c>
      <c r="KQ91" s="32">
        <v>1156.4296530000001</v>
      </c>
      <c r="KR91" s="32">
        <v>16.759850043478263</v>
      </c>
      <c r="KS91" s="32">
        <v>9.9000000000000005E-2</v>
      </c>
      <c r="KT91" s="32">
        <v>788.3923931256038</v>
      </c>
      <c r="KU91" s="32">
        <v>11.425976711965273</v>
      </c>
      <c r="KV91" s="32">
        <v>297.38876170531398</v>
      </c>
      <c r="KW91" s="32">
        <v>4.3099820537002023</v>
      </c>
      <c r="KX91" s="32">
        <v>542.89057741545889</v>
      </c>
      <c r="KY91" s="32">
        <v>7.867979382832738</v>
      </c>
      <c r="KZ91" s="32">
        <v>0.20599999999999999</v>
      </c>
      <c r="LA91" s="32">
        <v>6.2E-2</v>
      </c>
      <c r="LB91" s="32">
        <v>31.013830066895409</v>
      </c>
      <c r="LC91" s="32">
        <v>68.98616993310462</v>
      </c>
      <c r="LD91" s="32">
        <v>87.286078818144077</v>
      </c>
      <c r="LE91" s="32">
        <v>97.971128775946596</v>
      </c>
      <c r="LF91" s="32">
        <v>0.26946319917481631</v>
      </c>
      <c r="LG91" s="32">
        <v>4.291605148834285</v>
      </c>
      <c r="LH91" s="69"/>
      <c r="LI91" s="32">
        <v>-29.017000605537735</v>
      </c>
      <c r="LJ91" s="32">
        <v>-10.107957800909677</v>
      </c>
      <c r="LK91" s="32">
        <v>92.972972972972983</v>
      </c>
      <c r="LL91" s="32">
        <v>55.438596491228076</v>
      </c>
      <c r="LM91" s="32">
        <v>-3.4275944338687228</v>
      </c>
      <c r="LN91" s="69"/>
      <c r="LO91" s="32">
        <v>1938.3172180000001</v>
      </c>
      <c r="LP91" s="32">
        <v>28.091553884057973</v>
      </c>
      <c r="LQ91" s="32">
        <v>3.5000000000000003E-2</v>
      </c>
      <c r="LR91" s="32">
        <v>1938.3172180000001</v>
      </c>
      <c r="LS91" s="32">
        <v>28.091553884057973</v>
      </c>
      <c r="LT91" s="32">
        <v>3.5000000000000003E-2</v>
      </c>
      <c r="LU91" s="32">
        <v>1204.055496359477</v>
      </c>
      <c r="LV91" s="32">
        <v>17.450079657383725</v>
      </c>
      <c r="LW91" s="32">
        <v>117.99573920915032</v>
      </c>
      <c r="LX91" s="32">
        <v>1.7100831769442075</v>
      </c>
      <c r="LY91" s="32">
        <v>661.02561778431368</v>
      </c>
      <c r="LZ91" s="32">
        <v>9.5800814171639672</v>
      </c>
      <c r="MA91" s="32">
        <v>215.01865435714288</v>
      </c>
      <c r="MB91" s="32">
        <v>3.116212381987578</v>
      </c>
      <c r="MC91" s="32">
        <v>1144.7581329285715</v>
      </c>
      <c r="MD91" s="32">
        <v>16.590697578674948</v>
      </c>
      <c r="ME91" s="32">
        <v>0.1</v>
      </c>
      <c r="MF91" s="32">
        <v>-147.04246802439027</v>
      </c>
      <c r="MG91" s="8">
        <v>-2.1310502612230473</v>
      </c>
      <c r="MH91" s="32">
        <v>1366.0385379268291</v>
      </c>
      <c r="MI91" s="32">
        <v>0.15045303145987976</v>
      </c>
      <c r="MJ91" s="32">
        <v>5.1999999999999998E-2</v>
      </c>
      <c r="MK91" s="32">
        <v>55094.812878500001</v>
      </c>
      <c r="ML91" s="32">
        <v>127385.082457</v>
      </c>
      <c r="MM91" s="32">
        <v>0.152</v>
      </c>
      <c r="MN91" s="32" t="s">
        <v>34</v>
      </c>
      <c r="MO91" s="32">
        <v>65.789473684210535</v>
      </c>
      <c r="MP91" s="32">
        <v>10.086147201049771</v>
      </c>
      <c r="MQ91" s="32">
        <v>8.0937324485247473</v>
      </c>
      <c r="MR91" s="32">
        <v>14.748866963101134</v>
      </c>
      <c r="MS91" s="32">
        <v>82.590296107518625</v>
      </c>
      <c r="MT91" s="32">
        <v>10.086147201049771</v>
      </c>
      <c r="MU91" s="32">
        <v>28.391486273751944</v>
      </c>
      <c r="MV91" s="32">
        <v>14.748866963101134</v>
      </c>
      <c r="MW91" s="32">
        <v>23.690868757206587</v>
      </c>
      <c r="MX91" s="32" t="s">
        <v>34</v>
      </c>
      <c r="MY91" s="32" t="s">
        <v>34</v>
      </c>
      <c r="MZ91" s="32" t="s">
        <v>34</v>
      </c>
      <c r="NA91" s="32" t="s">
        <v>34</v>
      </c>
      <c r="NB91" s="17" t="s">
        <v>34</v>
      </c>
      <c r="NC91" s="69"/>
      <c r="ND91" s="32" t="s">
        <v>34</v>
      </c>
      <c r="NE91" s="32" t="s">
        <v>34</v>
      </c>
      <c r="NF91" s="32" t="s">
        <v>34</v>
      </c>
      <c r="NG91" s="32" t="s">
        <v>34</v>
      </c>
      <c r="NH91" s="32" t="s">
        <v>34</v>
      </c>
      <c r="NI91" s="32" t="s">
        <v>34</v>
      </c>
      <c r="NJ91" s="32" t="s">
        <v>34</v>
      </c>
      <c r="NK91" s="32" t="s">
        <v>34</v>
      </c>
      <c r="NL91" s="32" t="s">
        <v>34</v>
      </c>
      <c r="NM91" s="32" t="s">
        <v>34</v>
      </c>
      <c r="NN91" s="32" t="s">
        <v>34</v>
      </c>
      <c r="NO91" s="32" t="s">
        <v>34</v>
      </c>
      <c r="NP91" s="32" t="s">
        <v>34</v>
      </c>
      <c r="NQ91" s="32" t="s">
        <v>34</v>
      </c>
      <c r="NR91" s="32" t="s">
        <v>34</v>
      </c>
      <c r="NS91" s="32" t="s">
        <v>34</v>
      </c>
      <c r="NT91" s="32" t="s">
        <v>34</v>
      </c>
      <c r="NU91" s="32" t="s">
        <v>34</v>
      </c>
      <c r="NV91" s="8" t="s">
        <v>34</v>
      </c>
      <c r="NW91" s="32" t="s">
        <v>34</v>
      </c>
      <c r="NX91" s="32" t="s">
        <v>34</v>
      </c>
      <c r="NY91" s="32" t="s">
        <v>34</v>
      </c>
      <c r="NZ91" s="32" t="s">
        <v>34</v>
      </c>
      <c r="OA91" s="32" t="s">
        <v>34</v>
      </c>
      <c r="OB91" s="32" t="s">
        <v>34</v>
      </c>
      <c r="OC91" s="32" t="s">
        <v>34</v>
      </c>
      <c r="OD91" s="32" t="s">
        <v>34</v>
      </c>
      <c r="OE91" s="32" t="s">
        <v>34</v>
      </c>
      <c r="OF91" s="32" t="s">
        <v>34</v>
      </c>
      <c r="OG91" s="32" t="s">
        <v>34</v>
      </c>
      <c r="OH91" s="32" t="s">
        <v>34</v>
      </c>
      <c r="OI91" s="32" t="s">
        <v>34</v>
      </c>
      <c r="OJ91" s="32" t="s">
        <v>34</v>
      </c>
      <c r="OK91" s="32" t="s">
        <v>34</v>
      </c>
      <c r="OL91" s="32" t="s">
        <v>34</v>
      </c>
      <c r="OM91" s="32" t="s">
        <v>34</v>
      </c>
      <c r="ON91" s="69"/>
      <c r="OO91" s="32" t="s">
        <v>34</v>
      </c>
      <c r="OP91" s="32" t="s">
        <v>34</v>
      </c>
      <c r="OQ91" s="32" t="s">
        <v>34</v>
      </c>
      <c r="OR91" s="32" t="s">
        <v>34</v>
      </c>
      <c r="OS91" s="32" t="s">
        <v>34</v>
      </c>
      <c r="OT91" s="32" t="s">
        <v>34</v>
      </c>
      <c r="OU91" s="32" t="s">
        <v>34</v>
      </c>
      <c r="OV91" s="32" t="s">
        <v>34</v>
      </c>
      <c r="OW91" s="32" t="s">
        <v>34</v>
      </c>
      <c r="OX91" s="32" t="s">
        <v>34</v>
      </c>
      <c r="OY91" s="32" t="s">
        <v>34</v>
      </c>
    </row>
    <row r="92" spans="1:415" ht="15.75" x14ac:dyDescent="0.25">
      <c r="A92" s="10">
        <v>91</v>
      </c>
      <c r="B92" s="3" t="s">
        <v>478</v>
      </c>
      <c r="C92" s="3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9"/>
      <c r="K92" s="32">
        <v>1226.4184799999998</v>
      </c>
      <c r="L92" s="32">
        <v>13.936573636363635</v>
      </c>
      <c r="M92" s="32">
        <v>0.29099999999999998</v>
      </c>
      <c r="N92" s="32">
        <v>678.12916153960396</v>
      </c>
      <c r="O92" s="32">
        <v>7.7060131993136816</v>
      </c>
      <c r="P92" s="32">
        <v>268.27187076485143</v>
      </c>
      <c r="Q92" s="32">
        <v>3.0485439859642209</v>
      </c>
      <c r="R92" s="32">
        <v>473.20051615222769</v>
      </c>
      <c r="S92" s="32">
        <v>5.3772785926389508</v>
      </c>
      <c r="T92" s="32">
        <v>0.40300000000000002</v>
      </c>
      <c r="U92" s="32">
        <v>4.2999999999999997E-2</v>
      </c>
      <c r="V92" s="32">
        <v>29.881412272266992</v>
      </c>
      <c r="W92" s="32">
        <v>70.118587727733015</v>
      </c>
      <c r="X92" s="32">
        <v>55.684002642877338</v>
      </c>
      <c r="Y92" s="32">
        <v>93.410853962766112</v>
      </c>
      <c r="Z92" s="32">
        <v>0.55062964335565667</v>
      </c>
      <c r="AA92" s="32">
        <v>2.2273019529532392</v>
      </c>
      <c r="AB92" s="69"/>
      <c r="AC92" s="32">
        <v>568.7831789999999</v>
      </c>
      <c r="AD92" s="32">
        <v>6.4634452159090898</v>
      </c>
      <c r="AE92" s="32">
        <v>1.2999999999999999E-2</v>
      </c>
      <c r="AF92" s="32">
        <v>1612.448052</v>
      </c>
      <c r="AG92" s="32">
        <v>18.323273318181819</v>
      </c>
      <c r="AH92" s="32">
        <v>0.13400000000000001</v>
      </c>
      <c r="AI92" s="32">
        <v>1063.7234380039215</v>
      </c>
      <c r="AJ92" s="32">
        <v>12.087766340953653</v>
      </c>
      <c r="AK92" s="32">
        <v>260.37493854509802</v>
      </c>
      <c r="AL92" s="32">
        <v>2.9588061198306592</v>
      </c>
      <c r="AM92" s="32">
        <v>662.04918827450979</v>
      </c>
      <c r="AN92" s="32">
        <v>7.5232862303921566</v>
      </c>
      <c r="AO92" s="32">
        <v>0.254</v>
      </c>
      <c r="AP92" s="32">
        <v>4.2999999999999997E-2</v>
      </c>
      <c r="AQ92" s="32">
        <v>24.390823874471231</v>
      </c>
      <c r="AR92" s="32">
        <v>75.609176125528776</v>
      </c>
      <c r="AS92" s="32">
        <v>64.062487138887022</v>
      </c>
      <c r="AT92" s="32">
        <v>95.88560695616242</v>
      </c>
      <c r="AU92" s="32">
        <v>0.42629219613334424</v>
      </c>
      <c r="AV92" s="32">
        <v>3.7824948864314329</v>
      </c>
      <c r="AW92" s="69"/>
      <c r="AX92" s="32">
        <v>44.274042082018582</v>
      </c>
      <c r="AY92" s="32">
        <v>27.196035294272171</v>
      </c>
      <c r="AZ92" s="32">
        <v>-73.88235294117645</v>
      </c>
      <c r="BA92" s="32">
        <v>-45.357686453576868</v>
      </c>
      <c r="BB92" s="32">
        <v>-20.233507176489347</v>
      </c>
      <c r="BC92" s="69"/>
      <c r="BD92" s="32">
        <v>2239.3357990000004</v>
      </c>
      <c r="BE92" s="32">
        <v>25.446997715909095</v>
      </c>
      <c r="BF92" s="32">
        <v>1.0999999999999999E-2</v>
      </c>
      <c r="BG92" s="32">
        <v>2239.3357990000004</v>
      </c>
      <c r="BH92" s="32">
        <v>25.446997715909095</v>
      </c>
      <c r="BI92" s="32">
        <v>1.0999999999999999E-2</v>
      </c>
      <c r="BJ92" s="32">
        <v>1326.3230296878305</v>
      </c>
      <c r="BK92" s="32">
        <v>15.071852610088984</v>
      </c>
      <c r="BL92" s="32">
        <v>95.73037205820107</v>
      </c>
      <c r="BM92" s="32">
        <v>1.0878451370250122</v>
      </c>
      <c r="BN92" s="32">
        <v>711.02670087301578</v>
      </c>
      <c r="BO92" s="32">
        <v>8.0798488735569975</v>
      </c>
      <c r="BP92" s="32">
        <v>275.00254990756304</v>
      </c>
      <c r="BQ92" s="32">
        <v>3.1250289762223074</v>
      </c>
      <c r="BR92" s="32">
        <v>1142.7679767815125</v>
      </c>
      <c r="BS92" s="32">
        <v>12.985999736153552</v>
      </c>
      <c r="BT92" s="32">
        <v>0.11</v>
      </c>
      <c r="BU92" s="32">
        <v>-209.03233028571427</v>
      </c>
      <c r="BV92" s="8">
        <v>-2.3753673896103895</v>
      </c>
      <c r="BW92" s="32">
        <v>1638.3666196285717</v>
      </c>
      <c r="BX92" s="32" t="s">
        <v>34</v>
      </c>
      <c r="BY92" s="32">
        <v>7.8E-2</v>
      </c>
      <c r="BZ92" s="32">
        <v>113734.87212650001</v>
      </c>
      <c r="CA92" s="32">
        <v>135032.37633949998</v>
      </c>
      <c r="CB92" s="32">
        <v>0.188</v>
      </c>
      <c r="CC92" s="32">
        <v>8.5999999999999993E-2</v>
      </c>
      <c r="CD92" s="32">
        <v>58.51063829787234</v>
      </c>
      <c r="CE92" s="32">
        <v>12.853425317647451</v>
      </c>
      <c r="CF92" s="32">
        <v>5.8864730934149856</v>
      </c>
      <c r="CG92" s="32">
        <v>16.909942746981127</v>
      </c>
      <c r="CH92" s="32">
        <v>81.555776495754429</v>
      </c>
      <c r="CI92" s="32">
        <v>12.853425317647451</v>
      </c>
      <c r="CJ92" s="32">
        <v>28.26352082957575</v>
      </c>
      <c r="CK92" s="32">
        <v>16.909942746981127</v>
      </c>
      <c r="CL92" s="32" t="s">
        <v>34</v>
      </c>
      <c r="CM92" s="32" t="s">
        <v>34</v>
      </c>
      <c r="CN92" s="32" t="s">
        <v>34</v>
      </c>
      <c r="CO92" s="32" t="s">
        <v>34</v>
      </c>
      <c r="CP92" s="32" t="s">
        <v>34</v>
      </c>
      <c r="CQ92" s="17" t="s">
        <v>34</v>
      </c>
      <c r="CR92" s="69"/>
      <c r="CS92" s="32">
        <v>1635.350884</v>
      </c>
      <c r="CT92" s="32">
        <v>18.583532772727271</v>
      </c>
      <c r="CU92" s="32">
        <v>1.4E-2</v>
      </c>
      <c r="CV92" s="32">
        <v>1710.2629360000001</v>
      </c>
      <c r="CW92" s="32">
        <v>19.434806090909092</v>
      </c>
      <c r="CX92" s="32">
        <v>8.1000000000000003E-2</v>
      </c>
      <c r="CY92" s="32">
        <v>1203.9293867301587</v>
      </c>
      <c r="CZ92" s="32">
        <v>13.681015758297258</v>
      </c>
      <c r="DA92" s="32">
        <v>72.622415116402124</v>
      </c>
      <c r="DB92" s="32">
        <v>0.82525471723184229</v>
      </c>
      <c r="DC92" s="32">
        <v>638.27590092328046</v>
      </c>
      <c r="DD92" s="32">
        <v>7.2531352377645506</v>
      </c>
      <c r="DE92" s="32">
        <v>249.14766302654871</v>
      </c>
      <c r="DF92" s="32">
        <v>2.8312234434835082</v>
      </c>
      <c r="DG92" s="32">
        <v>1019.104065743363</v>
      </c>
      <c r="DH92" s="32">
        <v>11.580728019810943</v>
      </c>
      <c r="DI92" s="32">
        <v>0.104</v>
      </c>
      <c r="DJ92" s="32">
        <v>-189.84275611842105</v>
      </c>
      <c r="DK92" s="8">
        <v>-2.1573040468002391</v>
      </c>
      <c r="DL92" s="32">
        <v>1478.7354560921053</v>
      </c>
      <c r="DM92" s="32">
        <v>-0.4319677332535885</v>
      </c>
      <c r="DN92" s="32">
        <v>8.3000000000000004E-2</v>
      </c>
      <c r="DO92" s="32">
        <v>111524.047397</v>
      </c>
      <c r="DP92" s="32">
        <v>115163.70968150001</v>
      </c>
      <c r="DQ92" s="32">
        <v>0.188</v>
      </c>
      <c r="DR92" s="32">
        <v>8.5999999999999993E-2</v>
      </c>
      <c r="DS92" s="32">
        <v>55.319148936170215</v>
      </c>
      <c r="DT92" s="32">
        <v>5.0812281273354101</v>
      </c>
      <c r="DU92" s="32">
        <v>13.282873484910173</v>
      </c>
      <c r="DV92" s="32">
        <v>17.432305317872267</v>
      </c>
      <c r="DW92" s="32">
        <v>84.236249281625717</v>
      </c>
      <c r="DX92" s="32">
        <v>5.0812281273354101</v>
      </c>
      <c r="DY92" s="32">
        <v>13.282873484910173</v>
      </c>
      <c r="DZ92" s="32">
        <v>17.432305317872267</v>
      </c>
      <c r="EA92" s="32">
        <v>0.28331741568737784</v>
      </c>
      <c r="EB92" s="32">
        <v>6.0365612606291839</v>
      </c>
      <c r="EC92" s="69"/>
      <c r="ED92" s="32">
        <v>-9.6744215844631949</v>
      </c>
      <c r="EE92" s="32">
        <v>-9.6218464483643249</v>
      </c>
      <c r="EF92" s="32">
        <v>-9.8654493475382434</v>
      </c>
      <c r="EG92" s="32">
        <v>-26.791221007417111</v>
      </c>
      <c r="EH92" s="32">
        <v>152.17391304347828</v>
      </c>
      <c r="EI92" s="32">
        <v>-31.175935729201278</v>
      </c>
      <c r="EJ92" s="32">
        <v>0</v>
      </c>
      <c r="EK92" s="32" t="s">
        <v>34</v>
      </c>
      <c r="EL92" s="32">
        <v>14.683933303290363</v>
      </c>
      <c r="EM92" s="32">
        <v>3.2862202143227499</v>
      </c>
      <c r="EN92" s="32">
        <v>3.0420988742768831</v>
      </c>
      <c r="EO92" s="69"/>
      <c r="EP92" s="32">
        <v>1182.9572400000002</v>
      </c>
      <c r="EQ92" s="32">
        <v>13.442695909090911</v>
      </c>
      <c r="ER92" s="32">
        <v>0.25600000000000001</v>
      </c>
      <c r="ES92" s="32">
        <v>736.9250394414895</v>
      </c>
      <c r="ET92" s="32">
        <v>8.3741481754714719</v>
      </c>
      <c r="EU92" s="32">
        <v>246.12464092553188</v>
      </c>
      <c r="EV92" s="32">
        <v>2.7968709196083168</v>
      </c>
      <c r="EW92" s="32">
        <v>491.52484018351072</v>
      </c>
      <c r="EX92" s="32">
        <v>5.5855095475398944</v>
      </c>
      <c r="EY92" s="32">
        <v>0.375</v>
      </c>
      <c r="EZ92" s="32">
        <v>5.5E-2</v>
      </c>
      <c r="FA92" s="32">
        <v>26.30742374896418</v>
      </c>
      <c r="FB92" s="32">
        <v>73.591635688339323</v>
      </c>
      <c r="FC92" s="32">
        <v>77.008913734875335</v>
      </c>
      <c r="FD92" s="32">
        <v>99.804612355815536</v>
      </c>
      <c r="FE92" s="32">
        <v>0.56610724276527657</v>
      </c>
      <c r="FF92" s="32">
        <v>2.0896345261749043</v>
      </c>
      <c r="FG92" s="69"/>
      <c r="FH92" s="32">
        <v>1561.7552740000001</v>
      </c>
      <c r="FI92" s="32">
        <v>17.747219022727275</v>
      </c>
      <c r="FJ92" s="32">
        <v>0.13100000000000001</v>
      </c>
      <c r="FK92" s="32">
        <v>1561.7552740000001</v>
      </c>
      <c r="FL92" s="32">
        <v>17.747219022727275</v>
      </c>
      <c r="FM92" s="32">
        <v>0.13100000000000001</v>
      </c>
      <c r="FN92" s="32">
        <v>1023.9866781148147</v>
      </c>
      <c r="FO92" s="32">
        <v>11.636212251304713</v>
      </c>
      <c r="FP92" s="32">
        <v>286.25147317037033</v>
      </c>
      <c r="FQ92" s="32">
        <v>3.2528576496632993</v>
      </c>
      <c r="FR92" s="32">
        <v>655.11907564259252</v>
      </c>
      <c r="FS92" s="32">
        <v>7.4445349504840062</v>
      </c>
      <c r="FT92" s="32">
        <v>0.26900000000000002</v>
      </c>
      <c r="FU92" s="32">
        <v>5.5E-2</v>
      </c>
      <c r="FV92" s="32">
        <v>24.979825832930569</v>
      </c>
      <c r="FW92" s="32">
        <v>75.020174167069442</v>
      </c>
      <c r="FX92" s="32">
        <v>52.747251408001183</v>
      </c>
      <c r="FY92" s="32">
        <v>99.371093858304121</v>
      </c>
      <c r="FZ92" s="32">
        <v>0.4696059234981152</v>
      </c>
      <c r="GA92" s="32">
        <v>3.3256720067890466</v>
      </c>
      <c r="GB92" s="69"/>
      <c r="GC92" s="32">
        <v>32.603751319423715</v>
      </c>
      <c r="GD92" s="32">
        <v>27.602018941354228</v>
      </c>
      <c r="GE92" s="32">
        <v>-64.599483204134373</v>
      </c>
      <c r="GF92" s="32">
        <v>-32.919254658385086</v>
      </c>
      <c r="GG92" s="32">
        <v>-5.1771070855095136</v>
      </c>
      <c r="GH92" s="69"/>
      <c r="GI92" s="32">
        <v>2271.8686539999999</v>
      </c>
      <c r="GJ92" s="32">
        <v>25.81668925</v>
      </c>
      <c r="GK92" s="32">
        <v>1.2E-2</v>
      </c>
      <c r="GL92" s="32">
        <v>2271.8686539999999</v>
      </c>
      <c r="GM92" s="32">
        <v>25.81668925</v>
      </c>
      <c r="GN92" s="32">
        <v>1.2E-2</v>
      </c>
      <c r="GO92" s="32">
        <v>1250.8604698317756</v>
      </c>
      <c r="GP92" s="32">
        <v>14.214323520815633</v>
      </c>
      <c r="GQ92" s="32">
        <v>56.188151345794388</v>
      </c>
      <c r="GR92" s="32">
        <v>0.63850171983857262</v>
      </c>
      <c r="GS92" s="32">
        <v>653.52431058878506</v>
      </c>
      <c r="GT92" s="32">
        <v>7.4264126203271026</v>
      </c>
      <c r="GU92" s="32">
        <v>232.83240893233082</v>
      </c>
      <c r="GV92" s="32">
        <v>2.6458228287764864</v>
      </c>
      <c r="GW92" s="32">
        <v>1045.046953714286</v>
      </c>
      <c r="GX92" s="32">
        <v>11.875533564935068</v>
      </c>
      <c r="GY92" s="32">
        <v>0.121</v>
      </c>
      <c r="GZ92" s="32">
        <v>-233.85735802469137</v>
      </c>
      <c r="HA92" s="8">
        <v>-2.657469977553311</v>
      </c>
      <c r="HB92" s="32">
        <v>1588.8011814814813</v>
      </c>
      <c r="HC92" s="32">
        <v>0.87870311167227833</v>
      </c>
      <c r="HD92" s="32">
        <v>0.21199999999999999</v>
      </c>
      <c r="HE92" s="32">
        <v>128597.93018200001</v>
      </c>
      <c r="HF92" s="32">
        <v>138977.48512350002</v>
      </c>
      <c r="HG92" s="32">
        <v>0.21299999999999999</v>
      </c>
      <c r="HH92" s="32">
        <v>7.5999999999999998E-2</v>
      </c>
      <c r="HI92" s="32">
        <v>56.8075117370892</v>
      </c>
      <c r="HJ92" s="32">
        <v>15.62734958333532</v>
      </c>
      <c r="HK92" s="32">
        <v>3.7547327607685208</v>
      </c>
      <c r="HL92" s="32">
        <v>15.558858098155071</v>
      </c>
      <c r="HM92" s="32">
        <v>83.587850333844642</v>
      </c>
      <c r="HN92" s="32">
        <v>15.62734958333532</v>
      </c>
      <c r="HO92" s="32">
        <v>26.561382124522741</v>
      </c>
      <c r="HP92" s="32">
        <v>15.558858098155071</v>
      </c>
      <c r="HQ92" s="32" t="s">
        <v>34</v>
      </c>
      <c r="HR92" s="32">
        <v>56.8075117370892</v>
      </c>
      <c r="HS92" s="32" t="s">
        <v>34</v>
      </c>
      <c r="HT92" s="32" t="s">
        <v>34</v>
      </c>
      <c r="HU92" s="32" t="s">
        <v>34</v>
      </c>
      <c r="HV92" s="32" t="s">
        <v>34</v>
      </c>
      <c r="HW92" s="17" t="s">
        <v>34</v>
      </c>
      <c r="HX92" s="69"/>
      <c r="HY92" s="32">
        <v>1905.4417779999999</v>
      </c>
      <c r="HZ92" s="32">
        <v>21.652747477272726</v>
      </c>
      <c r="IA92" s="32">
        <v>1.6E-2</v>
      </c>
      <c r="IB92" s="32">
        <v>1905.4417779999999</v>
      </c>
      <c r="IC92" s="32">
        <v>21.652747477272726</v>
      </c>
      <c r="ID92" s="32">
        <v>1.6E-2</v>
      </c>
      <c r="IE92" s="32">
        <v>1046.134466633803</v>
      </c>
      <c r="IF92" s="32">
        <v>11.887891666293216</v>
      </c>
      <c r="IG92" s="32">
        <v>82.850163000000009</v>
      </c>
      <c r="IH92" s="32">
        <v>0.94147912500000008</v>
      </c>
      <c r="II92" s="32">
        <v>564.49231481690151</v>
      </c>
      <c r="IJ92" s="32">
        <v>6.4146853956466083</v>
      </c>
      <c r="IK92" s="32">
        <v>232.00585684090908</v>
      </c>
      <c r="IL92" s="32">
        <v>2.6364301913739667</v>
      </c>
      <c r="IM92" s="32">
        <v>913.84948181060622</v>
      </c>
      <c r="IN92" s="32">
        <v>10.384653202393253</v>
      </c>
      <c r="IO92" s="32">
        <v>0.124</v>
      </c>
      <c r="IP92" s="32">
        <v>-160.2183751111111</v>
      </c>
      <c r="IQ92" s="8">
        <v>-1.8206633535353534</v>
      </c>
      <c r="IR92" s="32">
        <v>1261.7099974567902</v>
      </c>
      <c r="IS92" s="32">
        <v>-0.93413501487093142</v>
      </c>
      <c r="IT92" s="32">
        <v>0.21099999999999999</v>
      </c>
      <c r="IU92" s="32">
        <v>102197.68024300001</v>
      </c>
      <c r="IV92" s="32">
        <v>120629.44805849998</v>
      </c>
      <c r="IW92" s="32">
        <v>0.21199999999999999</v>
      </c>
      <c r="IX92" s="32">
        <v>7.5999999999999998E-2</v>
      </c>
      <c r="IY92" s="32">
        <v>58.490566037735846</v>
      </c>
      <c r="IZ92" s="32">
        <v>6.6235574598426163</v>
      </c>
      <c r="JA92" s="32">
        <v>12.808853661169772</v>
      </c>
      <c r="JB92" s="32">
        <v>18.54799155682749</v>
      </c>
      <c r="JC92" s="32">
        <v>83.634497502084571</v>
      </c>
      <c r="JD92" s="32">
        <v>6.6235574598426163</v>
      </c>
      <c r="JE92" s="32">
        <v>12.808853661169772</v>
      </c>
      <c r="JF92" s="32">
        <v>18.54799155682749</v>
      </c>
      <c r="JG92" s="32">
        <v>0.32749292638568417</v>
      </c>
      <c r="JH92" s="32">
        <v>5.8182685013354627</v>
      </c>
      <c r="JI92" s="69"/>
      <c r="JJ92" s="32">
        <v>-17.825551110094104</v>
      </c>
      <c r="JK92" s="32">
        <v>-37.37301067873851</v>
      </c>
      <c r="JL92" s="32">
        <v>-0.3556299695107113</v>
      </c>
      <c r="JM92" s="32">
        <v>-17.543674666503691</v>
      </c>
      <c r="JN92" s="32">
        <v>28.571428571428569</v>
      </c>
      <c r="JO92" s="32">
        <v>-17.543674666503691</v>
      </c>
      <c r="JP92" s="32">
        <v>-0.47058823529411803</v>
      </c>
      <c r="JQ92" s="32" t="s">
        <v>34</v>
      </c>
      <c r="JR92" s="32">
        <v>-55.285112250506351</v>
      </c>
      <c r="JS92" s="32">
        <v>-19.823292849126638</v>
      </c>
      <c r="JT92" s="32">
        <v>17.528053683701899</v>
      </c>
      <c r="JU92" s="69"/>
      <c r="JV92" s="32">
        <v>1287.1740440000003</v>
      </c>
      <c r="JW92" s="32">
        <v>14.626977772727276</v>
      </c>
      <c r="JX92" s="32">
        <v>0.26200000000000001</v>
      </c>
      <c r="JY92" s="32">
        <v>765.77455774102577</v>
      </c>
      <c r="JZ92" s="32">
        <v>8.7019836106934747</v>
      </c>
      <c r="KA92" s="32">
        <v>189.67231251025638</v>
      </c>
      <c r="KB92" s="32">
        <v>2.1553671876165499</v>
      </c>
      <c r="KC92" s="32">
        <v>477.72343512564106</v>
      </c>
      <c r="KD92" s="32">
        <v>5.4286753991550123</v>
      </c>
      <c r="KE92" s="32">
        <v>0.38900000000000001</v>
      </c>
      <c r="KF92" s="32">
        <v>7.4999999999999997E-2</v>
      </c>
      <c r="KG92" s="32">
        <v>21.076524458835603</v>
      </c>
      <c r="KH92" s="32">
        <v>78.923475541164422</v>
      </c>
      <c r="KI92" s="32">
        <v>59.090928185847226</v>
      </c>
      <c r="KJ92" s="32">
        <v>96.853826606696956</v>
      </c>
      <c r="KK92" s="32">
        <v>0.64074695347170474</v>
      </c>
      <c r="KL92" s="32">
        <v>2.0088648678324801</v>
      </c>
      <c r="KM92" s="69"/>
      <c r="KN92" s="32">
        <v>97.742702999999992</v>
      </c>
      <c r="KO92" s="32">
        <v>1.110712534090909</v>
      </c>
      <c r="KP92" s="32">
        <v>4.0000000000000001E-3</v>
      </c>
      <c r="KQ92" s="32">
        <v>1759.0260080000003</v>
      </c>
      <c r="KR92" s="32">
        <v>19.988931909090912</v>
      </c>
      <c r="KS92" s="32">
        <v>0.11</v>
      </c>
      <c r="KT92" s="32">
        <v>1100.0383081960783</v>
      </c>
      <c r="KU92" s="32">
        <v>12.500435320409981</v>
      </c>
      <c r="KV92" s="32">
        <v>269.52800151764706</v>
      </c>
      <c r="KW92" s="32">
        <v>3.062818199064171</v>
      </c>
      <c r="KX92" s="32">
        <v>684.78315485686267</v>
      </c>
      <c r="KY92" s="32">
        <v>7.7816267597370761</v>
      </c>
      <c r="KZ92" s="32">
        <v>0.254</v>
      </c>
      <c r="LA92" s="32">
        <v>7.4999999999999997E-2</v>
      </c>
      <c r="LB92" s="32">
        <v>23.328342622914761</v>
      </c>
      <c r="LC92" s="32">
        <v>76.671657377085239</v>
      </c>
      <c r="LD92" s="32">
        <v>85.0575152213368</v>
      </c>
      <c r="LE92" s="32">
        <v>99.793866089428079</v>
      </c>
      <c r="LF92" s="32">
        <v>0.4562126176129816</v>
      </c>
      <c r="LG92" s="32">
        <v>3.8557153837692253</v>
      </c>
      <c r="LH92" s="69"/>
      <c r="LI92" s="32">
        <v>35.830361828614429</v>
      </c>
      <c r="LJ92" s="32">
        <v>30.979709536161472</v>
      </c>
      <c r="LK92" s="32">
        <v>-81.720430107526894</v>
      </c>
      <c r="LL92" s="32">
        <v>-41.990668740279943</v>
      </c>
      <c r="LM92" s="32">
        <v>10.142213284564097</v>
      </c>
      <c r="LN92" s="69"/>
      <c r="LO92" s="32">
        <v>1942.9518200000002</v>
      </c>
      <c r="LP92" s="32">
        <v>22.078997954545457</v>
      </c>
      <c r="LQ92" s="32">
        <v>1.2999999999999999E-2</v>
      </c>
      <c r="LR92" s="32">
        <v>1942.9518200000002</v>
      </c>
      <c r="LS92" s="32">
        <v>22.078997954545457</v>
      </c>
      <c r="LT92" s="32">
        <v>1.2999999999999999E-2</v>
      </c>
      <c r="LU92" s="32">
        <v>1035.5589814280302</v>
      </c>
      <c r="LV92" s="32">
        <v>11.767715698045798</v>
      </c>
      <c r="LW92" s="32">
        <v>58.376824992424261</v>
      </c>
      <c r="LX92" s="32">
        <v>0.66337301127754844</v>
      </c>
      <c r="LY92" s="32">
        <v>546.96790321022718</v>
      </c>
      <c r="LZ92" s="32">
        <v>6.2155443546616729</v>
      </c>
      <c r="MA92" s="32">
        <v>244.43688170992365</v>
      </c>
      <c r="MB92" s="32">
        <v>2.7776918376127688</v>
      </c>
      <c r="MC92" s="32">
        <v>1108.4188159160306</v>
      </c>
      <c r="MD92" s="32">
        <v>12.595668362682165</v>
      </c>
      <c r="ME92" s="32">
        <v>0.12</v>
      </c>
      <c r="MF92" s="32">
        <v>-124.88533613533833</v>
      </c>
      <c r="MG92" s="8">
        <v>-1.4191515469924811</v>
      </c>
      <c r="MH92" s="32">
        <v>963.79478354887237</v>
      </c>
      <c r="MI92" s="32">
        <v>0.84330856903622686</v>
      </c>
      <c r="MJ92" s="32">
        <v>0.26300000000000001</v>
      </c>
      <c r="MK92" s="32">
        <v>128175.80657650002</v>
      </c>
      <c r="ML92" s="32">
        <v>144290.88218800002</v>
      </c>
      <c r="MM92" s="32">
        <v>0.26300000000000001</v>
      </c>
      <c r="MN92" s="32">
        <v>4.0000000000000001E-3</v>
      </c>
      <c r="MO92" s="32">
        <v>45.627376425855509</v>
      </c>
      <c r="MP92" s="32">
        <v>9.8441172492322906</v>
      </c>
      <c r="MQ92" s="32">
        <v>4.6015675470542812</v>
      </c>
      <c r="MR92" s="32">
        <v>19.267797149391029</v>
      </c>
      <c r="MS92" s="32">
        <v>81.628190683857966</v>
      </c>
      <c r="MT92" s="32">
        <v>9.8441172492322906</v>
      </c>
      <c r="MU92" s="32">
        <v>32.018127895779543</v>
      </c>
      <c r="MV92" s="32">
        <v>19.267797149391029</v>
      </c>
      <c r="MW92" s="32" t="s">
        <v>34</v>
      </c>
      <c r="MX92" s="32" t="s">
        <v>34</v>
      </c>
      <c r="MY92" s="32" t="s">
        <v>34</v>
      </c>
      <c r="MZ92" s="32" t="s">
        <v>34</v>
      </c>
      <c r="NA92" s="32" t="s">
        <v>34</v>
      </c>
      <c r="NB92" s="17" t="s">
        <v>34</v>
      </c>
      <c r="NC92" s="69"/>
      <c r="ND92" s="32">
        <v>9.431630000000002</v>
      </c>
      <c r="NE92" s="32">
        <v>0.10717761363636366</v>
      </c>
      <c r="NF92" s="32">
        <v>1.7000000000000001E-2</v>
      </c>
      <c r="NG92" s="32">
        <v>1969.8221020000001</v>
      </c>
      <c r="NH92" s="32">
        <v>22.384342068181819</v>
      </c>
      <c r="NI92" s="32">
        <v>4.7E-2</v>
      </c>
      <c r="NJ92" s="32">
        <v>1041.7274952663936</v>
      </c>
      <c r="NK92" s="32">
        <v>11.837812446209018</v>
      </c>
      <c r="NL92" s="32">
        <v>63.900453413934422</v>
      </c>
      <c r="NM92" s="32">
        <v>0.7261415160674366</v>
      </c>
      <c r="NN92" s="32">
        <v>552.81397434016401</v>
      </c>
      <c r="NO92" s="32">
        <v>6.2819769811382278</v>
      </c>
      <c r="NP92" s="32">
        <v>233.55883758015267</v>
      </c>
      <c r="NQ92" s="32">
        <v>2.654077699774462</v>
      </c>
      <c r="NR92" s="32">
        <v>1021.1304338396948</v>
      </c>
      <c r="NS92" s="32">
        <v>11.603754929996532</v>
      </c>
      <c r="NT92" s="32">
        <v>0.123</v>
      </c>
      <c r="NU92" s="32">
        <v>-132.78316008849558</v>
      </c>
      <c r="NV92" s="8">
        <v>-1.5088995464601771</v>
      </c>
      <c r="NW92" s="32">
        <v>1065.6055045309733</v>
      </c>
      <c r="NX92" s="32">
        <v>-1.5871913120474657</v>
      </c>
      <c r="NY92" s="32">
        <v>0.12</v>
      </c>
      <c r="NZ92" s="32">
        <v>119551.4377525</v>
      </c>
      <c r="OA92" s="32">
        <v>133523.76613350003</v>
      </c>
      <c r="OB92" s="32">
        <v>0.24299999999999999</v>
      </c>
      <c r="OC92" s="32">
        <v>4.0000000000000001E-3</v>
      </c>
      <c r="OD92" s="32">
        <v>50.617283950617285</v>
      </c>
      <c r="OE92" s="32">
        <v>5.2010125760120847</v>
      </c>
      <c r="OF92" s="32">
        <v>10.807542804575695</v>
      </c>
      <c r="OG92" s="32">
        <v>19.00991912567941</v>
      </c>
      <c r="OH92" s="32">
        <v>84.78872236729076</v>
      </c>
      <c r="OI92" s="32">
        <v>5.2010125760120847</v>
      </c>
      <c r="OJ92" s="32">
        <v>10.807542804575695</v>
      </c>
      <c r="OK92" s="32">
        <v>19.00991912567941</v>
      </c>
      <c r="OL92" s="32">
        <v>0.36101062372720755</v>
      </c>
      <c r="OM92" s="32">
        <v>5.4564103451106956</v>
      </c>
      <c r="ON92" s="69"/>
      <c r="OO92" s="32">
        <v>0.59390112125308303</v>
      </c>
      <c r="OP92" s="32">
        <v>6.13022086044736</v>
      </c>
      <c r="OQ92" s="32">
        <v>-4.5515236604742642</v>
      </c>
      <c r="OR92" s="32">
        <v>1.3734645821941693</v>
      </c>
      <c r="OS92" s="32">
        <v>113.33333333333336</v>
      </c>
      <c r="OT92" s="32">
        <v>-198.06766852075086</v>
      </c>
      <c r="OU92" s="32">
        <v>-7.9051383399209554</v>
      </c>
      <c r="OV92" s="32" t="s">
        <v>34</v>
      </c>
      <c r="OW92" s="32">
        <v>-12.230352038587363</v>
      </c>
      <c r="OX92" s="32">
        <v>9.3302480559257202</v>
      </c>
      <c r="OY92" s="32">
        <v>-1.3474054818655432</v>
      </c>
    </row>
    <row r="93" spans="1:415" ht="15.75" x14ac:dyDescent="0.25">
      <c r="A93" s="10">
        <v>92</v>
      </c>
      <c r="B93" s="3" t="s">
        <v>480</v>
      </c>
      <c r="C93" s="3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9"/>
      <c r="K93" s="32">
        <v>1554.4336329999999</v>
      </c>
      <c r="L93" s="32">
        <v>19.11972488314883</v>
      </c>
      <c r="M93" s="32">
        <v>0.123</v>
      </c>
      <c r="N93" s="32">
        <v>941.34392601435411</v>
      </c>
      <c r="O93" s="32">
        <v>11.57864607643732</v>
      </c>
      <c r="P93" s="32">
        <v>512.45468713875596</v>
      </c>
      <c r="Q93" s="32">
        <v>6.3032556843635419</v>
      </c>
      <c r="R93" s="32">
        <v>726.89930657655509</v>
      </c>
      <c r="S93" s="32">
        <v>8.9409508804004325</v>
      </c>
      <c r="T93" s="32">
        <v>0.20799999999999999</v>
      </c>
      <c r="U93" s="32">
        <v>0.04</v>
      </c>
      <c r="V93" s="32">
        <v>34.287872370604823</v>
      </c>
      <c r="W93" s="32">
        <v>63.991259913317727</v>
      </c>
      <c r="X93" s="32">
        <v>87.387341931506697</v>
      </c>
      <c r="Y93" s="32">
        <v>98.45557996310319</v>
      </c>
      <c r="Z93" s="32">
        <v>0.2635048843995404</v>
      </c>
      <c r="AA93" s="32">
        <v>5.8990695240513391</v>
      </c>
      <c r="AB93" s="69"/>
      <c r="AC93" s="32">
        <v>872.56102699999997</v>
      </c>
      <c r="AD93" s="32">
        <v>10.732607958179582</v>
      </c>
      <c r="AE93" s="32">
        <v>1.2E-2</v>
      </c>
      <c r="AF93" s="32">
        <v>1534.7227759999996</v>
      </c>
      <c r="AG93" s="32">
        <v>18.877278917589173</v>
      </c>
      <c r="AH93" s="32">
        <v>7.0000000000000007E-2</v>
      </c>
      <c r="AI93" s="32">
        <v>917.08857838036829</v>
      </c>
      <c r="AJ93" s="32">
        <v>11.280302317101702</v>
      </c>
      <c r="AK93" s="32">
        <v>438.9993457730061</v>
      </c>
      <c r="AL93" s="32">
        <v>5.3997459504674801</v>
      </c>
      <c r="AM93" s="32">
        <v>678.04396207668719</v>
      </c>
      <c r="AN93" s="32">
        <v>8.3400241337845902</v>
      </c>
      <c r="AO93" s="32">
        <v>0.16200000000000001</v>
      </c>
      <c r="AP93" s="32">
        <v>0.04</v>
      </c>
      <c r="AQ93" s="32">
        <v>35.195128320645317</v>
      </c>
      <c r="AR93" s="32">
        <v>64.804871679354676</v>
      </c>
      <c r="AS93" s="32">
        <v>53.287977782100469</v>
      </c>
      <c r="AT93" s="32">
        <v>96.389079148118569</v>
      </c>
      <c r="AU93" s="32">
        <v>0.16330180235847835</v>
      </c>
      <c r="AV93" s="32">
        <v>9.3980761622642284</v>
      </c>
      <c r="AW93" s="69"/>
      <c r="AX93" s="32">
        <v>-2.6103017006674238</v>
      </c>
      <c r="AY93" s="32">
        <v>-1.2761320173089534</v>
      </c>
      <c r="AZ93" s="32">
        <v>-54.92227979274611</v>
      </c>
      <c r="BA93" s="32">
        <v>-24.86486486486486</v>
      </c>
      <c r="BB93" s="32">
        <v>2.6114472346176103</v>
      </c>
      <c r="BC93" s="69"/>
      <c r="BD93" s="32">
        <v>2178.2196409999997</v>
      </c>
      <c r="BE93" s="32">
        <v>26.792369507995076</v>
      </c>
      <c r="BF93" s="32">
        <v>4.1000000000000002E-2</v>
      </c>
      <c r="BG93" s="32">
        <v>2178.2196409999997</v>
      </c>
      <c r="BH93" s="32">
        <v>26.792369507995076</v>
      </c>
      <c r="BI93" s="32">
        <v>4.1000000000000002E-2</v>
      </c>
      <c r="BJ93" s="32">
        <v>1258.1477753909776</v>
      </c>
      <c r="BK93" s="32">
        <v>15.475372391032936</v>
      </c>
      <c r="BL93" s="32">
        <v>195.73977940601503</v>
      </c>
      <c r="BM93" s="32">
        <v>2.4076233629276143</v>
      </c>
      <c r="BN93" s="32">
        <v>726.94377739849631</v>
      </c>
      <c r="BO93" s="32">
        <v>8.9414978769802751</v>
      </c>
      <c r="BP93" s="32">
        <v>289.12687784112143</v>
      </c>
      <c r="BQ93" s="32">
        <v>3.5562961604073977</v>
      </c>
      <c r="BR93" s="32">
        <v>1302.9872501682246</v>
      </c>
      <c r="BS93" s="32">
        <v>16.026903446103624</v>
      </c>
      <c r="BT93" s="32">
        <v>0.09</v>
      </c>
      <c r="BU93" s="32">
        <v>-188.5840487692308</v>
      </c>
      <c r="BV93" s="8">
        <v>-2.3196069959314984</v>
      </c>
      <c r="BW93" s="32">
        <v>1073.6160907307692</v>
      </c>
      <c r="BX93" s="32" t="s">
        <v>34</v>
      </c>
      <c r="BY93" s="32">
        <v>4.2000000000000003E-2</v>
      </c>
      <c r="BZ93" s="32">
        <v>26808.0650465</v>
      </c>
      <c r="CA93" s="32">
        <v>138789.95272</v>
      </c>
      <c r="CB93" s="32">
        <v>0.13200000000000001</v>
      </c>
      <c r="CC93" s="32">
        <v>9.4E-2</v>
      </c>
      <c r="CD93" s="32">
        <v>68.181818181818173</v>
      </c>
      <c r="CE93" s="32">
        <v>11.914800446222714</v>
      </c>
      <c r="CF93" s="32">
        <v>12.366901793821508</v>
      </c>
      <c r="CG93" s="32">
        <v>18.267128506355615</v>
      </c>
      <c r="CH93" s="32">
        <v>79.490178376573169</v>
      </c>
      <c r="CI93" s="32">
        <v>11.914800446222714</v>
      </c>
      <c r="CJ93" s="32">
        <v>34.904768675081016</v>
      </c>
      <c r="CK93" s="32">
        <v>18.267128506355615</v>
      </c>
      <c r="CL93" s="32">
        <v>27.345541038840238</v>
      </c>
      <c r="CM93" s="32" t="s">
        <v>34</v>
      </c>
      <c r="CN93" s="32" t="s">
        <v>34</v>
      </c>
      <c r="CO93" s="32" t="s">
        <v>34</v>
      </c>
      <c r="CP93" s="32" t="s">
        <v>34</v>
      </c>
      <c r="CQ93" s="17" t="s">
        <v>34</v>
      </c>
      <c r="CR93" s="69"/>
      <c r="CS93" s="32">
        <v>1432.4716129999999</v>
      </c>
      <c r="CT93" s="32">
        <v>17.619577035670357</v>
      </c>
      <c r="CU93" s="32">
        <v>2.1999999999999999E-2</v>
      </c>
      <c r="CV93" s="32">
        <v>2382.1087109999999</v>
      </c>
      <c r="CW93" s="32">
        <v>29.300230147601475</v>
      </c>
      <c r="CX93" s="32">
        <v>4.2999999999999997E-2</v>
      </c>
      <c r="CY93" s="32">
        <v>1390.834979128</v>
      </c>
      <c r="CZ93" s="32">
        <v>17.107441317687577</v>
      </c>
      <c r="DA93" s="32">
        <v>216.20585299999999</v>
      </c>
      <c r="DB93" s="32">
        <v>2.659358585485855</v>
      </c>
      <c r="DC93" s="32">
        <v>803.52041606399996</v>
      </c>
      <c r="DD93" s="32">
        <v>9.8833999515867159</v>
      </c>
      <c r="DE93" s="32">
        <v>333.09902252000001</v>
      </c>
      <c r="DF93" s="32">
        <v>4.097158948585486</v>
      </c>
      <c r="DG93" s="32">
        <v>1444.9145380300001</v>
      </c>
      <c r="DH93" s="32">
        <v>17.772626544034441</v>
      </c>
      <c r="DI93" s="32">
        <v>8.1000000000000003E-2</v>
      </c>
      <c r="DJ93" s="32">
        <v>-251.36682507999996</v>
      </c>
      <c r="DK93" s="8">
        <v>-3.0918428669126685</v>
      </c>
      <c r="DL93" s="32">
        <v>1174.5167435199999</v>
      </c>
      <c r="DM93" s="32">
        <v>-1.8793387537515378</v>
      </c>
      <c r="DN93" s="32">
        <v>4.1000000000000002E-2</v>
      </c>
      <c r="DO93" s="32">
        <v>28155.516672999998</v>
      </c>
      <c r="DP93" s="32">
        <v>144497.33279300004</v>
      </c>
      <c r="DQ93" s="32">
        <v>0.124</v>
      </c>
      <c r="DR93" s="32">
        <v>9.4E-2</v>
      </c>
      <c r="DS93" s="32">
        <v>65.322580645161281</v>
      </c>
      <c r="DT93" s="32">
        <v>12.661479726785549</v>
      </c>
      <c r="DU93" s="32">
        <v>14.720581869431948</v>
      </c>
      <c r="DV93" s="32">
        <v>19.506995125839925</v>
      </c>
      <c r="DW93" s="32">
        <v>81.450287525441681</v>
      </c>
      <c r="DX93" s="32">
        <v>12.661479726785549</v>
      </c>
      <c r="DY93" s="32">
        <v>14.720581869431948</v>
      </c>
      <c r="DZ93" s="32">
        <v>19.506995125839925</v>
      </c>
      <c r="EA93" s="32">
        <v>0.14835650056369648</v>
      </c>
      <c r="EB93" s="32">
        <v>16.056652064108562</v>
      </c>
      <c r="EC93" s="69"/>
      <c r="ED93" s="32">
        <v>10.017974145786145</v>
      </c>
      <c r="EE93" s="32">
        <v>28.540812187264585</v>
      </c>
      <c r="EF93" s="32">
        <v>14.133820097607142</v>
      </c>
      <c r="EG93" s="32">
        <v>8.9418591935636211</v>
      </c>
      <c r="EH93" s="32">
        <v>4.7619047619047494</v>
      </c>
      <c r="EI93" s="32">
        <v>-41.30777048155776</v>
      </c>
      <c r="EJ93" s="32">
        <v>-6.2500000000000053</v>
      </c>
      <c r="EK93" s="32">
        <v>153.16781035814549</v>
      </c>
      <c r="EL93" s="32">
        <v>-2.3539511152289294</v>
      </c>
      <c r="EM93" s="32">
        <v>21.068076965879829</v>
      </c>
      <c r="EN93" s="32">
        <v>6.5646347301492405</v>
      </c>
      <c r="EO93" s="69"/>
      <c r="EP93" s="32">
        <v>1518.2039150000001</v>
      </c>
      <c r="EQ93" s="32">
        <v>18.674094895448956</v>
      </c>
      <c r="ER93" s="32">
        <v>0.17499999999999999</v>
      </c>
      <c r="ES93" s="32">
        <v>842.00950330970147</v>
      </c>
      <c r="ET93" s="32">
        <v>10.356820458913917</v>
      </c>
      <c r="EU93" s="32">
        <v>404.86108314552234</v>
      </c>
      <c r="EV93" s="32">
        <v>4.9798411211011357</v>
      </c>
      <c r="EW93" s="32">
        <v>623.43529322761196</v>
      </c>
      <c r="EX93" s="32">
        <v>7.6683307900075279</v>
      </c>
      <c r="EY93" s="32">
        <v>0.26700000000000002</v>
      </c>
      <c r="EZ93" s="32">
        <v>4.5999999999999999E-2</v>
      </c>
      <c r="FA93" s="32">
        <v>31.36250920652067</v>
      </c>
      <c r="FB93" s="32">
        <v>67.576100112742381</v>
      </c>
      <c r="FC93" s="32">
        <v>51.934526056650022</v>
      </c>
      <c r="FD93" s="32">
        <v>99.259410832487816</v>
      </c>
      <c r="FE93" s="32">
        <v>0.35613822282577084</v>
      </c>
      <c r="FF93" s="32">
        <v>4.2629625737834171</v>
      </c>
      <c r="FG93" s="69"/>
      <c r="FH93" s="32">
        <v>448.82297399999993</v>
      </c>
      <c r="FI93" s="32">
        <v>5.5205777859778591</v>
      </c>
      <c r="FJ93" s="32">
        <v>1.2999999999999999E-2</v>
      </c>
      <c r="FK93" s="32">
        <v>1616.6860130000002</v>
      </c>
      <c r="FL93" s="32">
        <v>19.885436814268147</v>
      </c>
      <c r="FM93" s="32">
        <v>8.8999999999999996E-2</v>
      </c>
      <c r="FN93" s="32">
        <v>942.52513329775263</v>
      </c>
      <c r="FO93" s="32">
        <v>11.593175071313071</v>
      </c>
      <c r="FP93" s="32">
        <v>353.30285899999996</v>
      </c>
      <c r="FQ93" s="32">
        <v>4.3456686223862233</v>
      </c>
      <c r="FR93" s="32">
        <v>647.91399614887632</v>
      </c>
      <c r="FS93" s="32">
        <v>7.9694218468496478</v>
      </c>
      <c r="FT93" s="32">
        <v>0.17699999999999999</v>
      </c>
      <c r="FU93" s="32">
        <v>4.5999999999999999E-2</v>
      </c>
      <c r="FV93" s="32">
        <v>29.551419336340526</v>
      </c>
      <c r="FW93" s="32">
        <v>70.448580663659484</v>
      </c>
      <c r="FX93" s="32">
        <v>98.550728520037225</v>
      </c>
      <c r="FY93" s="32">
        <v>98.04241481137484</v>
      </c>
      <c r="FZ93" s="32">
        <v>0.19309797379581894</v>
      </c>
      <c r="GA93" s="32">
        <v>8.3723613522194587</v>
      </c>
      <c r="GB93" s="69"/>
      <c r="GC93" s="32">
        <v>11.265192384176927</v>
      </c>
      <c r="GD93" s="32">
        <v>6.2829700730723816</v>
      </c>
      <c r="GE93" s="32">
        <v>-65.151515151515142</v>
      </c>
      <c r="GF93" s="32">
        <v>-40.540540540540547</v>
      </c>
      <c r="GG93" s="32">
        <v>-5.9463899751788194</v>
      </c>
      <c r="GH93" s="69"/>
      <c r="GI93" s="32">
        <v>1294.0809510000001</v>
      </c>
      <c r="GJ93" s="32">
        <v>15.91735487084871</v>
      </c>
      <c r="GK93" s="32">
        <v>2.1000000000000001E-2</v>
      </c>
      <c r="GL93" s="32">
        <v>2300.7587100000001</v>
      </c>
      <c r="GM93" s="32">
        <v>28.299615129151292</v>
      </c>
      <c r="GN93" s="32">
        <v>4.2000000000000003E-2</v>
      </c>
      <c r="GO93" s="32">
        <v>1318.6432898425196</v>
      </c>
      <c r="GP93" s="32">
        <v>16.219474659809588</v>
      </c>
      <c r="GQ93" s="32">
        <v>196.19553974015747</v>
      </c>
      <c r="GR93" s="32">
        <v>2.4132292710966481</v>
      </c>
      <c r="GS93" s="32">
        <v>757.41941479133857</v>
      </c>
      <c r="GT93" s="32">
        <v>9.3163519654531193</v>
      </c>
      <c r="GU93" s="32">
        <v>278.97238064761905</v>
      </c>
      <c r="GV93" s="32">
        <v>3.4313945959116734</v>
      </c>
      <c r="GW93" s="32">
        <v>1420.8496841238093</v>
      </c>
      <c r="GX93" s="32">
        <v>17.476625880981665</v>
      </c>
      <c r="GY93" s="32">
        <v>8.7999999999999995E-2</v>
      </c>
      <c r="GZ93" s="32">
        <v>-198.87574640909091</v>
      </c>
      <c r="HA93" s="8">
        <v>-2.4461961427932462</v>
      </c>
      <c r="HB93" s="32">
        <v>830.84004440909086</v>
      </c>
      <c r="HC93" s="32">
        <v>1.9059309812143581</v>
      </c>
      <c r="HD93" s="32">
        <v>3.7999999999999999E-2</v>
      </c>
      <c r="HE93" s="32">
        <v>17123.683379499998</v>
      </c>
      <c r="HF93" s="32">
        <v>148541.76158250001</v>
      </c>
      <c r="HG93" s="32">
        <v>0.126</v>
      </c>
      <c r="HH93" s="32">
        <v>9.4E-2</v>
      </c>
      <c r="HI93" s="32">
        <v>69.841269841269835</v>
      </c>
      <c r="HJ93" s="32">
        <v>12.772874142811567</v>
      </c>
      <c r="HK93" s="32">
        <v>12.600736800389775</v>
      </c>
      <c r="HL93" s="32">
        <v>17.917112426584342</v>
      </c>
      <c r="HM93" s="32">
        <v>84.690391284694044</v>
      </c>
      <c r="HN93" s="32">
        <v>12.772874142811567</v>
      </c>
      <c r="HO93" s="32">
        <v>34.629684350129317</v>
      </c>
      <c r="HP93" s="32">
        <v>17.917112426584342</v>
      </c>
      <c r="HQ93" s="32">
        <v>25.834307892878513</v>
      </c>
      <c r="HR93" s="32">
        <v>69.841269841269835</v>
      </c>
      <c r="HS93" s="32" t="s">
        <v>34</v>
      </c>
      <c r="HT93" s="32" t="s">
        <v>34</v>
      </c>
      <c r="HU93" s="32" t="s">
        <v>34</v>
      </c>
      <c r="HV93" s="32" t="s">
        <v>34</v>
      </c>
      <c r="HW93" s="17" t="s">
        <v>34</v>
      </c>
      <c r="HX93" s="69"/>
      <c r="HY93" s="32">
        <v>2315.7808280000004</v>
      </c>
      <c r="HZ93" s="32">
        <v>28.484389028290288</v>
      </c>
      <c r="IA93" s="32">
        <v>4.4999999999999998E-2</v>
      </c>
      <c r="IB93" s="32">
        <v>2315.7808280000004</v>
      </c>
      <c r="IC93" s="32">
        <v>28.484389028290288</v>
      </c>
      <c r="ID93" s="32">
        <v>4.4999999999999998E-2</v>
      </c>
      <c r="IE93" s="32">
        <v>1357.1899856976747</v>
      </c>
      <c r="IF93" s="32">
        <v>16.693603760119</v>
      </c>
      <c r="IG93" s="32">
        <v>180.11481826356589</v>
      </c>
      <c r="IH93" s="32">
        <v>2.2154344189860504</v>
      </c>
      <c r="II93" s="32">
        <v>768.65240198062031</v>
      </c>
      <c r="IJ93" s="32">
        <v>9.4545190895525248</v>
      </c>
      <c r="IK93" s="32">
        <v>314.94813769072164</v>
      </c>
      <c r="IL93" s="32">
        <v>3.8739008326042024</v>
      </c>
      <c r="IM93" s="32">
        <v>1415.1921838144333</v>
      </c>
      <c r="IN93" s="32">
        <v>17.407037931296845</v>
      </c>
      <c r="IO93" s="32">
        <v>8.3000000000000004E-2</v>
      </c>
      <c r="IP93" s="32">
        <v>-228.59868125</v>
      </c>
      <c r="IQ93" s="8">
        <v>-2.8117918972939728</v>
      </c>
      <c r="IR93" s="32">
        <v>1181.3708226562499</v>
      </c>
      <c r="IS93" s="32">
        <v>-1.0775377129458794</v>
      </c>
      <c r="IT93" s="32">
        <v>4.4999999999999998E-2</v>
      </c>
      <c r="IU93" s="32">
        <v>36651.322984500002</v>
      </c>
      <c r="IV93" s="32">
        <v>136639.62170249998</v>
      </c>
      <c r="IW93" s="32">
        <v>0.128</v>
      </c>
      <c r="IX93" s="32">
        <v>9.4E-2</v>
      </c>
      <c r="IY93" s="32">
        <v>64.84375</v>
      </c>
      <c r="IZ93" s="32">
        <v>10.911300840278345</v>
      </c>
      <c r="JA93" s="32">
        <v>13.84843849526956</v>
      </c>
      <c r="JB93" s="32">
        <v>19.079462270562189</v>
      </c>
      <c r="JC93" s="32">
        <v>82.21815603028557</v>
      </c>
      <c r="JD93" s="32">
        <v>10.911300840278345</v>
      </c>
      <c r="JE93" s="32">
        <v>13.84843849526956</v>
      </c>
      <c r="JF93" s="32">
        <v>19.079462270562189</v>
      </c>
      <c r="JG93" s="32">
        <v>0.15252376300876599</v>
      </c>
      <c r="JH93" s="32">
        <v>15.18308217891861</v>
      </c>
      <c r="JI93" s="69"/>
      <c r="JJ93" s="32">
        <v>2.8810984755672684</v>
      </c>
      <c r="JK93" s="32">
        <v>13.90629844394482</v>
      </c>
      <c r="JL93" s="32">
        <v>12.114670543376702</v>
      </c>
      <c r="JM93" s="32">
        <v>0.65079559598045911</v>
      </c>
      <c r="JN93" s="32">
        <v>6.8965517241379208</v>
      </c>
      <c r="JO93" s="32">
        <v>56.606038654645118</v>
      </c>
      <c r="JP93" s="32">
        <v>1.5748031496063006</v>
      </c>
      <c r="JQ93" s="32">
        <v>143.57639666308225</v>
      </c>
      <c r="JR93" s="32">
        <v>14.370817076179391</v>
      </c>
      <c r="JS93" s="32">
        <v>8.0804757231949953</v>
      </c>
      <c r="JT93" s="32">
        <v>6.2835538343364332</v>
      </c>
      <c r="JU93" s="69"/>
      <c r="JV93" s="32">
        <v>1537.4819360000004</v>
      </c>
      <c r="JW93" s="32">
        <v>18.911216924969256</v>
      </c>
      <c r="JX93" s="32">
        <v>0.13500000000000001</v>
      </c>
      <c r="JY93" s="32">
        <v>922.60997462869204</v>
      </c>
      <c r="JZ93" s="32">
        <v>11.348216170094613</v>
      </c>
      <c r="KA93" s="32">
        <v>423.56313397468364</v>
      </c>
      <c r="KB93" s="32">
        <v>5.2098786466750759</v>
      </c>
      <c r="KC93" s="32">
        <v>673.08655430168778</v>
      </c>
      <c r="KD93" s="32">
        <v>8.2790474083848444</v>
      </c>
      <c r="KE93" s="32">
        <v>0.23599999999999999</v>
      </c>
      <c r="KF93" s="32">
        <v>5.6000000000000001E-2</v>
      </c>
      <c r="KG93" s="32">
        <v>32.368382661996691</v>
      </c>
      <c r="KH93" s="32">
        <v>67.565598379014347</v>
      </c>
      <c r="KI93" s="32">
        <v>60.00000291851164</v>
      </c>
      <c r="KJ93" s="32">
        <v>99.745382376124851</v>
      </c>
      <c r="KK93" s="32">
        <v>0.32831285045415576</v>
      </c>
      <c r="KL93" s="32">
        <v>4.6829782442971668</v>
      </c>
      <c r="KM93" s="69"/>
      <c r="KN93" s="32">
        <v>490.30049699999995</v>
      </c>
      <c r="KO93" s="32">
        <v>6.0307564206642059</v>
      </c>
      <c r="KP93" s="32">
        <v>1.7000000000000001E-2</v>
      </c>
      <c r="KQ93" s="32">
        <v>1624.7651249999999</v>
      </c>
      <c r="KR93" s="32">
        <v>19.984810885608855</v>
      </c>
      <c r="KS93" s="32">
        <v>8.7999999999999995E-2</v>
      </c>
      <c r="KT93" s="32">
        <v>933.60232888888891</v>
      </c>
      <c r="KU93" s="32">
        <v>11.483423479568129</v>
      </c>
      <c r="KV93" s="32">
        <v>342.03935453888886</v>
      </c>
      <c r="KW93" s="32">
        <v>4.2071261320896536</v>
      </c>
      <c r="KX93" s="32">
        <v>637.82084171388885</v>
      </c>
      <c r="KY93" s="32">
        <v>7.8452748058288915</v>
      </c>
      <c r="KZ93" s="32">
        <v>0.17899999999999999</v>
      </c>
      <c r="LA93" s="32">
        <v>5.6000000000000001E-2</v>
      </c>
      <c r="LB93" s="32">
        <v>28.522688579349204</v>
      </c>
      <c r="LC93" s="32">
        <v>71.477311420650793</v>
      </c>
      <c r="LD93" s="32">
        <v>47.252745377794959</v>
      </c>
      <c r="LE93" s="32">
        <v>99.518064435208558</v>
      </c>
      <c r="LF93" s="32">
        <v>0.19698494648083173</v>
      </c>
      <c r="LG93" s="32">
        <v>8.2481689795423172</v>
      </c>
      <c r="LH93" s="69"/>
      <c r="LI93" s="32">
        <v>1.1843854541170753</v>
      </c>
      <c r="LJ93" s="32">
        <v>5.52032699003587</v>
      </c>
      <c r="LK93" s="32">
        <v>-42.152466367713018</v>
      </c>
      <c r="LL93" s="32">
        <v>-27.469879518072286</v>
      </c>
      <c r="LM93" s="32">
        <v>-12.631389148680986</v>
      </c>
      <c r="LN93" s="69"/>
      <c r="LO93" s="32">
        <v>1227.6808269999997</v>
      </c>
      <c r="LP93" s="32">
        <v>15.10062517835178</v>
      </c>
      <c r="LQ93" s="32">
        <v>2.1000000000000001E-2</v>
      </c>
      <c r="LR93" s="32">
        <v>2325.9517100000003</v>
      </c>
      <c r="LS93" s="32">
        <v>28.609492127921282</v>
      </c>
      <c r="LT93" s="32">
        <v>5.2999999999999999E-2</v>
      </c>
      <c r="LU93" s="32">
        <v>1333.2410840148148</v>
      </c>
      <c r="LV93" s="32">
        <v>16.39902932367546</v>
      </c>
      <c r="LW93" s="32">
        <v>169.85095951111111</v>
      </c>
      <c r="LX93" s="32">
        <v>2.0891876938636056</v>
      </c>
      <c r="LY93" s="32">
        <v>751.54602176296294</v>
      </c>
      <c r="LZ93" s="32">
        <v>9.2441085087695321</v>
      </c>
      <c r="MA93" s="32">
        <v>253.97850485046729</v>
      </c>
      <c r="MB93" s="32">
        <v>3.123966849329241</v>
      </c>
      <c r="MC93" s="32">
        <v>1427.0584902897194</v>
      </c>
      <c r="MD93" s="32">
        <v>17.552994960513153</v>
      </c>
      <c r="ME93" s="32">
        <v>9.4E-2</v>
      </c>
      <c r="MF93" s="32">
        <v>-151.63644589285715</v>
      </c>
      <c r="MG93" s="8">
        <v>-1.8651469359515025</v>
      </c>
      <c r="MH93" s="32">
        <v>974.72456717857142</v>
      </c>
      <c r="MI93" s="32">
        <v>1.4003455842558428</v>
      </c>
      <c r="MJ93" s="32">
        <v>0.04</v>
      </c>
      <c r="MK93" s="32">
        <v>26118.735220999995</v>
      </c>
      <c r="ML93" s="32">
        <v>152040.61677050003</v>
      </c>
      <c r="MM93" s="32">
        <v>0.13400000000000001</v>
      </c>
      <c r="MN93" s="32">
        <v>0.1</v>
      </c>
      <c r="MO93" s="32">
        <v>70.149253731343279</v>
      </c>
      <c r="MP93" s="32">
        <v>9.6930900754032603</v>
      </c>
      <c r="MQ93" s="32">
        <v>10.857420458787113</v>
      </c>
      <c r="MR93" s="32">
        <v>16.235124149977114</v>
      </c>
      <c r="MS93" s="32">
        <v>85.225064749375264</v>
      </c>
      <c r="MT93" s="32">
        <v>9.6930900754032603</v>
      </c>
      <c r="MU93" s="32">
        <v>31.448795771342407</v>
      </c>
      <c r="MV93" s="32">
        <v>16.235124149977114</v>
      </c>
      <c r="MW93" s="32">
        <v>23.146683232133121</v>
      </c>
      <c r="MX93" s="32" t="s">
        <v>34</v>
      </c>
      <c r="MY93" s="32" t="s">
        <v>34</v>
      </c>
      <c r="MZ93" s="32" t="s">
        <v>34</v>
      </c>
      <c r="NA93" s="32" t="s">
        <v>34</v>
      </c>
      <c r="NB93" s="17" t="s">
        <v>34</v>
      </c>
      <c r="NC93" s="69"/>
      <c r="ND93" s="32">
        <v>2424.9568060000001</v>
      </c>
      <c r="NE93" s="32">
        <v>29.827266986469869</v>
      </c>
      <c r="NF93" s="32">
        <v>4.2000000000000003E-2</v>
      </c>
      <c r="NG93" s="32">
        <v>2424.9568060000001</v>
      </c>
      <c r="NH93" s="32">
        <v>29.827266986469869</v>
      </c>
      <c r="NI93" s="32">
        <v>4.2000000000000003E-2</v>
      </c>
      <c r="NJ93" s="32">
        <v>1282.6068215400001</v>
      </c>
      <c r="NK93" s="32">
        <v>15.776221667158673</v>
      </c>
      <c r="NL93" s="32">
        <v>132.07335820666665</v>
      </c>
      <c r="NM93" s="32">
        <v>1.6245185511275111</v>
      </c>
      <c r="NN93" s="32">
        <v>707.34008987333334</v>
      </c>
      <c r="NO93" s="32">
        <v>8.7003701091430923</v>
      </c>
      <c r="NP93" s="32">
        <v>260.75152688235289</v>
      </c>
      <c r="NQ93" s="32">
        <v>3.2072758534114749</v>
      </c>
      <c r="NR93" s="32">
        <v>1384.0376868431374</v>
      </c>
      <c r="NS93" s="32">
        <v>17.023833786508455</v>
      </c>
      <c r="NT93" s="32">
        <v>0.09</v>
      </c>
      <c r="NU93" s="32">
        <v>-141.36775022916666</v>
      </c>
      <c r="NV93" s="8">
        <v>-1.7388407162259123</v>
      </c>
      <c r="NW93" s="32">
        <v>1067.0662327708333</v>
      </c>
      <c r="NX93" s="32">
        <v>-0.40105409875973763</v>
      </c>
      <c r="NY93" s="32">
        <v>0.14899999999999999</v>
      </c>
      <c r="NZ93" s="32">
        <v>51224.084342000002</v>
      </c>
      <c r="OA93" s="32">
        <v>140446.6545035</v>
      </c>
      <c r="OB93" s="32">
        <v>0.14899999999999999</v>
      </c>
      <c r="OC93" s="32">
        <v>0.1</v>
      </c>
      <c r="OD93" s="32">
        <v>60.402684563758392</v>
      </c>
      <c r="OE93" s="32">
        <v>8.7747315613658348</v>
      </c>
      <c r="OF93" s="32">
        <v>9.3922353193600863</v>
      </c>
      <c r="OG93" s="32">
        <v>17.323892446413328</v>
      </c>
      <c r="OH93" s="32">
        <v>85.214237834243704</v>
      </c>
      <c r="OI93" s="32">
        <v>8.7747315613658348</v>
      </c>
      <c r="OJ93" s="32">
        <v>9.3922353193600863</v>
      </c>
      <c r="OK93" s="32">
        <v>17.323892446413328</v>
      </c>
      <c r="OL93" s="32">
        <v>0.21387134029008653</v>
      </c>
      <c r="OM93" s="32">
        <v>11.338390654450876</v>
      </c>
      <c r="ON93" s="69"/>
      <c r="OO93" s="32">
        <v>-3.8713460646768985</v>
      </c>
      <c r="OP93" s="32">
        <v>-7.0092481948033383</v>
      </c>
      <c r="OQ93" s="32">
        <v>2.6316793714501041</v>
      </c>
      <c r="OR93" s="32">
        <v>4.1678384530694617</v>
      </c>
      <c r="OS93" s="32">
        <v>-23.157894736842096</v>
      </c>
      <c r="OT93" s="32">
        <v>65.556789328518676</v>
      </c>
      <c r="OU93" s="32">
        <v>10.600706713780909</v>
      </c>
      <c r="OV93" s="32">
        <v>124.25135376132586</v>
      </c>
      <c r="OW93" s="32">
        <v>21.21712276151224</v>
      </c>
      <c r="OX93" s="32">
        <v>-3.1527338394316602</v>
      </c>
      <c r="OY93" s="32">
        <v>6.4886781965674194</v>
      </c>
    </row>
    <row r="94" spans="1:415" ht="15.75" x14ac:dyDescent="0.25">
      <c r="A94" s="10">
        <v>93</v>
      </c>
      <c r="B94" s="3" t="s">
        <v>482</v>
      </c>
      <c r="C94" s="3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9"/>
      <c r="K94" s="32">
        <v>1388.6136650000003</v>
      </c>
      <c r="L94" s="32">
        <v>16.279175439624858</v>
      </c>
      <c r="M94" s="32">
        <v>0.17399999999999999</v>
      </c>
      <c r="N94" s="32">
        <v>908.6347178509933</v>
      </c>
      <c r="O94" s="32">
        <v>10.652224124865104</v>
      </c>
      <c r="P94" s="32">
        <v>367.29458906622523</v>
      </c>
      <c r="Q94" s="32">
        <v>4.3059154638478923</v>
      </c>
      <c r="R94" s="32">
        <v>637.96465345860929</v>
      </c>
      <c r="S94" s="32">
        <v>7.4790697943564988</v>
      </c>
      <c r="T94" s="32">
        <v>0.30099999999999999</v>
      </c>
      <c r="U94" s="32">
        <v>7.6999999999999999E-2</v>
      </c>
      <c r="V94" s="32">
        <v>30.241477703221541</v>
      </c>
      <c r="W94" s="32">
        <v>69.758522296778452</v>
      </c>
      <c r="X94" s="32">
        <v>84.375002707603883</v>
      </c>
      <c r="Y94" s="32">
        <v>99.797547057372398</v>
      </c>
      <c r="Z94" s="32">
        <v>0.50754520195822639</v>
      </c>
      <c r="AA94" s="32">
        <v>2.7359408770734284</v>
      </c>
      <c r="AB94" s="69"/>
      <c r="AC94" s="32">
        <v>1211.0537429999999</v>
      </c>
      <c r="AD94" s="32">
        <v>14.197581981242672</v>
      </c>
      <c r="AE94" s="32">
        <v>4.1000000000000002E-2</v>
      </c>
      <c r="AF94" s="32">
        <v>1211.0537429999999</v>
      </c>
      <c r="AG94" s="32">
        <v>14.197581981242672</v>
      </c>
      <c r="AH94" s="32">
        <v>4.1000000000000002E-2</v>
      </c>
      <c r="AI94" s="32">
        <v>573.9322884956523</v>
      </c>
      <c r="AJ94" s="32">
        <v>6.7283972859982688</v>
      </c>
      <c r="AK94" s="32">
        <v>280.60451768260867</v>
      </c>
      <c r="AL94" s="32">
        <v>3.2896191990927162</v>
      </c>
      <c r="AM94" s="32">
        <v>427.26840308913052</v>
      </c>
      <c r="AN94" s="32">
        <v>5.0090082425454927</v>
      </c>
      <c r="AO94" s="32">
        <v>0.22900000000000001</v>
      </c>
      <c r="AP94" s="32">
        <v>7.6999999999999999E-2</v>
      </c>
      <c r="AQ94" s="32">
        <v>38.915546520906403</v>
      </c>
      <c r="AR94" s="32">
        <v>61.084453479093604</v>
      </c>
      <c r="AS94" s="32">
        <v>93.333353629391937</v>
      </c>
      <c r="AT94" s="32">
        <v>98.861288131387141</v>
      </c>
      <c r="AU94" s="32">
        <v>0.21631238033994357</v>
      </c>
      <c r="AV94" s="32">
        <v>5.5986335183255829</v>
      </c>
      <c r="AW94" s="69"/>
      <c r="AX94" s="32">
        <v>45.151743957950018</v>
      </c>
      <c r="AY94" s="32">
        <v>13.660202951623138</v>
      </c>
      <c r="AZ94" s="32">
        <v>123.72093023255812</v>
      </c>
      <c r="BA94" s="32">
        <v>27.169811320754711</v>
      </c>
      <c r="BB94" s="32">
        <v>-25.085141863748952</v>
      </c>
      <c r="BC94" s="69"/>
      <c r="BD94" s="32">
        <v>2054.8149449999996</v>
      </c>
      <c r="BE94" s="32">
        <v>24.089272508792494</v>
      </c>
      <c r="BF94" s="32">
        <v>2.5000000000000001E-2</v>
      </c>
      <c r="BG94" s="32">
        <v>2054.8149449999996</v>
      </c>
      <c r="BH94" s="32">
        <v>24.089272508792494</v>
      </c>
      <c r="BI94" s="32">
        <v>2.5000000000000001E-2</v>
      </c>
      <c r="BJ94" s="32">
        <v>1090.6837931594828</v>
      </c>
      <c r="BK94" s="32">
        <v>12.786445406324535</v>
      </c>
      <c r="BL94" s="32">
        <v>78.369136655172369</v>
      </c>
      <c r="BM94" s="32">
        <v>0.91874720580506886</v>
      </c>
      <c r="BN94" s="32">
        <v>584.52646490732752</v>
      </c>
      <c r="BO94" s="32">
        <v>6.8525963060648012</v>
      </c>
      <c r="BP94" s="32">
        <v>265.83992639130435</v>
      </c>
      <c r="BQ94" s="32">
        <v>3.1165290315510474</v>
      </c>
      <c r="BR94" s="32">
        <v>1083.7280813652173</v>
      </c>
      <c r="BS94" s="32">
        <v>12.704901305571131</v>
      </c>
      <c r="BT94" s="32">
        <v>0.115</v>
      </c>
      <c r="BU94" s="32">
        <v>-105.8970241965812</v>
      </c>
      <c r="BV94" s="8">
        <v>-1.241465699842687</v>
      </c>
      <c r="BW94" s="32">
        <v>1097.5206038974359</v>
      </c>
      <c r="BX94" s="32" t="s">
        <v>34</v>
      </c>
      <c r="BY94" s="32">
        <v>0.23100000000000001</v>
      </c>
      <c r="BZ94" s="32">
        <v>128402.4086325</v>
      </c>
      <c r="CA94" s="32">
        <v>123755.04119900001</v>
      </c>
      <c r="CB94" s="32">
        <v>0.23100000000000001</v>
      </c>
      <c r="CC94" s="32">
        <v>6.8000000000000005E-2</v>
      </c>
      <c r="CD94" s="32">
        <v>49.783549783549788</v>
      </c>
      <c r="CE94" s="32">
        <v>8.2690799860042556</v>
      </c>
      <c r="CF94" s="32">
        <v>6.1195360715021883</v>
      </c>
      <c r="CG94" s="32">
        <v>20.758388930008746</v>
      </c>
      <c r="CH94" s="32">
        <v>85.167185702329235</v>
      </c>
      <c r="CI94" s="32">
        <v>8.2690799860042556</v>
      </c>
      <c r="CJ94" s="32">
        <v>35.529816190712999</v>
      </c>
      <c r="CK94" s="32">
        <v>20.758388930008746</v>
      </c>
      <c r="CL94" s="32">
        <v>20.559291842882317</v>
      </c>
      <c r="CM94" s="32" t="s">
        <v>34</v>
      </c>
      <c r="CN94" s="32" t="s">
        <v>34</v>
      </c>
      <c r="CO94" s="32" t="s">
        <v>34</v>
      </c>
      <c r="CP94" s="32" t="s">
        <v>34</v>
      </c>
      <c r="CQ94" s="17" t="s">
        <v>34</v>
      </c>
      <c r="CR94" s="69"/>
      <c r="CS94" s="32">
        <v>103.69383000000001</v>
      </c>
      <c r="CT94" s="32">
        <v>1.2156369284876907</v>
      </c>
      <c r="CU94" s="32">
        <v>1.4E-2</v>
      </c>
      <c r="CV94" s="32">
        <v>2432.5129980000002</v>
      </c>
      <c r="CW94" s="32">
        <v>28.517151207502934</v>
      </c>
      <c r="CX94" s="32">
        <v>3.6999999999999998E-2</v>
      </c>
      <c r="CY94" s="32">
        <v>1168.6053337655503</v>
      </c>
      <c r="CZ94" s="32">
        <v>13.69994529619637</v>
      </c>
      <c r="DA94" s="32">
        <v>96.55256596650716</v>
      </c>
      <c r="DB94" s="32">
        <v>1.1319175377081732</v>
      </c>
      <c r="DC94" s="32">
        <v>632.57894986602878</v>
      </c>
      <c r="DD94" s="32">
        <v>7.4159314169522723</v>
      </c>
      <c r="DE94" s="32">
        <v>228.89235108000003</v>
      </c>
      <c r="DF94" s="32">
        <v>2.6833804347010557</v>
      </c>
      <c r="DG94" s="32">
        <v>1026.2699803359999</v>
      </c>
      <c r="DH94" s="32">
        <v>12.031301059038686</v>
      </c>
      <c r="DI94" s="32">
        <v>0.11899999999999999</v>
      </c>
      <c r="DJ94" s="32">
        <v>-100.38163807142858</v>
      </c>
      <c r="DK94" s="8">
        <v>-1.1768070113883773</v>
      </c>
      <c r="DL94" s="32">
        <v>1380.4138954166669</v>
      </c>
      <c r="DM94" s="32">
        <v>-0.71868303620275786</v>
      </c>
      <c r="DN94" s="32">
        <v>8.8999999999999996E-2</v>
      </c>
      <c r="DO94" s="32">
        <v>115070.65560049999</v>
      </c>
      <c r="DP94" s="32">
        <v>128283.49507049999</v>
      </c>
      <c r="DQ94" s="32">
        <v>0.20799999999999999</v>
      </c>
      <c r="DR94" s="32">
        <v>6.8000000000000005E-2</v>
      </c>
      <c r="DS94" s="32">
        <v>57.21153846153846</v>
      </c>
      <c r="DT94" s="32">
        <v>7.1741092383499181</v>
      </c>
      <c r="DU94" s="32">
        <v>7.4586193524752513</v>
      </c>
      <c r="DV94" s="32">
        <v>17.007302851384434</v>
      </c>
      <c r="DW94" s="32">
        <v>86.830445540521609</v>
      </c>
      <c r="DX94" s="32">
        <v>7.1741092383499181</v>
      </c>
      <c r="DY94" s="32">
        <v>7.4586193524752513</v>
      </c>
      <c r="DZ94" s="32">
        <v>17.007302851384434</v>
      </c>
      <c r="EA94" s="32">
        <v>0.32907753317077038</v>
      </c>
      <c r="EB94" s="32">
        <v>7.3919145271387459</v>
      </c>
      <c r="EC94" s="69"/>
      <c r="ED94" s="32">
        <v>-6.8978812563154603</v>
      </c>
      <c r="EE94" s="32">
        <v>5.3475100764292254</v>
      </c>
      <c r="EF94" s="32">
        <v>14.93639165819229</v>
      </c>
      <c r="EG94" s="32">
        <v>-16.833984847895504</v>
      </c>
      <c r="EH94" s="32">
        <v>-38.709677419354826</v>
      </c>
      <c r="EI94" s="32">
        <v>180.78417262862411</v>
      </c>
      <c r="EJ94" s="32">
        <v>10.478359908883835</v>
      </c>
      <c r="EK94" s="32">
        <v>-130.7343445661665</v>
      </c>
      <c r="EL94" s="32">
        <v>-15.865823741606388</v>
      </c>
      <c r="EM94" s="32">
        <v>10.306156241760361</v>
      </c>
      <c r="EN94" s="32">
        <v>19.865046298304208</v>
      </c>
      <c r="EO94" s="69"/>
      <c r="EP94" s="32">
        <v>1373.1587610000001</v>
      </c>
      <c r="EQ94" s="32">
        <v>16.097992508792498</v>
      </c>
      <c r="ER94" s="32">
        <v>0.20399999999999999</v>
      </c>
      <c r="ES94" s="32">
        <v>871.34703845189517</v>
      </c>
      <c r="ET94" s="32">
        <v>10.215088375754926</v>
      </c>
      <c r="EU94" s="32">
        <v>309.7545629241983</v>
      </c>
      <c r="EV94" s="32">
        <v>3.6313547822297574</v>
      </c>
      <c r="EW94" s="32">
        <v>590.55080068804671</v>
      </c>
      <c r="EX94" s="32">
        <v>6.923221578992341</v>
      </c>
      <c r="EY94" s="32">
        <v>0.34200000000000003</v>
      </c>
      <c r="EZ94" s="32">
        <v>5.7000000000000002E-2</v>
      </c>
      <c r="FA94" s="32">
        <v>27.138053717054838</v>
      </c>
      <c r="FB94" s="32">
        <v>72.523649595641146</v>
      </c>
      <c r="FC94" s="32">
        <v>68.794346602148678</v>
      </c>
      <c r="FD94" s="32">
        <v>99.767018442459303</v>
      </c>
      <c r="FE94" s="32">
        <v>0.61725490534634164</v>
      </c>
      <c r="FF94" s="32">
        <v>2.2246218687067718</v>
      </c>
      <c r="FG94" s="69"/>
      <c r="FH94" s="32">
        <v>1086.1703110000003</v>
      </c>
      <c r="FI94" s="32">
        <v>12.733532368112549</v>
      </c>
      <c r="FJ94" s="32">
        <v>4.8000000000000001E-2</v>
      </c>
      <c r="FK94" s="32">
        <v>1596.2897969999999</v>
      </c>
      <c r="FL94" s="32">
        <v>18.713831148886282</v>
      </c>
      <c r="FM94" s="32">
        <v>0.14499999999999999</v>
      </c>
      <c r="FN94" s="32">
        <v>1024.6478361166073</v>
      </c>
      <c r="FO94" s="32">
        <v>12.012284127978985</v>
      </c>
      <c r="FP94" s="32">
        <v>240.27120334982331</v>
      </c>
      <c r="FQ94" s="32">
        <v>2.8167784683449391</v>
      </c>
      <c r="FR94" s="32">
        <v>632.4595197332153</v>
      </c>
      <c r="FS94" s="32">
        <v>7.414531298161962</v>
      </c>
      <c r="FT94" s="32">
        <v>0.28199999999999997</v>
      </c>
      <c r="FU94" s="32">
        <v>5.7000000000000002E-2</v>
      </c>
      <c r="FV94" s="32">
        <v>22.580425534725872</v>
      </c>
      <c r="FW94" s="32">
        <v>77.41957446527411</v>
      </c>
      <c r="FX94" s="32">
        <v>77.027031583869388</v>
      </c>
      <c r="FY94" s="32">
        <v>99.206135223599517</v>
      </c>
      <c r="FZ94" s="32">
        <v>0.52058251555116064</v>
      </c>
      <c r="GA94" s="32">
        <v>3.0663530743247245</v>
      </c>
      <c r="GB94" s="69"/>
      <c r="GC94" s="32">
        <v>-16.171013932682801</v>
      </c>
      <c r="GD94" s="32">
        <v>-15.028449332712754</v>
      </c>
      <c r="GE94" s="32">
        <v>33.810888252148999</v>
      </c>
      <c r="GF94" s="32">
        <v>19.230769230769248</v>
      </c>
      <c r="GG94" s="32">
        <v>18.333739289363844</v>
      </c>
      <c r="GH94" s="69"/>
      <c r="GI94" s="32">
        <v>1824.1458</v>
      </c>
      <c r="GJ94" s="32">
        <v>21.385062133645956</v>
      </c>
      <c r="GK94" s="32">
        <v>2.7E-2</v>
      </c>
      <c r="GL94" s="32">
        <v>1885.1718880000001</v>
      </c>
      <c r="GM94" s="32">
        <v>22.100491066822979</v>
      </c>
      <c r="GN94" s="32">
        <v>9.9000000000000005E-2</v>
      </c>
      <c r="GO94" s="32">
        <v>1112.0041861802574</v>
      </c>
      <c r="GP94" s="32">
        <v>13.036391397189419</v>
      </c>
      <c r="GQ94" s="32">
        <v>83.596149768240338</v>
      </c>
      <c r="GR94" s="32">
        <v>0.98002520244127012</v>
      </c>
      <c r="GS94" s="32">
        <v>597.80016797424889</v>
      </c>
      <c r="GT94" s="32">
        <v>7.0082082998153448</v>
      </c>
      <c r="GU94" s="32">
        <v>212.05920806818179</v>
      </c>
      <c r="GV94" s="32">
        <v>2.4860399539059999</v>
      </c>
      <c r="GW94" s="32">
        <v>1003.2029596742423</v>
      </c>
      <c r="GX94" s="32">
        <v>11.760878776954774</v>
      </c>
      <c r="GY94" s="32">
        <v>0.12</v>
      </c>
      <c r="GZ94" s="32">
        <v>-84.296164049504952</v>
      </c>
      <c r="HA94" s="8">
        <v>-0.98823170046312958</v>
      </c>
      <c r="HB94" s="32">
        <v>1254.1998485445545</v>
      </c>
      <c r="HC94" s="32">
        <v>-0.59488026696690766</v>
      </c>
      <c r="HD94" s="32">
        <v>0.23200000000000001</v>
      </c>
      <c r="HE94" s="32">
        <v>126662.98577200001</v>
      </c>
      <c r="HF94" s="32">
        <v>132349.73611900001</v>
      </c>
      <c r="HG94" s="32">
        <v>0.23200000000000001</v>
      </c>
      <c r="HH94" s="32">
        <v>8.9999999999999993E-3</v>
      </c>
      <c r="HI94" s="32">
        <v>51.724137931034477</v>
      </c>
      <c r="HJ94" s="32">
        <v>6.8392601703328602</v>
      </c>
      <c r="HK94" s="32">
        <v>6.782465417611899</v>
      </c>
      <c r="HL94" s="32">
        <v>17.205149390205989</v>
      </c>
      <c r="HM94" s="32">
        <v>90.221020440736197</v>
      </c>
      <c r="HN94" s="32">
        <v>6.8392601703328602</v>
      </c>
      <c r="HO94" s="32">
        <v>32.541733219001067</v>
      </c>
      <c r="HP94" s="32">
        <v>17.205149390205989</v>
      </c>
      <c r="HQ94" s="32">
        <v>17.815502963156479</v>
      </c>
      <c r="HR94" s="32">
        <v>51.724137931034477</v>
      </c>
      <c r="HS94" s="32" t="s">
        <v>34</v>
      </c>
      <c r="HT94" s="32" t="s">
        <v>34</v>
      </c>
      <c r="HU94" s="32" t="s">
        <v>34</v>
      </c>
      <c r="HV94" s="32" t="s">
        <v>34</v>
      </c>
      <c r="HW94" s="17" t="s">
        <v>34</v>
      </c>
      <c r="HX94" s="69"/>
      <c r="HY94" s="32">
        <v>8.6742109999999997</v>
      </c>
      <c r="HZ94" s="32">
        <v>0.10169063305978898</v>
      </c>
      <c r="IA94" s="32">
        <v>1.2E-2</v>
      </c>
      <c r="IB94" s="32">
        <v>2360.9372109999999</v>
      </c>
      <c r="IC94" s="32">
        <v>27.67804467760844</v>
      </c>
      <c r="ID94" s="32">
        <v>9.6000000000000002E-2</v>
      </c>
      <c r="IE94" s="32">
        <v>945.56619961658726</v>
      </c>
      <c r="IF94" s="32">
        <v>11.085184051777107</v>
      </c>
      <c r="IG94" s="32">
        <v>43.74652785374149</v>
      </c>
      <c r="IH94" s="32">
        <v>0.51285495725371033</v>
      </c>
      <c r="II94" s="32">
        <v>494.65636373516435</v>
      </c>
      <c r="IJ94" s="32">
        <v>5.7990195045154085</v>
      </c>
      <c r="IK94" s="32">
        <v>229.334962875</v>
      </c>
      <c r="IL94" s="32">
        <v>2.6885693185814774</v>
      </c>
      <c r="IM94" s="32">
        <v>1038.0438408984376</v>
      </c>
      <c r="IN94" s="32">
        <v>12.169329905022716</v>
      </c>
      <c r="IO94" s="32">
        <v>0.127</v>
      </c>
      <c r="IP94" s="32">
        <v>-99.357807584337337</v>
      </c>
      <c r="IQ94" s="8">
        <v>-1.1648043093122784</v>
      </c>
      <c r="IR94" s="32">
        <v>874.25813886913625</v>
      </c>
      <c r="IS94" s="32">
        <v>-0.22326200122883094</v>
      </c>
      <c r="IT94" s="32">
        <v>0.16600000000000001</v>
      </c>
      <c r="IU94" s="32">
        <v>144187.79072977658</v>
      </c>
      <c r="IV94" s="32">
        <v>132867.80826250001</v>
      </c>
      <c r="IW94" s="32">
        <v>0.29299999999999998</v>
      </c>
      <c r="IX94" s="32">
        <v>8.9999999999999993E-3</v>
      </c>
      <c r="IY94" s="32">
        <v>43.344709897610926</v>
      </c>
      <c r="IZ94" s="32">
        <v>3.9714955467601647</v>
      </c>
      <c r="JA94" s="32">
        <v>9.0201236467570372</v>
      </c>
      <c r="JB94" s="32">
        <v>20.820001688352789</v>
      </c>
      <c r="JC94" s="32">
        <v>85.842514484793099</v>
      </c>
      <c r="JD94" s="32">
        <v>3.9714955467601647</v>
      </c>
      <c r="JE94" s="32">
        <v>9.0201236467570372</v>
      </c>
      <c r="JF94" s="32">
        <v>20.820001688352789</v>
      </c>
      <c r="JG94" s="32">
        <v>0.42498396073654482</v>
      </c>
      <c r="JH94" s="32">
        <v>5.5553560348683071</v>
      </c>
      <c r="JI94" s="69"/>
      <c r="JJ94" s="32">
        <v>16.178108677357635</v>
      </c>
      <c r="JK94" s="32">
        <v>-16.402197459536939</v>
      </c>
      <c r="JL94" s="32">
        <v>-7.8278128457849636</v>
      </c>
      <c r="JM94" s="32">
        <v>-22.409472385532776</v>
      </c>
      <c r="JN94" s="32">
        <v>3.0769230769230793</v>
      </c>
      <c r="JO94" s="32">
        <v>198.10691482023543</v>
      </c>
      <c r="JP94" s="32">
        <v>-23.238095238095227</v>
      </c>
      <c r="JQ94" s="32">
        <v>-109.5587653918918</v>
      </c>
      <c r="JR94" s="32">
        <v>52.277851484945757</v>
      </c>
      <c r="JS94" s="32">
        <v>-27.502499486444137</v>
      </c>
      <c r="JT94" s="32">
        <v>-19.012954297952049</v>
      </c>
      <c r="JU94" s="69"/>
      <c r="JV94" s="32">
        <v>1367.7486329999997</v>
      </c>
      <c r="JW94" s="32">
        <v>16.034567796014066</v>
      </c>
      <c r="JX94" s="32">
        <v>0.20799999999999999</v>
      </c>
      <c r="JY94" s="32">
        <v>825.47957338636377</v>
      </c>
      <c r="JZ94" s="32">
        <v>9.6773689728764811</v>
      </c>
      <c r="KA94" s="32">
        <v>302.58438232670449</v>
      </c>
      <c r="KB94" s="32">
        <v>3.5472963930446015</v>
      </c>
      <c r="KC94" s="32">
        <v>564.03197785653413</v>
      </c>
      <c r="KD94" s="32">
        <v>6.6123326829605409</v>
      </c>
      <c r="KE94" s="32">
        <v>0.35099999999999998</v>
      </c>
      <c r="KF94" s="32">
        <v>6.2E-2</v>
      </c>
      <c r="KG94" s="32">
        <v>30.044312123511567</v>
      </c>
      <c r="KH94" s="32">
        <v>69.955687876488412</v>
      </c>
      <c r="KI94" s="32">
        <v>95.631025492974999</v>
      </c>
      <c r="KJ94" s="32">
        <v>80.811300889001302</v>
      </c>
      <c r="KK94" s="32">
        <v>0.59678574305891974</v>
      </c>
      <c r="KL94" s="32">
        <v>2.2918587598781897</v>
      </c>
      <c r="KM94" s="69"/>
      <c r="KN94" s="32">
        <v>1161.0823160000002</v>
      </c>
      <c r="KO94" s="32">
        <v>13.611750480656509</v>
      </c>
      <c r="KP94" s="32">
        <v>0.05</v>
      </c>
      <c r="KQ94" s="32">
        <v>1584.6040279999997</v>
      </c>
      <c r="KR94" s="32">
        <v>18.57683502930832</v>
      </c>
      <c r="KS94" s="32">
        <v>0.13900000000000001</v>
      </c>
      <c r="KT94" s="32">
        <v>1023.7029576428572</v>
      </c>
      <c r="KU94" s="32">
        <v>12.001207006364094</v>
      </c>
      <c r="KV94" s="32">
        <v>234.38853737074834</v>
      </c>
      <c r="KW94" s="32">
        <v>2.7478140371717275</v>
      </c>
      <c r="KX94" s="32">
        <v>629.04574750680274</v>
      </c>
      <c r="KY94" s="32">
        <v>7.3745105217679106</v>
      </c>
      <c r="KZ94" s="32">
        <v>0.29299999999999998</v>
      </c>
      <c r="LA94" s="32">
        <v>6.2E-2</v>
      </c>
      <c r="LB94" s="32">
        <v>22.765852495639393</v>
      </c>
      <c r="LC94" s="32">
        <v>77.234147504360593</v>
      </c>
      <c r="LD94" s="32">
        <v>89.795937613402572</v>
      </c>
      <c r="LE94" s="32">
        <v>99.463829936802668</v>
      </c>
      <c r="LF94" s="32">
        <v>0.57322578268341084</v>
      </c>
      <c r="LG94" s="32">
        <v>2.7643627971199733</v>
      </c>
      <c r="LH94" s="69"/>
      <c r="LI94" s="32">
        <v>-21.439028428001201</v>
      </c>
      <c r="LJ94" s="32">
        <v>-14.690344948597595</v>
      </c>
      <c r="LK94" s="32">
        <v>39.769452449567716</v>
      </c>
      <c r="LL94" s="32">
        <v>18.012422360248447</v>
      </c>
      <c r="LM94" s="32">
        <v>27.564616320975183</v>
      </c>
      <c r="LN94" s="69"/>
      <c r="LO94" s="32">
        <v>88.491410999999999</v>
      </c>
      <c r="LP94" s="32">
        <v>1.0374139624853458</v>
      </c>
      <c r="LQ94" s="32">
        <v>5.0000000000000001E-3</v>
      </c>
      <c r="LR94" s="32">
        <v>2048.052338</v>
      </c>
      <c r="LS94" s="32">
        <v>24.00999223915592</v>
      </c>
      <c r="LT94" s="32">
        <v>3.1E-2</v>
      </c>
      <c r="LU94" s="32">
        <v>1226.0416506913043</v>
      </c>
      <c r="LV94" s="32">
        <v>14.373290160507672</v>
      </c>
      <c r="LW94" s="32">
        <v>66.137688408695652</v>
      </c>
      <c r="LX94" s="32">
        <v>0.77535390865997256</v>
      </c>
      <c r="LY94" s="32">
        <v>646.08966954999994</v>
      </c>
      <c r="LZ94" s="32">
        <v>7.5743220345838216</v>
      </c>
      <c r="MA94" s="32">
        <v>208.73338880769234</v>
      </c>
      <c r="MB94" s="32">
        <v>2.4470502791054201</v>
      </c>
      <c r="MC94" s="32">
        <v>1083.5471071538461</v>
      </c>
      <c r="MD94" s="32">
        <v>12.702779685273695</v>
      </c>
      <c r="ME94" s="32">
        <v>0.13</v>
      </c>
      <c r="MF94" s="32">
        <v>-119.23672211000002</v>
      </c>
      <c r="MG94" s="8">
        <v>-1.3978513729191093</v>
      </c>
      <c r="MH94" s="32">
        <v>1411.2845572899998</v>
      </c>
      <c r="MI94" s="32">
        <v>-0.13848324607268461</v>
      </c>
      <c r="MJ94" s="32">
        <v>9.9000000000000005E-2</v>
      </c>
      <c r="MK94" s="32">
        <v>140138.0624615</v>
      </c>
      <c r="ML94" s="32">
        <v>139878.27777250001</v>
      </c>
      <c r="MM94" s="32">
        <v>0.22900000000000001</v>
      </c>
      <c r="MN94" s="32" t="s">
        <v>34</v>
      </c>
      <c r="MO94" s="32">
        <v>56.768558951965062</v>
      </c>
      <c r="MP94" s="32">
        <v>8.4822202256754693</v>
      </c>
      <c r="MQ94" s="32">
        <v>4.7048797415122126</v>
      </c>
      <c r="MR94" s="32">
        <v>14.848802793195045</v>
      </c>
      <c r="MS94" s="32">
        <v>87.217722048920251</v>
      </c>
      <c r="MT94" s="32">
        <v>8.4822202256754693</v>
      </c>
      <c r="MU94" s="32">
        <v>25.159758313267062</v>
      </c>
      <c r="MV94" s="32">
        <v>14.848802793195045</v>
      </c>
      <c r="MW94" s="32">
        <v>16.064083544486685</v>
      </c>
      <c r="MX94" s="32" t="s">
        <v>34</v>
      </c>
      <c r="MY94" s="32" t="s">
        <v>34</v>
      </c>
      <c r="MZ94" s="32" t="s">
        <v>34</v>
      </c>
      <c r="NA94" s="32" t="s">
        <v>34</v>
      </c>
      <c r="NB94" s="17" t="s">
        <v>34</v>
      </c>
      <c r="NC94" s="69"/>
      <c r="ND94" s="32" t="s">
        <v>34</v>
      </c>
      <c r="NE94" s="32" t="s">
        <v>34</v>
      </c>
      <c r="NF94" s="32" t="s">
        <v>34</v>
      </c>
      <c r="NG94" s="32" t="s">
        <v>34</v>
      </c>
      <c r="NH94" s="32" t="s">
        <v>34</v>
      </c>
      <c r="NI94" s="32" t="s">
        <v>34</v>
      </c>
      <c r="NJ94" s="32" t="s">
        <v>34</v>
      </c>
      <c r="NK94" s="32" t="s">
        <v>34</v>
      </c>
      <c r="NL94" s="32" t="s">
        <v>34</v>
      </c>
      <c r="NM94" s="32" t="s">
        <v>34</v>
      </c>
      <c r="NN94" s="32" t="s">
        <v>34</v>
      </c>
      <c r="NO94" s="32" t="s">
        <v>34</v>
      </c>
      <c r="NP94" s="32" t="s">
        <v>34</v>
      </c>
      <c r="NQ94" s="32" t="s">
        <v>34</v>
      </c>
      <c r="NR94" s="32" t="s">
        <v>34</v>
      </c>
      <c r="NS94" s="32" t="s">
        <v>34</v>
      </c>
      <c r="NT94" s="32" t="s">
        <v>34</v>
      </c>
      <c r="NU94" s="32" t="s">
        <v>34</v>
      </c>
      <c r="NV94" s="8" t="s">
        <v>34</v>
      </c>
      <c r="NW94" s="32" t="s">
        <v>34</v>
      </c>
      <c r="NX94" s="32" t="s">
        <v>34</v>
      </c>
      <c r="NY94" s="32" t="s">
        <v>34</v>
      </c>
      <c r="NZ94" s="32" t="s">
        <v>34</v>
      </c>
      <c r="OA94" s="32" t="s">
        <v>34</v>
      </c>
      <c r="OB94" s="32" t="s">
        <v>34</v>
      </c>
      <c r="OC94" s="32" t="s">
        <v>34</v>
      </c>
      <c r="OD94" s="32" t="s">
        <v>34</v>
      </c>
      <c r="OE94" s="32" t="s">
        <v>34</v>
      </c>
      <c r="OF94" s="32" t="s">
        <v>34</v>
      </c>
      <c r="OG94" s="32" t="s">
        <v>34</v>
      </c>
      <c r="OH94" s="32" t="s">
        <v>34</v>
      </c>
      <c r="OI94" s="32" t="s">
        <v>34</v>
      </c>
      <c r="OJ94" s="32" t="s">
        <v>34</v>
      </c>
      <c r="OK94" s="32" t="s">
        <v>34</v>
      </c>
      <c r="OL94" s="32" t="s">
        <v>34</v>
      </c>
      <c r="OM94" s="32" t="s">
        <v>34</v>
      </c>
      <c r="ON94" s="69"/>
      <c r="OO94" s="32" t="s">
        <v>34</v>
      </c>
      <c r="OP94" s="32" t="s">
        <v>34</v>
      </c>
      <c r="OQ94" s="32" t="s">
        <v>34</v>
      </c>
      <c r="OR94" s="32" t="s">
        <v>34</v>
      </c>
      <c r="OS94" s="32" t="s">
        <v>34</v>
      </c>
      <c r="OT94" s="32" t="s">
        <v>34</v>
      </c>
      <c r="OU94" s="32" t="s">
        <v>34</v>
      </c>
      <c r="OV94" s="32" t="s">
        <v>34</v>
      </c>
      <c r="OW94" s="32" t="s">
        <v>34</v>
      </c>
      <c r="OX94" s="32" t="s">
        <v>34</v>
      </c>
      <c r="OY94" s="32" t="s">
        <v>34</v>
      </c>
    </row>
    <row r="95" spans="1:415" ht="15.75" x14ac:dyDescent="0.25">
      <c r="A95" s="10">
        <v>94</v>
      </c>
      <c r="B95" s="3" t="s">
        <v>484</v>
      </c>
      <c r="C95" s="3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9"/>
      <c r="K95" s="32">
        <v>1179.8193609999998</v>
      </c>
      <c r="L95" s="32">
        <v>15.302456044098573</v>
      </c>
      <c r="M95" s="32">
        <v>0.312</v>
      </c>
      <c r="N95" s="32">
        <v>618.55966717857143</v>
      </c>
      <c r="O95" s="32">
        <v>8.0228231800074123</v>
      </c>
      <c r="P95" s="32">
        <v>312.52083409285717</v>
      </c>
      <c r="Q95" s="32">
        <v>4.0534479130072265</v>
      </c>
      <c r="R95" s="32">
        <v>465.5402506357143</v>
      </c>
      <c r="S95" s="32">
        <v>6.0381355465073199</v>
      </c>
      <c r="T95" s="32">
        <v>0.41899999999999998</v>
      </c>
      <c r="U95" s="32">
        <v>5.0999999999999997E-2</v>
      </c>
      <c r="V95" s="32">
        <v>30.963928011394973</v>
      </c>
      <c r="W95" s="32">
        <v>67.870393019564247</v>
      </c>
      <c r="X95" s="32">
        <v>65.32109949858426</v>
      </c>
      <c r="Y95" s="32">
        <v>99.469472104577306</v>
      </c>
      <c r="Z95" s="32">
        <v>0.60403088832190999</v>
      </c>
      <c r="AA95" s="32">
        <v>1.9532434248151085</v>
      </c>
      <c r="AB95" s="69"/>
      <c r="AC95" s="32">
        <v>387.54440799999998</v>
      </c>
      <c r="AD95" s="32">
        <v>5.0265163164721143</v>
      </c>
      <c r="AE95" s="32">
        <v>1.6E-2</v>
      </c>
      <c r="AF95" s="32">
        <v>1615.0629529999999</v>
      </c>
      <c r="AG95" s="32">
        <v>20.947638819714655</v>
      </c>
      <c r="AH95" s="32">
        <v>0.123</v>
      </c>
      <c r="AI95" s="32">
        <v>1010.510126122807</v>
      </c>
      <c r="AJ95" s="32">
        <v>13.10648672014017</v>
      </c>
      <c r="AK95" s="32">
        <v>343.22855189473682</v>
      </c>
      <c r="AL95" s="32">
        <v>4.4517321905932148</v>
      </c>
      <c r="AM95" s="32">
        <v>676.86933900877193</v>
      </c>
      <c r="AN95" s="32">
        <v>8.779109455366692</v>
      </c>
      <c r="AO95" s="32">
        <v>0.22700000000000001</v>
      </c>
      <c r="AP95" s="32">
        <v>5.0999999999999997E-2</v>
      </c>
      <c r="AQ95" s="32">
        <v>28.273278168832675</v>
      </c>
      <c r="AR95" s="32">
        <v>71.72672183116731</v>
      </c>
      <c r="AS95" s="32">
        <v>60.48782882684641</v>
      </c>
      <c r="AT95" s="32">
        <v>98.015773518152017</v>
      </c>
      <c r="AU95" s="32">
        <v>0.35227057324684785</v>
      </c>
      <c r="AV95" s="32">
        <v>4.5847228683171073</v>
      </c>
      <c r="AW95" s="69"/>
      <c r="AX95" s="32">
        <v>-48.119541661862321</v>
      </c>
      <c r="AY95" s="32">
        <v>-31.145754497053225</v>
      </c>
      <c r="AZ95" s="32">
        <v>86.896551724137922</v>
      </c>
      <c r="BA95" s="32">
        <v>59.442724458204324</v>
      </c>
      <c r="BB95" s="32">
        <v>9.0843239108072247</v>
      </c>
      <c r="BC95" s="69"/>
      <c r="BD95" s="32">
        <v>1255.1642449999999</v>
      </c>
      <c r="BE95" s="32">
        <v>16.279691893644618</v>
      </c>
      <c r="BF95" s="32">
        <v>1.0999999999999999E-2</v>
      </c>
      <c r="BG95" s="32">
        <v>2070.522332</v>
      </c>
      <c r="BH95" s="32">
        <v>26.8550237613489</v>
      </c>
      <c r="BI95" s="32">
        <v>5.5E-2</v>
      </c>
      <c r="BJ95" s="32">
        <v>1330.8189627748345</v>
      </c>
      <c r="BK95" s="32">
        <v>17.260946339492019</v>
      </c>
      <c r="BL95" s="32">
        <v>116.99518274172186</v>
      </c>
      <c r="BM95" s="32">
        <v>1.5174472469743434</v>
      </c>
      <c r="BN95" s="32">
        <v>723.90707275827822</v>
      </c>
      <c r="BO95" s="32">
        <v>9.3891967932331806</v>
      </c>
      <c r="BP95" s="32">
        <v>304.01440516129031</v>
      </c>
      <c r="BQ95" s="32">
        <v>3.943118095477177</v>
      </c>
      <c r="BR95" s="32">
        <v>1166.2865242043013</v>
      </c>
      <c r="BS95" s="32">
        <v>15.126932869057086</v>
      </c>
      <c r="BT95" s="32">
        <v>9.2999999999999999E-2</v>
      </c>
      <c r="BU95" s="32">
        <v>-182.88046699999998</v>
      </c>
      <c r="BV95" s="8">
        <v>-2.3719904928664071</v>
      </c>
      <c r="BW95" s="32">
        <v>1594.638217724138</v>
      </c>
      <c r="BX95" s="32" t="s">
        <v>34</v>
      </c>
      <c r="BY95" s="32">
        <v>5.7000000000000002E-2</v>
      </c>
      <c r="BZ95" s="32">
        <v>91413.919025499999</v>
      </c>
      <c r="CA95" s="32">
        <v>107441.54934699999</v>
      </c>
      <c r="CB95" s="32">
        <v>0.15</v>
      </c>
      <c r="CC95" s="32" t="s">
        <v>34</v>
      </c>
      <c r="CD95" s="32">
        <v>62</v>
      </c>
      <c r="CE95" s="32">
        <v>11.411267114482413</v>
      </c>
      <c r="CF95" s="32">
        <v>7.3001961514756593</v>
      </c>
      <c r="CG95" s="32">
        <v>18.96971087648177</v>
      </c>
      <c r="CH95" s="32">
        <v>83.039653793327574</v>
      </c>
      <c r="CI95" s="32">
        <v>11.411267114482413</v>
      </c>
      <c r="CJ95" s="32">
        <v>33.532651029371486</v>
      </c>
      <c r="CK95" s="32">
        <v>18.96971087648177</v>
      </c>
      <c r="CL95" s="32">
        <v>23.434916585681371</v>
      </c>
      <c r="CM95" s="32" t="s">
        <v>34</v>
      </c>
      <c r="CN95" s="32" t="s">
        <v>34</v>
      </c>
      <c r="CO95" s="32" t="s">
        <v>34</v>
      </c>
      <c r="CP95" s="32" t="s">
        <v>34</v>
      </c>
      <c r="CQ95" s="17" t="s">
        <v>34</v>
      </c>
      <c r="CR95" s="69"/>
      <c r="CS95" s="32" t="s">
        <v>34</v>
      </c>
      <c r="CT95" s="32" t="s">
        <v>34</v>
      </c>
      <c r="CU95" s="32" t="s">
        <v>34</v>
      </c>
      <c r="CV95" s="32" t="s">
        <v>34</v>
      </c>
      <c r="CW95" s="32" t="s">
        <v>34</v>
      </c>
      <c r="CX95" s="32" t="s">
        <v>34</v>
      </c>
      <c r="CY95" s="32" t="s">
        <v>34</v>
      </c>
      <c r="CZ95" s="32" t="s">
        <v>34</v>
      </c>
      <c r="DA95" s="32" t="s">
        <v>34</v>
      </c>
      <c r="DB95" s="32" t="s">
        <v>34</v>
      </c>
      <c r="DC95" s="32" t="s">
        <v>34</v>
      </c>
      <c r="DD95" s="32" t="s">
        <v>34</v>
      </c>
      <c r="DE95" s="32" t="s">
        <v>34</v>
      </c>
      <c r="DF95" s="32" t="s">
        <v>34</v>
      </c>
      <c r="DG95" s="32" t="s">
        <v>34</v>
      </c>
      <c r="DH95" s="32" t="s">
        <v>34</v>
      </c>
      <c r="DI95" s="32" t="s">
        <v>34</v>
      </c>
      <c r="DJ95" s="32" t="s">
        <v>34</v>
      </c>
      <c r="DK95" s="8" t="s">
        <v>34</v>
      </c>
      <c r="DL95" s="32" t="s">
        <v>34</v>
      </c>
      <c r="DM95" s="32" t="s">
        <v>34</v>
      </c>
      <c r="DN95" s="32" t="s">
        <v>34</v>
      </c>
      <c r="DO95" s="32" t="s">
        <v>34</v>
      </c>
      <c r="DP95" s="32" t="s">
        <v>34</v>
      </c>
      <c r="DQ95" s="32" t="s">
        <v>34</v>
      </c>
      <c r="DR95" s="32" t="s">
        <v>34</v>
      </c>
      <c r="DS95" s="32" t="s">
        <v>34</v>
      </c>
      <c r="DT95" s="32" t="s">
        <v>34</v>
      </c>
      <c r="DU95" s="32" t="s">
        <v>34</v>
      </c>
      <c r="DV95" s="32" t="s">
        <v>34</v>
      </c>
      <c r="DW95" s="32" t="s">
        <v>34</v>
      </c>
      <c r="DX95" s="32" t="s">
        <v>34</v>
      </c>
      <c r="DY95" s="32" t="s">
        <v>34</v>
      </c>
      <c r="DZ95" s="32" t="s">
        <v>34</v>
      </c>
      <c r="EA95" s="32" t="s">
        <v>34</v>
      </c>
      <c r="EB95" s="32" t="s">
        <v>34</v>
      </c>
      <c r="EC95" s="69"/>
      <c r="ED95" s="32" t="s">
        <v>34</v>
      </c>
      <c r="EE95" s="32" t="s">
        <v>34</v>
      </c>
      <c r="EF95" s="32" t="s">
        <v>34</v>
      </c>
      <c r="EG95" s="32" t="s">
        <v>34</v>
      </c>
      <c r="EH95" s="32" t="s">
        <v>34</v>
      </c>
      <c r="EI95" s="32" t="s">
        <v>34</v>
      </c>
      <c r="EJ95" s="32" t="s">
        <v>34</v>
      </c>
      <c r="EK95" s="32" t="s">
        <v>34</v>
      </c>
      <c r="EL95" s="32" t="s">
        <v>34</v>
      </c>
      <c r="EM95" s="32" t="s">
        <v>34</v>
      </c>
      <c r="EN95" s="32" t="s">
        <v>34</v>
      </c>
      <c r="EO95" s="69"/>
      <c r="EP95" s="32">
        <v>1157.0968740000003</v>
      </c>
      <c r="EQ95" s="32">
        <v>15.007741556420239</v>
      </c>
      <c r="ER95" s="32">
        <v>0.27300000000000002</v>
      </c>
      <c r="ES95" s="32">
        <v>659.12644761675131</v>
      </c>
      <c r="ET95" s="32">
        <v>8.5489811623443757</v>
      </c>
      <c r="EU95" s="32">
        <v>311.42527179187817</v>
      </c>
      <c r="EV95" s="32">
        <v>4.0392382852383681</v>
      </c>
      <c r="EW95" s="32">
        <v>485.27585970431471</v>
      </c>
      <c r="EX95" s="32">
        <v>6.2941097237913715</v>
      </c>
      <c r="EY95" s="32">
        <v>0.39300000000000002</v>
      </c>
      <c r="EZ95" s="32">
        <v>5.6000000000000001E-2</v>
      </c>
      <c r="FA95" s="32">
        <v>33.814141814948286</v>
      </c>
      <c r="FB95" s="32">
        <v>66.185858185051742</v>
      </c>
      <c r="FC95" s="32">
        <v>84.645670623568748</v>
      </c>
      <c r="FD95" s="32">
        <v>76.428489566106933</v>
      </c>
      <c r="FE95" s="32">
        <v>0.57515286549701472</v>
      </c>
      <c r="FF95" s="32">
        <v>2.0118075444170871</v>
      </c>
      <c r="FG95" s="69"/>
      <c r="FH95" s="32">
        <v>420.29362099999997</v>
      </c>
      <c r="FI95" s="32">
        <v>5.451279130998703</v>
      </c>
      <c r="FJ95" s="32">
        <v>2.1000000000000001E-2</v>
      </c>
      <c r="FK95" s="32">
        <v>1611.8529479999997</v>
      </c>
      <c r="FL95" s="32">
        <v>20.906004513618676</v>
      </c>
      <c r="FM95" s="32">
        <v>0.128</v>
      </c>
      <c r="FN95" s="32">
        <v>996.52558493248966</v>
      </c>
      <c r="FO95" s="32">
        <v>12.92510486293761</v>
      </c>
      <c r="FP95" s="32">
        <v>295.93058354430377</v>
      </c>
      <c r="FQ95" s="32">
        <v>3.8382695660739792</v>
      </c>
      <c r="FR95" s="32">
        <v>646.22808423839672</v>
      </c>
      <c r="FS95" s="32">
        <v>8.3816872145057939</v>
      </c>
      <c r="FT95" s="32">
        <v>0.23599999999999999</v>
      </c>
      <c r="FU95" s="32">
        <v>5.6000000000000001E-2</v>
      </c>
      <c r="FV95" s="32">
        <v>26.308922573629054</v>
      </c>
      <c r="FW95" s="32">
        <v>73.691077426370953</v>
      </c>
      <c r="FX95" s="32">
        <v>86.528508574401059</v>
      </c>
      <c r="FY95" s="32">
        <v>98.157995050957965</v>
      </c>
      <c r="FZ95" s="32">
        <v>0.37037912984211613</v>
      </c>
      <c r="GA95" s="32">
        <v>4.3519000346674357</v>
      </c>
      <c r="GB95" s="69"/>
      <c r="GC95" s="32">
        <v>-40.757252210325632</v>
      </c>
      <c r="GD95" s="32">
        <v>-32.846826647911676</v>
      </c>
      <c r="GE95" s="32">
        <v>72.319201995012477</v>
      </c>
      <c r="GF95" s="32">
        <v>49.920508744038166</v>
      </c>
      <c r="GG95" s="32">
        <v>24.966189989295135</v>
      </c>
      <c r="GH95" s="69"/>
      <c r="GI95" s="32">
        <v>1588.1386319999999</v>
      </c>
      <c r="GJ95" s="32">
        <v>20.598425836575878</v>
      </c>
      <c r="GK95" s="32">
        <v>1.7999999999999999E-2</v>
      </c>
      <c r="GL95" s="32">
        <v>2068.4665150000001</v>
      </c>
      <c r="GM95" s="32">
        <v>26.828359468223091</v>
      </c>
      <c r="GN95" s="32">
        <v>6.5000000000000002E-2</v>
      </c>
      <c r="GO95" s="32">
        <v>1275.469949607143</v>
      </c>
      <c r="GP95" s="32">
        <v>16.543060306188625</v>
      </c>
      <c r="GQ95" s="32">
        <v>133.79037171428573</v>
      </c>
      <c r="GR95" s="32">
        <v>1.7352836798221236</v>
      </c>
      <c r="GS95" s="32">
        <v>704.63016066071441</v>
      </c>
      <c r="GT95" s="32">
        <v>9.139171993005375</v>
      </c>
      <c r="GU95" s="32">
        <v>243.41435000833332</v>
      </c>
      <c r="GV95" s="32">
        <v>3.1571251622351926</v>
      </c>
      <c r="GW95" s="32">
        <v>1166.1355399583333</v>
      </c>
      <c r="GX95" s="32">
        <v>15.124974577929096</v>
      </c>
      <c r="GY95" s="32">
        <v>0.111</v>
      </c>
      <c r="GZ95" s="32">
        <v>-140.26957402083335</v>
      </c>
      <c r="HA95" s="8">
        <v>-1.8193200262105493</v>
      </c>
      <c r="HB95" s="32">
        <v>1548.8059737291667</v>
      </c>
      <c r="HC95" s="32">
        <v>-0.3006933857544315</v>
      </c>
      <c r="HD95" s="32">
        <v>5.6000000000000001E-2</v>
      </c>
      <c r="HE95" s="32">
        <v>73319.490124500007</v>
      </c>
      <c r="HF95" s="32">
        <v>139839.36065849999</v>
      </c>
      <c r="HG95" s="32">
        <v>0.16700000000000001</v>
      </c>
      <c r="HH95" s="32">
        <v>1.2999999999999999E-2</v>
      </c>
      <c r="HI95" s="32">
        <v>66.467065868263475</v>
      </c>
      <c r="HJ95" s="32">
        <v>9.5882056426366056</v>
      </c>
      <c r="HK95" s="32">
        <v>9.1453161240144301</v>
      </c>
      <c r="HL95" s="32">
        <v>16.638724830674846</v>
      </c>
      <c r="HM95" s="32">
        <v>87.185465937326271</v>
      </c>
      <c r="HN95" s="32">
        <v>9.5882056426366056</v>
      </c>
      <c r="HO95" s="32">
        <v>33.926489144522222</v>
      </c>
      <c r="HP95" s="32">
        <v>16.638724830674846</v>
      </c>
      <c r="HQ95" s="32">
        <v>22.235609213300396</v>
      </c>
      <c r="HR95" s="32">
        <v>66.467065868263475</v>
      </c>
      <c r="HS95" s="32" t="s">
        <v>34</v>
      </c>
      <c r="HT95" s="32" t="s">
        <v>34</v>
      </c>
      <c r="HU95" s="32" t="s">
        <v>34</v>
      </c>
      <c r="HV95" s="32" t="s">
        <v>34</v>
      </c>
      <c r="HW95" s="17" t="s">
        <v>34</v>
      </c>
      <c r="HX95" s="69"/>
      <c r="HY95" s="32">
        <v>1329.4991219999999</v>
      </c>
      <c r="HZ95" s="32">
        <v>17.243827782101167</v>
      </c>
      <c r="IA95" s="32">
        <v>1.2999999999999999E-2</v>
      </c>
      <c r="IB95" s="32">
        <v>2070.8108809999999</v>
      </c>
      <c r="IC95" s="32">
        <v>26.858766290531776</v>
      </c>
      <c r="ID95" s="32">
        <v>0.06</v>
      </c>
      <c r="IE95" s="32">
        <v>1251.2908004792901</v>
      </c>
      <c r="IF95" s="32">
        <v>16.229452665101039</v>
      </c>
      <c r="IG95" s="32">
        <v>96.383134289940827</v>
      </c>
      <c r="IH95" s="32">
        <v>1.2501055031120731</v>
      </c>
      <c r="II95" s="32">
        <v>673.83696738461549</v>
      </c>
      <c r="IJ95" s="32">
        <v>8.7397790841065568</v>
      </c>
      <c r="IK95" s="32">
        <v>282.12608997979794</v>
      </c>
      <c r="IL95" s="32">
        <v>3.6592229569364196</v>
      </c>
      <c r="IM95" s="32">
        <v>1160.1442287676769</v>
      </c>
      <c r="IN95" s="32">
        <v>15.047266261578171</v>
      </c>
      <c r="IO95" s="32">
        <v>9.6000000000000002E-2</v>
      </c>
      <c r="IP95" s="32">
        <v>-166.31047447142859</v>
      </c>
      <c r="IQ95" s="8">
        <v>-2.1570748958680754</v>
      </c>
      <c r="IR95" s="32">
        <v>1380.1980947571431</v>
      </c>
      <c r="IS95" s="32">
        <v>0.47581994367241065</v>
      </c>
      <c r="IT95" s="32">
        <v>0.16700000000000001</v>
      </c>
      <c r="IU95" s="32">
        <v>96596.292782499979</v>
      </c>
      <c r="IV95" s="32">
        <v>114849.72513800001</v>
      </c>
      <c r="IW95" s="32">
        <v>0.16800000000000001</v>
      </c>
      <c r="IX95" s="32">
        <v>1.2999999999999999E-2</v>
      </c>
      <c r="IY95" s="32">
        <v>57.142857142857139</v>
      </c>
      <c r="IZ95" s="32">
        <v>6.4884983450594378</v>
      </c>
      <c r="JA95" s="32">
        <v>11.195996543624922</v>
      </c>
      <c r="JB95" s="32">
        <v>18.992686650189789</v>
      </c>
      <c r="JC95" s="32">
        <v>84.236711618801564</v>
      </c>
      <c r="JD95" s="32">
        <v>6.4884983450594378</v>
      </c>
      <c r="JE95" s="32">
        <v>11.195996543624922</v>
      </c>
      <c r="JF95" s="32">
        <v>18.992686650189789</v>
      </c>
      <c r="JG95" s="32">
        <v>0.28007543148085645</v>
      </c>
      <c r="JH95" s="32">
        <v>7.3937612808481656</v>
      </c>
      <c r="JI95" s="69"/>
      <c r="JJ95" s="32">
        <v>1.9138455532068759</v>
      </c>
      <c r="JK95" s="32">
        <v>-16.98799421466757</v>
      </c>
      <c r="JL95" s="32">
        <v>-14.732164083258322</v>
      </c>
      <c r="JM95" s="32">
        <v>-0.1132741672382379</v>
      </c>
      <c r="JN95" s="32">
        <v>8.0000000000000071</v>
      </c>
      <c r="JO95" s="32">
        <v>17.729377791702376</v>
      </c>
      <c r="JP95" s="32">
        <v>-0.59701492537313483</v>
      </c>
      <c r="JQ95" s="32">
        <v>-115.52809083089693</v>
      </c>
      <c r="JR95" s="32">
        <v>33.988094002402207</v>
      </c>
      <c r="JS95" s="32">
        <v>-15.471278489112034</v>
      </c>
      <c r="JT95" s="32">
        <v>-13.212846315555623</v>
      </c>
      <c r="JU95" s="69"/>
      <c r="JV95" s="32">
        <v>1140.2714259999998</v>
      </c>
      <c r="JW95" s="32">
        <v>14.789512658884563</v>
      </c>
      <c r="JX95" s="32">
        <v>0.35599999999999998</v>
      </c>
      <c r="JY95" s="32">
        <v>535.58708031759659</v>
      </c>
      <c r="JZ95" s="32">
        <v>6.9466547382308255</v>
      </c>
      <c r="KA95" s="32">
        <v>256.40467308583692</v>
      </c>
      <c r="KB95" s="32">
        <v>3.3256118428772625</v>
      </c>
      <c r="KC95" s="32">
        <v>395.99587670171672</v>
      </c>
      <c r="KD95" s="32">
        <v>5.1361332905540431</v>
      </c>
      <c r="KE95" s="32">
        <v>0.46500000000000002</v>
      </c>
      <c r="KF95" s="32">
        <v>4.2000000000000003E-2</v>
      </c>
      <c r="KG95" s="32">
        <v>33.456560414530088</v>
      </c>
      <c r="KH95" s="32">
        <v>66.423602363848261</v>
      </c>
      <c r="KI95" s="32">
        <v>72.340418001123979</v>
      </c>
      <c r="KJ95" s="32">
        <v>74.438319606340841</v>
      </c>
      <c r="KK95" s="32">
        <v>0.57016233269777206</v>
      </c>
      <c r="KL95" s="32">
        <v>1.9999066241445793</v>
      </c>
      <c r="KM95" s="69"/>
      <c r="KN95" s="32">
        <v>465.432006</v>
      </c>
      <c r="KO95" s="32">
        <v>6.0367315953307399</v>
      </c>
      <c r="KP95" s="32">
        <v>2.1000000000000001E-2</v>
      </c>
      <c r="KQ95" s="32">
        <v>1542.3690530000001</v>
      </c>
      <c r="KR95" s="32">
        <v>20.004786679636837</v>
      </c>
      <c r="KS95" s="32">
        <v>0.13900000000000001</v>
      </c>
      <c r="KT95" s="32">
        <v>971.99432661538458</v>
      </c>
      <c r="KU95" s="32">
        <v>12.606930306295521</v>
      </c>
      <c r="KV95" s="32">
        <v>261.04252113846155</v>
      </c>
      <c r="KW95" s="32">
        <v>3.38576551411753</v>
      </c>
      <c r="KX95" s="32">
        <v>616.51842387692307</v>
      </c>
      <c r="KY95" s="32">
        <v>7.9963479102065254</v>
      </c>
      <c r="KZ95" s="32">
        <v>0.25900000000000001</v>
      </c>
      <c r="LA95" s="32">
        <v>4.2000000000000003E-2</v>
      </c>
      <c r="LB95" s="32">
        <v>24.960931344023237</v>
      </c>
      <c r="LC95" s="32">
        <v>75.039068655976763</v>
      </c>
      <c r="LD95" s="32">
        <v>66.042795377106472</v>
      </c>
      <c r="LE95" s="32">
        <v>98.422688101921963</v>
      </c>
      <c r="LF95" s="32">
        <v>0.44337006235537102</v>
      </c>
      <c r="LG95" s="32">
        <v>3.4787397344923954</v>
      </c>
      <c r="LH95" s="69"/>
      <c r="LI95" s="32">
        <v>-57.895015723975199</v>
      </c>
      <c r="LJ95" s="32">
        <v>-29.977749918236462</v>
      </c>
      <c r="LK95" s="32">
        <v>87.676767676767668</v>
      </c>
      <c r="LL95" s="32">
        <v>56.906077348066312</v>
      </c>
      <c r="LM95" s="32">
        <v>29.085908397506454</v>
      </c>
      <c r="LN95" s="69"/>
      <c r="LO95" s="32">
        <v>1774.8415529999997</v>
      </c>
      <c r="LP95" s="32">
        <v>23.01999420233463</v>
      </c>
      <c r="LQ95" s="32">
        <v>4.2000000000000003E-2</v>
      </c>
      <c r="LR95" s="32">
        <v>1940.9321279999999</v>
      </c>
      <c r="LS95" s="32">
        <v>25.174216964980545</v>
      </c>
      <c r="LT95" s="32">
        <v>7.2999999999999995E-2</v>
      </c>
      <c r="LU95" s="32">
        <v>1232.9299358729284</v>
      </c>
      <c r="LV95" s="32">
        <v>15.991309155290901</v>
      </c>
      <c r="LW95" s="32">
        <v>118.47589067403314</v>
      </c>
      <c r="LX95" s="32">
        <v>1.5366522785218306</v>
      </c>
      <c r="LY95" s="32">
        <v>675.7029132734807</v>
      </c>
      <c r="LZ95" s="32">
        <v>8.7639807169063655</v>
      </c>
      <c r="MA95" s="32">
        <v>274.57207110377362</v>
      </c>
      <c r="MB95" s="32">
        <v>3.5612460584147034</v>
      </c>
      <c r="MC95" s="32">
        <v>1054.2911383396226</v>
      </c>
      <c r="MD95" s="32">
        <v>13.674333830604704</v>
      </c>
      <c r="ME95" s="32">
        <v>0.105</v>
      </c>
      <c r="MF95" s="32">
        <v>-102.14004433333334</v>
      </c>
      <c r="MG95" s="8">
        <v>-1.3247735970600953</v>
      </c>
      <c r="MH95" s="32">
        <v>1485.4061030533335</v>
      </c>
      <c r="MI95" s="32">
        <v>-0.47637060285343719</v>
      </c>
      <c r="MJ95" s="32">
        <v>7.4999999999999997E-2</v>
      </c>
      <c r="MK95" s="32">
        <v>110438.07544599999</v>
      </c>
      <c r="ML95" s="32">
        <v>111612.98044999997</v>
      </c>
      <c r="MM95" s="32">
        <v>0.18</v>
      </c>
      <c r="MN95" s="32">
        <v>8.9999999999999993E-3</v>
      </c>
      <c r="MO95" s="32">
        <v>58.333333333333336</v>
      </c>
      <c r="MP95" s="32">
        <v>7.2960845641182699</v>
      </c>
      <c r="MQ95" s="32">
        <v>8.4629894456084287</v>
      </c>
      <c r="MR95" s="32">
        <v>19.613277660037699</v>
      </c>
      <c r="MS95" s="32">
        <v>88.070855387577936</v>
      </c>
      <c r="MT95" s="32">
        <v>7.2960845641182699</v>
      </c>
      <c r="MU95" s="32">
        <v>33.382075089967053</v>
      </c>
      <c r="MV95" s="32">
        <v>19.613277660037699</v>
      </c>
      <c r="MW95" s="32">
        <v>21.799613155998301</v>
      </c>
      <c r="MX95" s="32" t="s">
        <v>34</v>
      </c>
      <c r="MY95" s="32" t="s">
        <v>34</v>
      </c>
      <c r="MZ95" s="32" t="s">
        <v>34</v>
      </c>
      <c r="NA95" s="32" t="s">
        <v>34</v>
      </c>
      <c r="NB95" s="17" t="s">
        <v>34</v>
      </c>
      <c r="NC95" s="69"/>
      <c r="ND95" s="32">
        <v>1807.212156</v>
      </c>
      <c r="NE95" s="32">
        <v>23.439846381322958</v>
      </c>
      <c r="NF95" s="32">
        <v>3.6999999999999998E-2</v>
      </c>
      <c r="NG95" s="32">
        <v>1884.25208</v>
      </c>
      <c r="NH95" s="32">
        <v>24.439067185473412</v>
      </c>
      <c r="NI95" s="32">
        <v>6.7000000000000004E-2</v>
      </c>
      <c r="NJ95" s="32">
        <v>920.82890659656641</v>
      </c>
      <c r="NK95" s="32">
        <v>11.943306181537828</v>
      </c>
      <c r="NL95" s="32">
        <v>62.928899819742483</v>
      </c>
      <c r="NM95" s="32">
        <v>0.81619844124179619</v>
      </c>
      <c r="NN95" s="32">
        <v>491.87890320815444</v>
      </c>
      <c r="NO95" s="32">
        <v>6.3797523113898116</v>
      </c>
      <c r="NP95" s="32">
        <v>204.75079152343753</v>
      </c>
      <c r="NQ95" s="32">
        <v>2.6556522895387489</v>
      </c>
      <c r="NR95" s="32">
        <v>810.65510329687504</v>
      </c>
      <c r="NS95" s="32">
        <v>10.51433337609436</v>
      </c>
      <c r="NT95" s="32">
        <v>0.03</v>
      </c>
      <c r="NU95" s="32">
        <v>-109.95873959047617</v>
      </c>
      <c r="NV95" s="8">
        <v>-1.4261833928725833</v>
      </c>
      <c r="NW95" s="32">
        <v>1055.1360191904762</v>
      </c>
      <c r="NX95" s="32">
        <v>0.79502695472793561</v>
      </c>
      <c r="NY95" s="32">
        <v>0.20200000000000001</v>
      </c>
      <c r="NZ95" s="32">
        <v>110786.19825</v>
      </c>
      <c r="OA95" s="32">
        <v>102839.6887095</v>
      </c>
      <c r="OB95" s="32">
        <v>0.23200000000000001</v>
      </c>
      <c r="OC95" s="32">
        <v>8.9999999999999993E-3</v>
      </c>
      <c r="OD95" s="32">
        <v>12.931034482758619</v>
      </c>
      <c r="OE95" s="32">
        <v>5.8113485653386165</v>
      </c>
      <c r="OF95" s="32">
        <v>10.154453127195499</v>
      </c>
      <c r="OG95" s="32">
        <v>18.90829526624551</v>
      </c>
      <c r="OH95" s="32">
        <v>85.036569217017373</v>
      </c>
      <c r="OI95" s="32">
        <v>5.8113485653386165</v>
      </c>
      <c r="OJ95" s="32">
        <v>10.154453127195499</v>
      </c>
      <c r="OK95" s="32">
        <v>18.90829526624551</v>
      </c>
      <c r="OL95" s="32">
        <v>0.44481639493383218</v>
      </c>
      <c r="OM95" s="32">
        <v>4.2360221013892447</v>
      </c>
      <c r="ON95" s="69"/>
      <c r="OO95" s="32">
        <v>28.981984716404703</v>
      </c>
      <c r="OP95" s="32">
        <v>-7.3726922073739765</v>
      </c>
      <c r="OQ95" s="32">
        <v>29.133298252305124</v>
      </c>
      <c r="OR95" s="32">
        <v>2.9635199205026073</v>
      </c>
      <c r="OS95" s="32">
        <v>8.5714285714285587</v>
      </c>
      <c r="OT95" s="32">
        <v>-1.8073767525410549</v>
      </c>
      <c r="OU95" s="32">
        <v>-25.242718446601948</v>
      </c>
      <c r="OV95" s="32">
        <v>-82.451714276825527</v>
      </c>
      <c r="OW95" s="32">
        <v>37.152558363634917</v>
      </c>
      <c r="OX95" s="32">
        <v>-32.759661778215794</v>
      </c>
      <c r="OY95" s="32">
        <v>3.6601952632686028</v>
      </c>
    </row>
    <row r="96" spans="1:415" ht="15.75" x14ac:dyDescent="0.25">
      <c r="A96" s="10">
        <v>95</v>
      </c>
      <c r="B96" s="3" t="s">
        <v>486</v>
      </c>
      <c r="C96" s="3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9"/>
      <c r="K96" s="32">
        <v>1229.8448710000002</v>
      </c>
      <c r="L96" s="32">
        <v>16.332601208499341</v>
      </c>
      <c r="M96" s="32">
        <v>0.222</v>
      </c>
      <c r="N96" s="32">
        <v>663.00014274085368</v>
      </c>
      <c r="O96" s="32">
        <v>8.8047827721228913</v>
      </c>
      <c r="P96" s="32">
        <v>346.84783021341468</v>
      </c>
      <c r="Q96" s="32">
        <v>4.6062128846403017</v>
      </c>
      <c r="R96" s="32">
        <v>504.92398647713418</v>
      </c>
      <c r="S96" s="32">
        <v>6.7054978283815965</v>
      </c>
      <c r="T96" s="32">
        <v>0.32700000000000001</v>
      </c>
      <c r="U96" s="32">
        <v>4.2999999999999997E-2</v>
      </c>
      <c r="V96" s="32">
        <v>36.255570615092751</v>
      </c>
      <c r="W96" s="32">
        <v>63.744429384907228</v>
      </c>
      <c r="X96" s="32">
        <v>75.722531124282042</v>
      </c>
      <c r="Y96" s="32">
        <v>73.887802709939237</v>
      </c>
      <c r="Z96" s="32">
        <v>0.43404278460667589</v>
      </c>
      <c r="AA96" s="32">
        <v>2.8334646136658397</v>
      </c>
      <c r="AB96" s="69"/>
      <c r="AC96" s="32">
        <v>533.00432599999999</v>
      </c>
      <c r="AD96" s="32">
        <v>7.0784107038512616</v>
      </c>
      <c r="AE96" s="32">
        <v>1.4E-2</v>
      </c>
      <c r="AF96" s="32">
        <v>1432.8323179999998</v>
      </c>
      <c r="AG96" s="32">
        <v>19.028317636122175</v>
      </c>
      <c r="AH96" s="32">
        <v>0.11700000000000001</v>
      </c>
      <c r="AI96" s="32">
        <v>903.46621515909101</v>
      </c>
      <c r="AJ96" s="32">
        <v>11.998223308885672</v>
      </c>
      <c r="AK96" s="32">
        <v>324.48692604090917</v>
      </c>
      <c r="AL96" s="32">
        <v>4.309255325908488</v>
      </c>
      <c r="AM96" s="32">
        <v>613.97657060000006</v>
      </c>
      <c r="AN96" s="32">
        <v>8.1537393173970791</v>
      </c>
      <c r="AO96" s="32">
        <v>0.219</v>
      </c>
      <c r="AP96" s="32">
        <v>4.2999999999999997E-2</v>
      </c>
      <c r="AQ96" s="32">
        <v>30.921986370317022</v>
      </c>
      <c r="AR96" s="32">
        <v>69.078013629682985</v>
      </c>
      <c r="AS96" s="32">
        <v>97.188754483459576</v>
      </c>
      <c r="AT96" s="32">
        <v>99.122893803003436</v>
      </c>
      <c r="AU96" s="32">
        <v>0.29892840646569996</v>
      </c>
      <c r="AV96" s="32">
        <v>4.7932290374832869</v>
      </c>
      <c r="AW96" s="69"/>
      <c r="AX96" s="32">
        <v>30.701721898530128</v>
      </c>
      <c r="AY96" s="32">
        <v>15.246868665760708</v>
      </c>
      <c r="AZ96" s="32">
        <v>-61.946902654867252</v>
      </c>
      <c r="BA96" s="32">
        <v>-39.560439560439562</v>
      </c>
      <c r="BB96" s="32">
        <v>-15.87906581936025</v>
      </c>
      <c r="BC96" s="69"/>
      <c r="BD96" s="32">
        <v>1087.1802119999998</v>
      </c>
      <c r="BE96" s="32">
        <v>14.437984223107566</v>
      </c>
      <c r="BF96" s="32">
        <v>1.7999999999999999E-2</v>
      </c>
      <c r="BG96" s="32">
        <v>1683.6271449999999</v>
      </c>
      <c r="BH96" s="32">
        <v>22.358926228419655</v>
      </c>
      <c r="BI96" s="32">
        <v>7.6999999999999999E-2</v>
      </c>
      <c r="BJ96" s="32">
        <v>1093.6655584777068</v>
      </c>
      <c r="BK96" s="32">
        <v>14.524111002359984</v>
      </c>
      <c r="BL96" s="32">
        <v>137.7336614713376</v>
      </c>
      <c r="BM96" s="32">
        <v>1.8291322904560106</v>
      </c>
      <c r="BN96" s="32">
        <v>615.69960997452222</v>
      </c>
      <c r="BO96" s="32">
        <v>8.1766216464079982</v>
      </c>
      <c r="BP96" s="32">
        <v>249.79143803448275</v>
      </c>
      <c r="BQ96" s="32">
        <v>3.3172833736319092</v>
      </c>
      <c r="BR96" s="32">
        <v>1113.4965125517242</v>
      </c>
      <c r="BS96" s="32">
        <v>14.787470286211477</v>
      </c>
      <c r="BT96" s="32">
        <v>0.10100000000000001</v>
      </c>
      <c r="BU96" s="32">
        <v>-179.30785270731707</v>
      </c>
      <c r="BV96" s="8">
        <v>-2.3812463838953133</v>
      </c>
      <c r="BW96" s="32">
        <v>1037.558468902439</v>
      </c>
      <c r="BX96" s="32" t="s">
        <v>34</v>
      </c>
      <c r="BY96" s="32">
        <v>5.5E-2</v>
      </c>
      <c r="BZ96" s="32">
        <v>41725.792470999993</v>
      </c>
      <c r="CA96" s="32">
        <v>128645.00736399999</v>
      </c>
      <c r="CB96" s="32">
        <v>0.156</v>
      </c>
      <c r="CC96" s="32">
        <v>6.7000000000000004E-2</v>
      </c>
      <c r="CD96" s="32">
        <v>64.743589743589752</v>
      </c>
      <c r="CE96" s="32">
        <v>13.645676940582794</v>
      </c>
      <c r="CF96" s="32">
        <v>10.481799987585106</v>
      </c>
      <c r="CG96" s="32">
        <v>19.009615108747898</v>
      </c>
      <c r="CH96" s="32">
        <v>83.230079813564402</v>
      </c>
      <c r="CI96" s="32">
        <v>13.645676940582794</v>
      </c>
      <c r="CJ96" s="32">
        <v>35.052480762764013</v>
      </c>
      <c r="CK96" s="32">
        <v>19.009615108747898</v>
      </c>
      <c r="CL96" s="32">
        <v>24.834879548120391</v>
      </c>
      <c r="CM96" s="32" t="s">
        <v>34</v>
      </c>
      <c r="CN96" s="32" t="s">
        <v>34</v>
      </c>
      <c r="CO96" s="32" t="s">
        <v>34</v>
      </c>
      <c r="CP96" s="32" t="s">
        <v>34</v>
      </c>
      <c r="CQ96" s="17" t="s">
        <v>34</v>
      </c>
      <c r="CR96" s="69"/>
      <c r="CS96" s="32">
        <v>1239.042048</v>
      </c>
      <c r="CT96" s="32">
        <v>16.454741673306774</v>
      </c>
      <c r="CU96" s="32">
        <v>2.1000000000000001E-2</v>
      </c>
      <c r="CV96" s="32">
        <v>1655.296147</v>
      </c>
      <c r="CW96" s="32">
        <v>21.982684555112883</v>
      </c>
      <c r="CX96" s="32">
        <v>8.2000000000000003E-2</v>
      </c>
      <c r="CY96" s="32">
        <v>1118.3422281975306</v>
      </c>
      <c r="CZ96" s="32">
        <v>14.851822419621922</v>
      </c>
      <c r="DA96" s="32">
        <v>97.008665895061725</v>
      </c>
      <c r="DB96" s="32">
        <v>1.2882956958175529</v>
      </c>
      <c r="DC96" s="32">
        <v>607.6754470462962</v>
      </c>
      <c r="DD96" s="32">
        <v>8.0700590577197371</v>
      </c>
      <c r="DE96" s="32">
        <v>255.64586449504958</v>
      </c>
      <c r="DF96" s="32">
        <v>3.3950314009966744</v>
      </c>
      <c r="DG96" s="32">
        <v>1078.3265436336635</v>
      </c>
      <c r="DH96" s="32">
        <v>14.320405625945067</v>
      </c>
      <c r="DI96" s="32">
        <v>9.1999999999999998E-2</v>
      </c>
      <c r="DJ96" s="32">
        <v>-165.65292522950821</v>
      </c>
      <c r="DK96" s="8">
        <v>-2.1999060455445978</v>
      </c>
      <c r="DL96" s="32">
        <v>1184.5977059180327</v>
      </c>
      <c r="DM96" s="32">
        <v>-0.38665311192388924</v>
      </c>
      <c r="DN96" s="32">
        <v>6.9000000000000006E-2</v>
      </c>
      <c r="DO96" s="32">
        <v>71468.419539499999</v>
      </c>
      <c r="DP96" s="32">
        <v>108326.11163700001</v>
      </c>
      <c r="DQ96" s="32">
        <v>0.161</v>
      </c>
      <c r="DR96" s="32">
        <v>6.7000000000000004E-2</v>
      </c>
      <c r="DS96" s="32">
        <v>57.142857142857139</v>
      </c>
      <c r="DT96" s="32">
        <v>7.2389024007381479</v>
      </c>
      <c r="DU96" s="32">
        <v>12.361218939247644</v>
      </c>
      <c r="DV96" s="32">
        <v>19.076599447660264</v>
      </c>
      <c r="DW96" s="32">
        <v>83.452031484519821</v>
      </c>
      <c r="DX96" s="32">
        <v>7.2389024007381479</v>
      </c>
      <c r="DY96" s="32">
        <v>12.361218939247644</v>
      </c>
      <c r="DZ96" s="32">
        <v>19.076599447660264</v>
      </c>
      <c r="EA96" s="32">
        <v>0.21156431333194256</v>
      </c>
      <c r="EB96" s="32">
        <v>7.8240801623421943</v>
      </c>
      <c r="EC96" s="69"/>
      <c r="ED96" s="32">
        <v>2.2311557733631822</v>
      </c>
      <c r="EE96" s="32">
        <v>-7.9168000254855428</v>
      </c>
      <c r="EF96" s="32">
        <v>2.3165787057138538</v>
      </c>
      <c r="EG96" s="32">
        <v>-1.6970140085506287</v>
      </c>
      <c r="EH96" s="32">
        <v>6.2893081761006346</v>
      </c>
      <c r="EI96" s="32">
        <v>13.056519887312943</v>
      </c>
      <c r="EJ96" s="32">
        <v>3.1545741324921162</v>
      </c>
      <c r="EK96" s="32">
        <v>134.01644886855456</v>
      </c>
      <c r="EL96" s="32">
        <v>36.600102137980812</v>
      </c>
      <c r="EM96" s="32">
        <v>-9.8778263063013743</v>
      </c>
      <c r="EN96" s="32">
        <v>0.35175109783177927</v>
      </c>
      <c r="EO96" s="69"/>
      <c r="EP96" s="32">
        <v>1271.5749000000001</v>
      </c>
      <c r="EQ96" s="32">
        <v>16.886784860557771</v>
      </c>
      <c r="ER96" s="32">
        <v>0.28299999999999997</v>
      </c>
      <c r="ES96" s="32">
        <v>634.42969660411313</v>
      </c>
      <c r="ET96" s="32">
        <v>8.4253611766814505</v>
      </c>
      <c r="EU96" s="32">
        <v>287.72083248071976</v>
      </c>
      <c r="EV96" s="32">
        <v>3.8209937912446184</v>
      </c>
      <c r="EW96" s="32">
        <v>461.07526454241645</v>
      </c>
      <c r="EX96" s="32">
        <v>6.1231774839630342</v>
      </c>
      <c r="EY96" s="32">
        <v>0.38800000000000001</v>
      </c>
      <c r="EZ96" s="32">
        <v>0.05</v>
      </c>
      <c r="FA96" s="32">
        <v>34.568398804969966</v>
      </c>
      <c r="FB96" s="32">
        <v>65.431601195030041</v>
      </c>
      <c r="FC96" s="32">
        <v>76.388883005699597</v>
      </c>
      <c r="FD96" s="32">
        <v>76.971832857104545</v>
      </c>
      <c r="FE96" s="32">
        <v>0.53362669939481022</v>
      </c>
      <c r="FF96" s="32">
        <v>2.3828922005628694</v>
      </c>
      <c r="FG96" s="69"/>
      <c r="FH96" s="32">
        <v>391.42165899999998</v>
      </c>
      <c r="FI96" s="32">
        <v>5.1981628021248341</v>
      </c>
      <c r="FJ96" s="32">
        <v>1.7999999999999999E-2</v>
      </c>
      <c r="FK96" s="32">
        <v>1470.6850789999996</v>
      </c>
      <c r="FL96" s="32">
        <v>19.531010345285519</v>
      </c>
      <c r="FM96" s="32">
        <v>0.129</v>
      </c>
      <c r="FN96" s="32">
        <v>878.69634179914522</v>
      </c>
      <c r="FO96" s="32">
        <v>11.669274127478689</v>
      </c>
      <c r="FP96" s="32">
        <v>301.21088184188039</v>
      </c>
      <c r="FQ96" s="32">
        <v>4.0001445131723825</v>
      </c>
      <c r="FR96" s="32">
        <v>589.95361182051283</v>
      </c>
      <c r="FS96" s="32">
        <v>7.834709320325536</v>
      </c>
      <c r="FT96" s="32">
        <v>0.23300000000000001</v>
      </c>
      <c r="FU96" s="32">
        <v>0.05</v>
      </c>
      <c r="FV96" s="32">
        <v>28.321799326068483</v>
      </c>
      <c r="FW96" s="32">
        <v>71.678200673931514</v>
      </c>
      <c r="FX96" s="32">
        <v>58.071737365742493</v>
      </c>
      <c r="FY96" s="32">
        <v>97.864731785584553</v>
      </c>
      <c r="FZ96" s="32">
        <v>0.32628754444689118</v>
      </c>
      <c r="GA96" s="32">
        <v>4.5073282876704432</v>
      </c>
      <c r="GB96" s="69"/>
      <c r="GC96" s="32">
        <v>32.286358042294609</v>
      </c>
      <c r="GD96" s="32">
        <v>14.521612139240544</v>
      </c>
      <c r="GE96" s="32">
        <v>-74.757281553398045</v>
      </c>
      <c r="GF96" s="32">
        <v>-49.919484702093399</v>
      </c>
      <c r="GG96" s="32">
        <v>-19.865097151979157</v>
      </c>
      <c r="GH96" s="69"/>
      <c r="GI96" s="32">
        <v>1314.8377459999997</v>
      </c>
      <c r="GJ96" s="32">
        <v>17.461324648074367</v>
      </c>
      <c r="GK96" s="32">
        <v>1.7999999999999999E-2</v>
      </c>
      <c r="GL96" s="32">
        <v>1840.7908779999998</v>
      </c>
      <c r="GM96" s="32">
        <v>24.446093997343954</v>
      </c>
      <c r="GN96" s="32">
        <v>0.04</v>
      </c>
      <c r="GO96" s="32">
        <v>1200.0024421916169</v>
      </c>
      <c r="GP96" s="32">
        <v>15.93628741290328</v>
      </c>
      <c r="GQ96" s="32">
        <v>87.020855029940137</v>
      </c>
      <c r="GR96" s="32">
        <v>1.1556554452847296</v>
      </c>
      <c r="GS96" s="32">
        <v>643.51164861077848</v>
      </c>
      <c r="GT96" s="32">
        <v>8.5459714290940045</v>
      </c>
      <c r="GU96" s="32">
        <v>224.53935564545458</v>
      </c>
      <c r="GV96" s="32">
        <v>2.9819303538572988</v>
      </c>
      <c r="GW96" s="32">
        <v>1117.8488255090911</v>
      </c>
      <c r="GX96" s="32">
        <v>14.845269927079563</v>
      </c>
      <c r="GY96" s="32">
        <v>0.10299999999999999</v>
      </c>
      <c r="GZ96" s="32">
        <v>-178.36572510526318</v>
      </c>
      <c r="HA96" s="8">
        <v>-2.3687347291535614</v>
      </c>
      <c r="HB96" s="32">
        <v>1358.5445094736845</v>
      </c>
      <c r="HC96" s="32">
        <v>-0.44627349455977261</v>
      </c>
      <c r="HD96" s="32">
        <v>6.3E-2</v>
      </c>
      <c r="HE96" s="32">
        <v>76532.763751999999</v>
      </c>
      <c r="HF96" s="32">
        <v>122295.0956155</v>
      </c>
      <c r="HG96" s="32">
        <v>0.16600000000000001</v>
      </c>
      <c r="HH96" s="32">
        <v>9.7000000000000003E-2</v>
      </c>
      <c r="HI96" s="32">
        <v>62.048192771084331</v>
      </c>
      <c r="HJ96" s="32">
        <v>13.284232999575455</v>
      </c>
      <c r="HK96" s="32">
        <v>6.4810955880552807</v>
      </c>
      <c r="HL96" s="32">
        <v>16.723129492554843</v>
      </c>
      <c r="HM96" s="32">
        <v>89.373179924143543</v>
      </c>
      <c r="HN96" s="32">
        <v>13.284232999575455</v>
      </c>
      <c r="HO96" s="32">
        <v>29.620850733703215</v>
      </c>
      <c r="HP96" s="32">
        <v>16.723129492554843</v>
      </c>
      <c r="HQ96" s="32">
        <v>22.349153015638624</v>
      </c>
      <c r="HR96" s="32">
        <v>62.048192771084331</v>
      </c>
      <c r="HS96" s="32" t="s">
        <v>34</v>
      </c>
      <c r="HT96" s="32" t="s">
        <v>34</v>
      </c>
      <c r="HU96" s="32" t="s">
        <v>34</v>
      </c>
      <c r="HV96" s="32" t="s">
        <v>34</v>
      </c>
      <c r="HW96" s="17" t="s">
        <v>34</v>
      </c>
      <c r="HX96" s="69"/>
      <c r="HY96" s="32">
        <v>1822.3424110000001</v>
      </c>
      <c r="HZ96" s="32">
        <v>24.201094435590971</v>
      </c>
      <c r="IA96" s="32">
        <v>4.4999999999999998E-2</v>
      </c>
      <c r="IB96" s="32">
        <v>1895.6493919999998</v>
      </c>
      <c r="IC96" s="32">
        <v>25.174626719787515</v>
      </c>
      <c r="ID96" s="32">
        <v>7.6999999999999999E-2</v>
      </c>
      <c r="IE96" s="32">
        <v>1177.209633267081</v>
      </c>
      <c r="IF96" s="32">
        <v>15.633594067291913</v>
      </c>
      <c r="IG96" s="32">
        <v>81.757781757763979</v>
      </c>
      <c r="IH96" s="32">
        <v>1.0857607139145282</v>
      </c>
      <c r="II96" s="32">
        <v>629.48370751242248</v>
      </c>
      <c r="IJ96" s="32">
        <v>8.3596773906032205</v>
      </c>
      <c r="IK96" s="32">
        <v>239.57392502061853</v>
      </c>
      <c r="IL96" s="32">
        <v>3.1815926297558903</v>
      </c>
      <c r="IM96" s="32">
        <v>1083.292918886598</v>
      </c>
      <c r="IN96" s="32">
        <v>14.386360144576336</v>
      </c>
      <c r="IO96" s="32">
        <v>9.0999999999999998E-2</v>
      </c>
      <c r="IP96" s="32">
        <v>-157.43231037500001</v>
      </c>
      <c r="IQ96" s="8">
        <v>-2.0907345335325367</v>
      </c>
      <c r="IR96" s="32">
        <v>1319.5521535000003</v>
      </c>
      <c r="IS96" s="32">
        <v>-0.12920940176792831</v>
      </c>
      <c r="IT96" s="32">
        <v>6.9000000000000006E-2</v>
      </c>
      <c r="IU96" s="32">
        <v>83515.388275000005</v>
      </c>
      <c r="IV96" s="32">
        <v>104407.98207699999</v>
      </c>
      <c r="IW96" s="32">
        <v>0.16</v>
      </c>
      <c r="IX96" s="32">
        <v>9.7000000000000003E-2</v>
      </c>
      <c r="IY96" s="32">
        <v>56.875</v>
      </c>
      <c r="IZ96" s="32">
        <v>5.9067951148296691</v>
      </c>
      <c r="JA96" s="32">
        <v>11.374090414960287</v>
      </c>
      <c r="JB96" s="32">
        <v>17.308616495309639</v>
      </c>
      <c r="JC96" s="32">
        <v>85.050449772655284</v>
      </c>
      <c r="JD96" s="32">
        <v>5.9067951148296691</v>
      </c>
      <c r="JE96" s="32">
        <v>11.374090414960287</v>
      </c>
      <c r="JF96" s="32">
        <v>17.308616495309639</v>
      </c>
      <c r="JG96" s="32">
        <v>0.22672571644364278</v>
      </c>
      <c r="JH96" s="32">
        <v>8.3609809320911399</v>
      </c>
      <c r="JI96" s="69"/>
      <c r="JJ96" s="32">
        <v>-1.9176083749396093</v>
      </c>
      <c r="JK96" s="32">
        <v>-12.467860153097021</v>
      </c>
      <c r="JL96" s="32">
        <v>6.4788360951822197</v>
      </c>
      <c r="JM96" s="32">
        <v>2.9364052432718282</v>
      </c>
      <c r="JN96" s="32">
        <v>63.247863247863243</v>
      </c>
      <c r="JO96" s="32">
        <v>32.354193230988258</v>
      </c>
      <c r="JP96" s="32">
        <v>-3.6809815950920277</v>
      </c>
      <c r="JQ96" s="32">
        <v>129.78101854146038</v>
      </c>
      <c r="JR96" s="32">
        <v>9.2719654540036576</v>
      </c>
      <c r="JS96" s="32">
        <v>-15.492882889914281</v>
      </c>
      <c r="JT96" s="32">
        <v>3.4408284721188105</v>
      </c>
      <c r="JU96" s="69"/>
      <c r="JV96" s="32">
        <v>1290.2036940000005</v>
      </c>
      <c r="JW96" s="32">
        <v>17.134179203187259</v>
      </c>
      <c r="JX96" s="32">
        <v>0.33700000000000002</v>
      </c>
      <c r="JY96" s="32">
        <v>575.29371302155164</v>
      </c>
      <c r="JZ96" s="32">
        <v>7.6400227492901944</v>
      </c>
      <c r="KA96" s="32">
        <v>226.20357860129317</v>
      </c>
      <c r="KB96" s="32">
        <v>3.0040315883305868</v>
      </c>
      <c r="KC96" s="32">
        <v>400.74864581142242</v>
      </c>
      <c r="KD96" s="32">
        <v>5.3220271688103908</v>
      </c>
      <c r="KE96" s="32">
        <v>0.46300000000000002</v>
      </c>
      <c r="KF96" s="32">
        <v>3.6999999999999998E-2</v>
      </c>
      <c r="KG96" s="32">
        <v>31.905917532503778</v>
      </c>
      <c r="KH96" s="32">
        <v>68.094082467496222</v>
      </c>
      <c r="KI96" s="32">
        <v>51.034518100003481</v>
      </c>
      <c r="KJ96" s="32">
        <v>81.695041507093848</v>
      </c>
      <c r="KK96" s="32">
        <v>0.65050377382411606</v>
      </c>
      <c r="KL96" s="32">
        <v>1.9833915588456634</v>
      </c>
      <c r="KM96" s="69"/>
      <c r="KN96" s="32">
        <v>28.312923000000001</v>
      </c>
      <c r="KO96" s="32">
        <v>0.37600163346613547</v>
      </c>
      <c r="KP96" s="32">
        <v>6.0000000000000001E-3</v>
      </c>
      <c r="KQ96" s="32">
        <v>1499.4127709999998</v>
      </c>
      <c r="KR96" s="32">
        <v>19.912520199203186</v>
      </c>
      <c r="KS96" s="32">
        <v>0.13800000000000001</v>
      </c>
      <c r="KT96" s="32">
        <v>870.04037101976269</v>
      </c>
      <c r="KU96" s="32">
        <v>11.55432099627839</v>
      </c>
      <c r="KV96" s="32">
        <v>265.85337136758886</v>
      </c>
      <c r="KW96" s="32">
        <v>3.5305892611897591</v>
      </c>
      <c r="KX96" s="32">
        <v>567.94687119367575</v>
      </c>
      <c r="KY96" s="32">
        <v>7.5424551287340735</v>
      </c>
      <c r="KZ96" s="32">
        <v>0.252</v>
      </c>
      <c r="LA96" s="32">
        <v>3.6999999999999998E-2</v>
      </c>
      <c r="LB96" s="32">
        <v>25.570742442507633</v>
      </c>
      <c r="LC96" s="32">
        <v>74.429257557492377</v>
      </c>
      <c r="LD96" s="32">
        <v>61.305730740594754</v>
      </c>
      <c r="LE96" s="32">
        <v>99.611151021716665</v>
      </c>
      <c r="LF96" s="32">
        <v>0.3749867724920124</v>
      </c>
      <c r="LG96" s="32">
        <v>3.9985750991575011</v>
      </c>
      <c r="LH96" s="69"/>
      <c r="LI96" s="32">
        <v>40.785955475991642</v>
      </c>
      <c r="LJ96" s="32">
        <v>14.999128347917843</v>
      </c>
      <c r="LK96" s="32">
        <v>-83.78947368421052</v>
      </c>
      <c r="LL96" s="32">
        <v>-59.020979020979027</v>
      </c>
      <c r="LM96" s="32">
        <v>-22.044339711981976</v>
      </c>
      <c r="LN96" s="69"/>
      <c r="LO96" s="32">
        <v>1370.2733600000004</v>
      </c>
      <c r="LP96" s="32">
        <v>18.197521381142103</v>
      </c>
      <c r="LQ96" s="32">
        <v>0.02</v>
      </c>
      <c r="LR96" s="32">
        <v>1812.3156519999998</v>
      </c>
      <c r="LS96" s="32">
        <v>24.067936945551125</v>
      </c>
      <c r="LT96" s="32">
        <v>8.1000000000000003E-2</v>
      </c>
      <c r="LU96" s="32">
        <v>1162.0458332324324</v>
      </c>
      <c r="LV96" s="32">
        <v>15.432215580775996</v>
      </c>
      <c r="LW96" s="32">
        <v>53.451426978378365</v>
      </c>
      <c r="LX96" s="32">
        <v>0.70984630781378977</v>
      </c>
      <c r="LY96" s="32">
        <v>607.74863010540537</v>
      </c>
      <c r="LZ96" s="32">
        <v>8.0710309442948915</v>
      </c>
      <c r="MA96" s="32">
        <v>197.44445621367521</v>
      </c>
      <c r="MB96" s="32">
        <v>2.6221043321869217</v>
      </c>
      <c r="MC96" s="32">
        <v>1026.6223917008547</v>
      </c>
      <c r="MD96" s="32">
        <v>13.633763502003383</v>
      </c>
      <c r="ME96" s="32">
        <v>0.109</v>
      </c>
      <c r="MF96" s="32">
        <v>-194.30128508823532</v>
      </c>
      <c r="MG96" s="8">
        <v>-2.5803623517693932</v>
      </c>
      <c r="MH96" s="32">
        <v>1395.0538135147058</v>
      </c>
      <c r="MI96" s="32">
        <v>3.2380675728458687E-2</v>
      </c>
      <c r="MJ96" s="32">
        <v>7.4999999999999997E-2</v>
      </c>
      <c r="MK96" s="32">
        <v>93964.219045999998</v>
      </c>
      <c r="ML96" s="32">
        <v>119435.97689050001</v>
      </c>
      <c r="MM96" s="32">
        <v>0.184</v>
      </c>
      <c r="MN96" s="32">
        <v>0.104</v>
      </c>
      <c r="MO96" s="32">
        <v>59.239130434782602</v>
      </c>
      <c r="MP96" s="32">
        <v>14.501604015399231</v>
      </c>
      <c r="MQ96" s="32">
        <v>3.9893273363913733</v>
      </c>
      <c r="MR96" s="32">
        <v>14.736193421192748</v>
      </c>
      <c r="MS96" s="32">
        <v>86.728857782020526</v>
      </c>
      <c r="MT96" s="32">
        <v>14.501604015399231</v>
      </c>
      <c r="MU96" s="32">
        <v>26.217549588089561</v>
      </c>
      <c r="MV96" s="32">
        <v>14.736193421192748</v>
      </c>
      <c r="MW96" s="32">
        <v>19.786412042052401</v>
      </c>
      <c r="MX96" s="32" t="s">
        <v>34</v>
      </c>
      <c r="MY96" s="32" t="s">
        <v>34</v>
      </c>
      <c r="MZ96" s="32" t="s">
        <v>34</v>
      </c>
      <c r="NA96" s="32" t="s">
        <v>34</v>
      </c>
      <c r="NB96" s="17" t="s">
        <v>34</v>
      </c>
      <c r="NC96" s="69"/>
      <c r="ND96" s="32">
        <v>1227.3201590000001</v>
      </c>
      <c r="NE96" s="32">
        <v>16.299072496679948</v>
      </c>
      <c r="NF96" s="32">
        <v>2.5999999999999999E-2</v>
      </c>
      <c r="NG96" s="32">
        <v>1889.8966519999999</v>
      </c>
      <c r="NH96" s="32">
        <v>25.098229110225763</v>
      </c>
      <c r="NI96" s="32">
        <v>8.2000000000000003E-2</v>
      </c>
      <c r="NJ96" s="32">
        <v>1129.4769650444443</v>
      </c>
      <c r="NK96" s="32">
        <v>14.999694090895677</v>
      </c>
      <c r="NL96" s="32">
        <v>58.590218588888902</v>
      </c>
      <c r="NM96" s="32">
        <v>0.77809055230928159</v>
      </c>
      <c r="NN96" s="32">
        <v>594.03359181666667</v>
      </c>
      <c r="NO96" s="32">
        <v>7.8888923216024791</v>
      </c>
      <c r="NP96" s="32">
        <v>211.51462854285717</v>
      </c>
      <c r="NQ96" s="32">
        <v>2.8089592103965098</v>
      </c>
      <c r="NR96" s="32">
        <v>1019.1905423333335</v>
      </c>
      <c r="NS96" s="32">
        <v>13.535066963258082</v>
      </c>
      <c r="NT96" s="32">
        <v>0.105</v>
      </c>
      <c r="NU96" s="32">
        <v>-155.50395534666666</v>
      </c>
      <c r="NV96" s="8">
        <v>-2.0651255690128374</v>
      </c>
      <c r="NW96" s="32">
        <v>1283.87795684</v>
      </c>
      <c r="NX96" s="32">
        <v>-0.32049709623727313</v>
      </c>
      <c r="NY96" s="32">
        <v>7.3999999999999996E-2</v>
      </c>
      <c r="NZ96" s="32">
        <v>95363.869036999997</v>
      </c>
      <c r="OA96" s="32">
        <v>106081.76249299999</v>
      </c>
      <c r="OB96" s="32">
        <v>0.17899999999999999</v>
      </c>
      <c r="OC96" s="32">
        <v>0.104</v>
      </c>
      <c r="OD96" s="32">
        <v>58.659217877094974</v>
      </c>
      <c r="OE96" s="32">
        <v>4.4465562962656886</v>
      </c>
      <c r="OF96" s="32">
        <v>11.801578973321455</v>
      </c>
      <c r="OG96" s="32">
        <v>16.052367203113647</v>
      </c>
      <c r="OH96" s="32">
        <v>85.718794559299795</v>
      </c>
      <c r="OI96" s="32">
        <v>4.4465562962656886</v>
      </c>
      <c r="OJ96" s="32">
        <v>11.801578973321455</v>
      </c>
      <c r="OK96" s="32">
        <v>16.052367203113647</v>
      </c>
      <c r="OL96" s="32">
        <v>0.27568586016067503</v>
      </c>
      <c r="OM96" s="32">
        <v>6.8552542045447371</v>
      </c>
      <c r="ON96" s="69"/>
      <c r="OO96" s="32">
        <v>-2.8425524033606311</v>
      </c>
      <c r="OP96" s="32">
        <v>-22.182246151220117</v>
      </c>
      <c r="OQ96" s="32">
        <v>6.8809682208470431</v>
      </c>
      <c r="OR96" s="32">
        <v>4.1910616479870111</v>
      </c>
      <c r="OS96" s="32">
        <v>1.226993865030676</v>
      </c>
      <c r="OT96" s="32">
        <v>-11.006587439826472</v>
      </c>
      <c r="OU96" s="32">
        <v>-2.754820936639121</v>
      </c>
      <c r="OV96" s="32">
        <v>116.83624554905636</v>
      </c>
      <c r="OW96" s="32">
        <v>-10.840096421062208</v>
      </c>
      <c r="OX96" s="32">
        <v>-20.530025155020965</v>
      </c>
      <c r="OY96" s="32">
        <v>8.5497584507528401</v>
      </c>
    </row>
    <row r="97" spans="1:415" ht="15.75" x14ac:dyDescent="0.25">
      <c r="A97" s="10">
        <v>96</v>
      </c>
      <c r="B97" s="3" t="s">
        <v>488</v>
      </c>
      <c r="C97" s="3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9"/>
      <c r="K97" s="32" t="s">
        <v>34</v>
      </c>
      <c r="L97" s="32" t="s">
        <v>34</v>
      </c>
      <c r="M97" s="32" t="s">
        <v>34</v>
      </c>
      <c r="N97" s="32" t="s">
        <v>34</v>
      </c>
      <c r="O97" s="32" t="s">
        <v>34</v>
      </c>
      <c r="P97" s="32" t="s">
        <v>34</v>
      </c>
      <c r="Q97" s="32" t="s">
        <v>34</v>
      </c>
      <c r="R97" s="32" t="s">
        <v>34</v>
      </c>
      <c r="S97" s="32" t="s">
        <v>34</v>
      </c>
      <c r="T97" s="32" t="s">
        <v>34</v>
      </c>
      <c r="U97" s="32" t="s">
        <v>34</v>
      </c>
      <c r="V97" s="32" t="s">
        <v>34</v>
      </c>
      <c r="W97" s="32" t="s">
        <v>34</v>
      </c>
      <c r="X97" s="32" t="s">
        <v>34</v>
      </c>
      <c r="Y97" s="32" t="s">
        <v>34</v>
      </c>
      <c r="Z97" s="32" t="s">
        <v>34</v>
      </c>
      <c r="AA97" s="32" t="s">
        <v>34</v>
      </c>
      <c r="AB97" s="69"/>
      <c r="AC97" s="32" t="s">
        <v>34</v>
      </c>
      <c r="AD97" s="32" t="s">
        <v>34</v>
      </c>
      <c r="AE97" s="32" t="s">
        <v>34</v>
      </c>
      <c r="AF97" s="32" t="s">
        <v>34</v>
      </c>
      <c r="AG97" s="32" t="s">
        <v>34</v>
      </c>
      <c r="AH97" s="32" t="s">
        <v>34</v>
      </c>
      <c r="AI97" s="32" t="s">
        <v>34</v>
      </c>
      <c r="AJ97" s="32" t="s">
        <v>34</v>
      </c>
      <c r="AK97" s="32" t="s">
        <v>34</v>
      </c>
      <c r="AL97" s="32" t="s">
        <v>34</v>
      </c>
      <c r="AM97" s="32" t="s">
        <v>34</v>
      </c>
      <c r="AN97" s="32" t="s">
        <v>34</v>
      </c>
      <c r="AO97" s="32" t="s">
        <v>34</v>
      </c>
      <c r="AP97" s="32" t="s">
        <v>34</v>
      </c>
      <c r="AQ97" s="32" t="s">
        <v>34</v>
      </c>
      <c r="AR97" s="32" t="s">
        <v>34</v>
      </c>
      <c r="AS97" s="32" t="s">
        <v>34</v>
      </c>
      <c r="AT97" s="32" t="s">
        <v>34</v>
      </c>
      <c r="AU97" s="32" t="s">
        <v>34</v>
      </c>
      <c r="AV97" s="32" t="s">
        <v>34</v>
      </c>
      <c r="AW97" s="69"/>
      <c r="AX97" s="32" t="s">
        <v>34</v>
      </c>
      <c r="AY97" s="32" t="s">
        <v>34</v>
      </c>
      <c r="AZ97" s="32" t="s">
        <v>34</v>
      </c>
      <c r="BA97" s="32" t="s">
        <v>34</v>
      </c>
      <c r="BB97" s="32" t="s">
        <v>34</v>
      </c>
      <c r="BC97" s="69"/>
      <c r="BD97" s="32" t="s">
        <v>34</v>
      </c>
      <c r="BE97" s="32" t="s">
        <v>34</v>
      </c>
      <c r="BF97" s="32" t="s">
        <v>34</v>
      </c>
      <c r="BG97" s="32" t="s">
        <v>34</v>
      </c>
      <c r="BH97" s="32" t="s">
        <v>34</v>
      </c>
      <c r="BI97" s="32" t="s">
        <v>34</v>
      </c>
      <c r="BJ97" s="32" t="s">
        <v>34</v>
      </c>
      <c r="BK97" s="32" t="s">
        <v>34</v>
      </c>
      <c r="BL97" s="32" t="s">
        <v>34</v>
      </c>
      <c r="BM97" s="32" t="s">
        <v>34</v>
      </c>
      <c r="BN97" s="32" t="s">
        <v>34</v>
      </c>
      <c r="BO97" s="32" t="s">
        <v>34</v>
      </c>
      <c r="BP97" s="32" t="s">
        <v>34</v>
      </c>
      <c r="BQ97" s="32" t="s">
        <v>34</v>
      </c>
      <c r="BR97" s="32" t="s">
        <v>34</v>
      </c>
      <c r="BS97" s="32" t="s">
        <v>34</v>
      </c>
      <c r="BT97" s="32" t="s">
        <v>34</v>
      </c>
      <c r="BU97" s="32" t="s">
        <v>34</v>
      </c>
      <c r="BV97" s="8" t="s">
        <v>34</v>
      </c>
      <c r="BW97" s="32" t="s">
        <v>34</v>
      </c>
      <c r="BX97" s="32" t="s">
        <v>34</v>
      </c>
      <c r="BY97" s="32" t="s">
        <v>34</v>
      </c>
      <c r="BZ97" s="32" t="s">
        <v>34</v>
      </c>
      <c r="CA97" s="32" t="s">
        <v>34</v>
      </c>
      <c r="CB97" s="32" t="s">
        <v>34</v>
      </c>
      <c r="CC97" s="32" t="s">
        <v>34</v>
      </c>
      <c r="CD97" s="32" t="s">
        <v>34</v>
      </c>
      <c r="CE97" s="32" t="s">
        <v>34</v>
      </c>
      <c r="CF97" s="32" t="s">
        <v>34</v>
      </c>
      <c r="CG97" s="32" t="s">
        <v>34</v>
      </c>
      <c r="CH97" s="32" t="s">
        <v>34</v>
      </c>
      <c r="CI97" s="32" t="s">
        <v>34</v>
      </c>
      <c r="CJ97" s="32" t="s">
        <v>34</v>
      </c>
      <c r="CK97" s="32" t="s">
        <v>34</v>
      </c>
      <c r="CL97" s="32" t="s">
        <v>34</v>
      </c>
      <c r="CM97" s="32" t="s">
        <v>34</v>
      </c>
      <c r="CN97" s="32" t="s">
        <v>34</v>
      </c>
      <c r="CO97" s="32" t="s">
        <v>34</v>
      </c>
      <c r="CP97" s="32" t="s">
        <v>34</v>
      </c>
      <c r="CQ97" s="17" t="s">
        <v>34</v>
      </c>
      <c r="CR97" s="69"/>
      <c r="CS97" s="32" t="s">
        <v>34</v>
      </c>
      <c r="CT97" s="32" t="s">
        <v>34</v>
      </c>
      <c r="CU97" s="32" t="s">
        <v>34</v>
      </c>
      <c r="CV97" s="32" t="s">
        <v>34</v>
      </c>
      <c r="CW97" s="32" t="s">
        <v>34</v>
      </c>
      <c r="CX97" s="32" t="s">
        <v>34</v>
      </c>
      <c r="CY97" s="32" t="s">
        <v>34</v>
      </c>
      <c r="CZ97" s="32" t="s">
        <v>34</v>
      </c>
      <c r="DA97" s="32" t="s">
        <v>34</v>
      </c>
      <c r="DB97" s="32" t="s">
        <v>34</v>
      </c>
      <c r="DC97" s="32" t="s">
        <v>34</v>
      </c>
      <c r="DD97" s="32" t="s">
        <v>34</v>
      </c>
      <c r="DE97" s="32" t="s">
        <v>34</v>
      </c>
      <c r="DF97" s="32" t="s">
        <v>34</v>
      </c>
      <c r="DG97" s="32" t="s">
        <v>34</v>
      </c>
      <c r="DH97" s="32" t="s">
        <v>34</v>
      </c>
      <c r="DI97" s="32" t="s">
        <v>34</v>
      </c>
      <c r="DJ97" s="32" t="s">
        <v>34</v>
      </c>
      <c r="DK97" s="8" t="s">
        <v>34</v>
      </c>
      <c r="DL97" s="32" t="s">
        <v>34</v>
      </c>
      <c r="DM97" s="32" t="s">
        <v>34</v>
      </c>
      <c r="DN97" s="32" t="s">
        <v>34</v>
      </c>
      <c r="DO97" s="32" t="s">
        <v>34</v>
      </c>
      <c r="DP97" s="32" t="s">
        <v>34</v>
      </c>
      <c r="DQ97" s="32" t="s">
        <v>34</v>
      </c>
      <c r="DR97" s="32" t="s">
        <v>34</v>
      </c>
      <c r="DS97" s="32" t="s">
        <v>34</v>
      </c>
      <c r="DT97" s="32" t="s">
        <v>34</v>
      </c>
      <c r="DU97" s="32" t="s">
        <v>34</v>
      </c>
      <c r="DV97" s="32" t="s">
        <v>34</v>
      </c>
      <c r="DW97" s="32" t="s">
        <v>34</v>
      </c>
      <c r="DX97" s="32" t="s">
        <v>34</v>
      </c>
      <c r="DY97" s="32" t="s">
        <v>34</v>
      </c>
      <c r="DZ97" s="32" t="s">
        <v>34</v>
      </c>
      <c r="EA97" s="32" t="s">
        <v>34</v>
      </c>
      <c r="EB97" s="32" t="s">
        <v>34</v>
      </c>
      <c r="EC97" s="69"/>
      <c r="ED97" s="32" t="s">
        <v>34</v>
      </c>
      <c r="EE97" s="32" t="s">
        <v>34</v>
      </c>
      <c r="EF97" s="32" t="s">
        <v>34</v>
      </c>
      <c r="EG97" s="32" t="s">
        <v>34</v>
      </c>
      <c r="EH97" s="32" t="s">
        <v>34</v>
      </c>
      <c r="EI97" s="32" t="s">
        <v>34</v>
      </c>
      <c r="EJ97" s="32" t="s">
        <v>34</v>
      </c>
      <c r="EK97" s="32" t="s">
        <v>34</v>
      </c>
      <c r="EL97" s="32" t="s">
        <v>34</v>
      </c>
      <c r="EM97" s="32" t="s">
        <v>34</v>
      </c>
      <c r="EN97" s="32" t="s">
        <v>34</v>
      </c>
      <c r="EO97" s="69"/>
      <c r="EP97" s="32" t="s">
        <v>34</v>
      </c>
      <c r="EQ97" s="32" t="s">
        <v>34</v>
      </c>
      <c r="ER97" s="32" t="s">
        <v>34</v>
      </c>
      <c r="ES97" s="32" t="s">
        <v>34</v>
      </c>
      <c r="ET97" s="32" t="s">
        <v>34</v>
      </c>
      <c r="EU97" s="32" t="s">
        <v>34</v>
      </c>
      <c r="EV97" s="32" t="s">
        <v>34</v>
      </c>
      <c r="EW97" s="32" t="s">
        <v>34</v>
      </c>
      <c r="EX97" s="32" t="s">
        <v>34</v>
      </c>
      <c r="EY97" s="32" t="s">
        <v>34</v>
      </c>
      <c r="EZ97" s="32" t="s">
        <v>34</v>
      </c>
      <c r="FA97" s="32" t="s">
        <v>34</v>
      </c>
      <c r="FB97" s="32" t="s">
        <v>34</v>
      </c>
      <c r="FC97" s="32" t="s">
        <v>34</v>
      </c>
      <c r="FD97" s="32" t="s">
        <v>34</v>
      </c>
      <c r="FE97" s="32" t="s">
        <v>34</v>
      </c>
      <c r="FF97" s="32" t="s">
        <v>34</v>
      </c>
      <c r="FG97" s="69"/>
      <c r="FH97" s="32" t="s">
        <v>34</v>
      </c>
      <c r="FI97" s="32" t="s">
        <v>34</v>
      </c>
      <c r="FJ97" s="32" t="s">
        <v>34</v>
      </c>
      <c r="FK97" s="32" t="s">
        <v>34</v>
      </c>
      <c r="FL97" s="32" t="s">
        <v>34</v>
      </c>
      <c r="FM97" s="32" t="s">
        <v>34</v>
      </c>
      <c r="FN97" s="32" t="s">
        <v>34</v>
      </c>
      <c r="FO97" s="32" t="s">
        <v>34</v>
      </c>
      <c r="FP97" s="32" t="s">
        <v>34</v>
      </c>
      <c r="FQ97" s="32" t="s">
        <v>34</v>
      </c>
      <c r="FR97" s="32" t="s">
        <v>34</v>
      </c>
      <c r="FS97" s="32" t="s">
        <v>34</v>
      </c>
      <c r="FT97" s="32" t="s">
        <v>34</v>
      </c>
      <c r="FU97" s="32" t="s">
        <v>34</v>
      </c>
      <c r="FV97" s="32" t="s">
        <v>34</v>
      </c>
      <c r="FW97" s="32" t="s">
        <v>34</v>
      </c>
      <c r="FX97" s="32" t="s">
        <v>34</v>
      </c>
      <c r="FY97" s="32" t="s">
        <v>34</v>
      </c>
      <c r="FZ97" s="32" t="s">
        <v>34</v>
      </c>
      <c r="GA97" s="32" t="s">
        <v>34</v>
      </c>
      <c r="GB97" s="69"/>
      <c r="GC97" s="32" t="s">
        <v>34</v>
      </c>
      <c r="GD97" s="32" t="s">
        <v>34</v>
      </c>
      <c r="GE97" s="32" t="s">
        <v>34</v>
      </c>
      <c r="GF97" s="32" t="s">
        <v>34</v>
      </c>
      <c r="GG97" s="32" t="s">
        <v>34</v>
      </c>
      <c r="GH97" s="69"/>
      <c r="GI97" s="32" t="s">
        <v>34</v>
      </c>
      <c r="GJ97" s="32" t="s">
        <v>34</v>
      </c>
      <c r="GK97" s="32" t="s">
        <v>34</v>
      </c>
      <c r="GL97" s="32" t="s">
        <v>34</v>
      </c>
      <c r="GM97" s="32" t="s">
        <v>34</v>
      </c>
      <c r="GN97" s="32" t="s">
        <v>34</v>
      </c>
      <c r="GO97" s="32" t="s">
        <v>34</v>
      </c>
      <c r="GP97" s="32" t="s">
        <v>34</v>
      </c>
      <c r="GQ97" s="32" t="s">
        <v>34</v>
      </c>
      <c r="GR97" s="32" t="s">
        <v>34</v>
      </c>
      <c r="GS97" s="32" t="s">
        <v>34</v>
      </c>
      <c r="GT97" s="32" t="s">
        <v>34</v>
      </c>
      <c r="GU97" s="32" t="s">
        <v>34</v>
      </c>
      <c r="GV97" s="32" t="s">
        <v>34</v>
      </c>
      <c r="GW97" s="32" t="s">
        <v>34</v>
      </c>
      <c r="GX97" s="32" t="s">
        <v>34</v>
      </c>
      <c r="GY97" s="32" t="s">
        <v>34</v>
      </c>
      <c r="GZ97" s="32" t="s">
        <v>34</v>
      </c>
      <c r="HA97" s="8" t="s">
        <v>34</v>
      </c>
      <c r="HB97" s="32" t="s">
        <v>34</v>
      </c>
      <c r="HC97" s="32" t="s">
        <v>34</v>
      </c>
      <c r="HD97" s="32" t="s">
        <v>34</v>
      </c>
      <c r="HE97" s="32" t="s">
        <v>34</v>
      </c>
      <c r="HF97" s="32" t="s">
        <v>34</v>
      </c>
      <c r="HG97" s="32" t="s">
        <v>34</v>
      </c>
      <c r="HH97" s="32" t="s">
        <v>34</v>
      </c>
      <c r="HI97" s="32" t="s">
        <v>34</v>
      </c>
      <c r="HJ97" s="32" t="s">
        <v>34</v>
      </c>
      <c r="HK97" s="32" t="s">
        <v>34</v>
      </c>
      <c r="HL97" s="32" t="s">
        <v>34</v>
      </c>
      <c r="HM97" s="32" t="s">
        <v>34</v>
      </c>
      <c r="HN97" s="32" t="s">
        <v>34</v>
      </c>
      <c r="HO97" s="32" t="s">
        <v>34</v>
      </c>
      <c r="HP97" s="32" t="s">
        <v>34</v>
      </c>
      <c r="HQ97" s="32" t="s">
        <v>34</v>
      </c>
      <c r="HR97" s="32" t="s">
        <v>34</v>
      </c>
      <c r="HS97" s="32" t="s">
        <v>34</v>
      </c>
      <c r="HT97" s="32" t="s">
        <v>34</v>
      </c>
      <c r="HU97" s="32" t="s">
        <v>34</v>
      </c>
      <c r="HV97" s="32" t="s">
        <v>34</v>
      </c>
      <c r="HW97" s="17" t="s">
        <v>34</v>
      </c>
      <c r="HX97" s="69"/>
      <c r="HY97" s="32" t="s">
        <v>34</v>
      </c>
      <c r="HZ97" s="32" t="s">
        <v>34</v>
      </c>
      <c r="IA97" s="32" t="s">
        <v>34</v>
      </c>
      <c r="IB97" s="32" t="s">
        <v>34</v>
      </c>
      <c r="IC97" s="32" t="s">
        <v>34</v>
      </c>
      <c r="ID97" s="32" t="s">
        <v>34</v>
      </c>
      <c r="IE97" s="32" t="s">
        <v>34</v>
      </c>
      <c r="IF97" s="32" t="s">
        <v>34</v>
      </c>
      <c r="IG97" s="32" t="s">
        <v>34</v>
      </c>
      <c r="IH97" s="32" t="s">
        <v>34</v>
      </c>
      <c r="II97" s="32" t="s">
        <v>34</v>
      </c>
      <c r="IJ97" s="32" t="s">
        <v>34</v>
      </c>
      <c r="IK97" s="32" t="s">
        <v>34</v>
      </c>
      <c r="IL97" s="32" t="s">
        <v>34</v>
      </c>
      <c r="IM97" s="32" t="s">
        <v>34</v>
      </c>
      <c r="IN97" s="32" t="s">
        <v>34</v>
      </c>
      <c r="IO97" s="32" t="s">
        <v>34</v>
      </c>
      <c r="IP97" s="32" t="s">
        <v>34</v>
      </c>
      <c r="IQ97" s="8" t="s">
        <v>34</v>
      </c>
      <c r="IR97" s="32" t="s">
        <v>34</v>
      </c>
      <c r="IS97" s="32" t="s">
        <v>34</v>
      </c>
      <c r="IT97" s="32" t="s">
        <v>34</v>
      </c>
      <c r="IU97" s="32" t="s">
        <v>34</v>
      </c>
      <c r="IV97" s="32" t="s">
        <v>34</v>
      </c>
      <c r="IW97" s="32" t="s">
        <v>34</v>
      </c>
      <c r="IX97" s="32" t="s">
        <v>34</v>
      </c>
      <c r="IY97" s="32" t="s">
        <v>34</v>
      </c>
      <c r="IZ97" s="32" t="s">
        <v>34</v>
      </c>
      <c r="JA97" s="32" t="s">
        <v>34</v>
      </c>
      <c r="JB97" s="32" t="s">
        <v>34</v>
      </c>
      <c r="JC97" s="32" t="s">
        <v>34</v>
      </c>
      <c r="JD97" s="32" t="s">
        <v>34</v>
      </c>
      <c r="JE97" s="32" t="s">
        <v>34</v>
      </c>
      <c r="JF97" s="32" t="s">
        <v>34</v>
      </c>
      <c r="JG97" s="32" t="s">
        <v>34</v>
      </c>
      <c r="JH97" s="32" t="s">
        <v>34</v>
      </c>
      <c r="JI97" s="69"/>
      <c r="JJ97" s="32" t="s">
        <v>34</v>
      </c>
      <c r="JK97" s="32" t="s">
        <v>34</v>
      </c>
      <c r="JL97" s="32" t="s">
        <v>34</v>
      </c>
      <c r="JM97" s="32" t="s">
        <v>34</v>
      </c>
      <c r="JN97" s="32" t="s">
        <v>34</v>
      </c>
      <c r="JO97" s="32" t="s">
        <v>34</v>
      </c>
      <c r="JP97" s="32" t="s">
        <v>34</v>
      </c>
      <c r="JQ97" s="32" t="s">
        <v>34</v>
      </c>
      <c r="JR97" s="32" t="s">
        <v>34</v>
      </c>
      <c r="JS97" s="32" t="s">
        <v>34</v>
      </c>
      <c r="JT97" s="32" t="s">
        <v>34</v>
      </c>
      <c r="JU97" s="69"/>
      <c r="JV97" s="32" t="s">
        <v>34</v>
      </c>
      <c r="JW97" s="32" t="s">
        <v>34</v>
      </c>
      <c r="JX97" s="32" t="s">
        <v>34</v>
      </c>
      <c r="JY97" s="32" t="s">
        <v>34</v>
      </c>
      <c r="JZ97" s="32" t="s">
        <v>34</v>
      </c>
      <c r="KA97" s="32" t="s">
        <v>34</v>
      </c>
      <c r="KB97" s="32" t="s">
        <v>34</v>
      </c>
      <c r="KC97" s="32" t="s">
        <v>34</v>
      </c>
      <c r="KD97" s="32" t="s">
        <v>34</v>
      </c>
      <c r="KE97" s="32" t="s">
        <v>34</v>
      </c>
      <c r="KF97" s="32" t="s">
        <v>34</v>
      </c>
      <c r="KG97" s="32" t="s">
        <v>34</v>
      </c>
      <c r="KH97" s="32" t="s">
        <v>34</v>
      </c>
      <c r="KI97" s="32" t="s">
        <v>34</v>
      </c>
      <c r="KJ97" s="32" t="s">
        <v>34</v>
      </c>
      <c r="KK97" s="32" t="s">
        <v>34</v>
      </c>
      <c r="KL97" s="32" t="s">
        <v>34</v>
      </c>
      <c r="KM97" s="69"/>
      <c r="KN97" s="32" t="s">
        <v>34</v>
      </c>
      <c r="KO97" s="32" t="s">
        <v>34</v>
      </c>
      <c r="KP97" s="32" t="s">
        <v>34</v>
      </c>
      <c r="KQ97" s="32" t="s">
        <v>34</v>
      </c>
      <c r="KR97" s="32" t="s">
        <v>34</v>
      </c>
      <c r="KS97" s="32" t="s">
        <v>34</v>
      </c>
      <c r="KT97" s="32" t="s">
        <v>34</v>
      </c>
      <c r="KU97" s="32" t="s">
        <v>34</v>
      </c>
      <c r="KV97" s="32" t="s">
        <v>34</v>
      </c>
      <c r="KW97" s="32" t="s">
        <v>34</v>
      </c>
      <c r="KX97" s="32" t="s">
        <v>34</v>
      </c>
      <c r="KY97" s="32" t="s">
        <v>34</v>
      </c>
      <c r="KZ97" s="32" t="s">
        <v>34</v>
      </c>
      <c r="LA97" s="32" t="s">
        <v>34</v>
      </c>
      <c r="LB97" s="32" t="s">
        <v>34</v>
      </c>
      <c r="LC97" s="32" t="s">
        <v>34</v>
      </c>
      <c r="LD97" s="32" t="s">
        <v>34</v>
      </c>
      <c r="LE97" s="32" t="s">
        <v>34</v>
      </c>
      <c r="LF97" s="32" t="s">
        <v>34</v>
      </c>
      <c r="LG97" s="32" t="s">
        <v>34</v>
      </c>
      <c r="LH97" s="69"/>
      <c r="LI97" s="32" t="s">
        <v>34</v>
      </c>
      <c r="LJ97" s="32" t="s">
        <v>34</v>
      </c>
      <c r="LK97" s="32" t="s">
        <v>34</v>
      </c>
      <c r="LL97" s="32" t="s">
        <v>34</v>
      </c>
      <c r="LM97" s="32" t="s">
        <v>34</v>
      </c>
      <c r="LN97" s="69"/>
      <c r="LO97" s="32" t="s">
        <v>34</v>
      </c>
      <c r="LP97" s="32" t="s">
        <v>34</v>
      </c>
      <c r="LQ97" s="32" t="s">
        <v>34</v>
      </c>
      <c r="LR97" s="32" t="s">
        <v>34</v>
      </c>
      <c r="LS97" s="32" t="s">
        <v>34</v>
      </c>
      <c r="LT97" s="32" t="s">
        <v>34</v>
      </c>
      <c r="LU97" s="32" t="s">
        <v>34</v>
      </c>
      <c r="LV97" s="32" t="s">
        <v>34</v>
      </c>
      <c r="LW97" s="32" t="s">
        <v>34</v>
      </c>
      <c r="LX97" s="32" t="s">
        <v>34</v>
      </c>
      <c r="LY97" s="32" t="s">
        <v>34</v>
      </c>
      <c r="LZ97" s="32" t="s">
        <v>34</v>
      </c>
      <c r="MA97" s="32" t="s">
        <v>34</v>
      </c>
      <c r="MB97" s="32" t="s">
        <v>34</v>
      </c>
      <c r="MC97" s="32" t="s">
        <v>34</v>
      </c>
      <c r="MD97" s="32" t="s">
        <v>34</v>
      </c>
      <c r="ME97" s="32" t="s">
        <v>34</v>
      </c>
      <c r="MF97" s="32" t="s">
        <v>34</v>
      </c>
      <c r="MG97" s="8" t="s">
        <v>34</v>
      </c>
      <c r="MH97" s="32" t="s">
        <v>34</v>
      </c>
      <c r="MI97" s="32" t="s">
        <v>34</v>
      </c>
      <c r="MJ97" s="32" t="s">
        <v>34</v>
      </c>
      <c r="MK97" s="32" t="s">
        <v>34</v>
      </c>
      <c r="ML97" s="32" t="s">
        <v>34</v>
      </c>
      <c r="MM97" s="32" t="s">
        <v>34</v>
      </c>
      <c r="MN97" s="32" t="s">
        <v>34</v>
      </c>
      <c r="MO97" s="32" t="s">
        <v>34</v>
      </c>
      <c r="MP97" s="32" t="s">
        <v>34</v>
      </c>
      <c r="MQ97" s="32" t="s">
        <v>34</v>
      </c>
      <c r="MR97" s="32" t="s">
        <v>34</v>
      </c>
      <c r="MS97" s="32" t="s">
        <v>34</v>
      </c>
      <c r="MT97" s="32" t="s">
        <v>34</v>
      </c>
      <c r="MU97" s="32" t="s">
        <v>34</v>
      </c>
      <c r="MV97" s="32" t="s">
        <v>34</v>
      </c>
      <c r="MW97" s="32" t="s">
        <v>34</v>
      </c>
      <c r="MX97" s="32" t="s">
        <v>34</v>
      </c>
      <c r="MY97" s="32" t="s">
        <v>34</v>
      </c>
      <c r="MZ97" s="32" t="s">
        <v>34</v>
      </c>
      <c r="NA97" s="32" t="s">
        <v>34</v>
      </c>
      <c r="NB97" s="17" t="s">
        <v>34</v>
      </c>
      <c r="NC97" s="69"/>
      <c r="ND97" s="32" t="s">
        <v>34</v>
      </c>
      <c r="NE97" s="32" t="s">
        <v>34</v>
      </c>
      <c r="NF97" s="32" t="s">
        <v>34</v>
      </c>
      <c r="NG97" s="32" t="s">
        <v>34</v>
      </c>
      <c r="NH97" s="32" t="s">
        <v>34</v>
      </c>
      <c r="NI97" s="32" t="s">
        <v>34</v>
      </c>
      <c r="NJ97" s="32" t="s">
        <v>34</v>
      </c>
      <c r="NK97" s="32" t="s">
        <v>34</v>
      </c>
      <c r="NL97" s="32" t="s">
        <v>34</v>
      </c>
      <c r="NM97" s="32" t="s">
        <v>34</v>
      </c>
      <c r="NN97" s="32" t="s">
        <v>34</v>
      </c>
      <c r="NO97" s="32" t="s">
        <v>34</v>
      </c>
      <c r="NP97" s="32" t="s">
        <v>34</v>
      </c>
      <c r="NQ97" s="32" t="s">
        <v>34</v>
      </c>
      <c r="NR97" s="32" t="s">
        <v>34</v>
      </c>
      <c r="NS97" s="32" t="s">
        <v>34</v>
      </c>
      <c r="NT97" s="32" t="s">
        <v>34</v>
      </c>
      <c r="NU97" s="32" t="s">
        <v>34</v>
      </c>
      <c r="NV97" s="8" t="s">
        <v>34</v>
      </c>
      <c r="NW97" s="32" t="s">
        <v>34</v>
      </c>
      <c r="NX97" s="32" t="s">
        <v>34</v>
      </c>
      <c r="NY97" s="32" t="s">
        <v>34</v>
      </c>
      <c r="NZ97" s="32" t="s">
        <v>34</v>
      </c>
      <c r="OA97" s="32" t="s">
        <v>34</v>
      </c>
      <c r="OB97" s="32" t="s">
        <v>34</v>
      </c>
      <c r="OC97" s="32" t="s">
        <v>34</v>
      </c>
      <c r="OD97" s="32" t="s">
        <v>34</v>
      </c>
      <c r="OE97" s="32" t="s">
        <v>34</v>
      </c>
      <c r="OF97" s="32" t="s">
        <v>34</v>
      </c>
      <c r="OG97" s="32" t="s">
        <v>34</v>
      </c>
      <c r="OH97" s="32" t="s">
        <v>34</v>
      </c>
      <c r="OI97" s="32" t="s">
        <v>34</v>
      </c>
      <c r="OJ97" s="32" t="s">
        <v>34</v>
      </c>
      <c r="OK97" s="32" t="s">
        <v>34</v>
      </c>
      <c r="OL97" s="32" t="s">
        <v>34</v>
      </c>
      <c r="OM97" s="32" t="s">
        <v>34</v>
      </c>
      <c r="ON97" s="69"/>
      <c r="OO97" s="32" t="s">
        <v>34</v>
      </c>
      <c r="OP97" s="32" t="s">
        <v>34</v>
      </c>
      <c r="OQ97" s="32" t="s">
        <v>34</v>
      </c>
      <c r="OR97" s="32" t="s">
        <v>34</v>
      </c>
      <c r="OS97" s="32" t="s">
        <v>34</v>
      </c>
      <c r="OT97" s="32" t="s">
        <v>34</v>
      </c>
      <c r="OU97" s="32" t="s">
        <v>34</v>
      </c>
      <c r="OV97" s="32" t="s">
        <v>34</v>
      </c>
      <c r="OW97" s="32" t="s">
        <v>34</v>
      </c>
      <c r="OX97" s="32" t="s">
        <v>34</v>
      </c>
      <c r="OY97" s="32" t="s">
        <v>34</v>
      </c>
    </row>
    <row r="98" spans="1:415" ht="15.75" x14ac:dyDescent="0.25">
      <c r="A98" s="10">
        <v>97</v>
      </c>
      <c r="B98" s="3" t="s">
        <v>490</v>
      </c>
      <c r="C98" s="3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9"/>
      <c r="K98" s="32">
        <v>1513.6053259999999</v>
      </c>
      <c r="L98" s="32">
        <v>20.181404346666664</v>
      </c>
      <c r="M98" s="32">
        <v>0.14099999999999999</v>
      </c>
      <c r="N98" s="32">
        <v>880.5341981444443</v>
      </c>
      <c r="O98" s="32">
        <v>11.740455975259257</v>
      </c>
      <c r="P98" s="32">
        <v>519.00080550740745</v>
      </c>
      <c r="Q98" s="32">
        <v>6.9200107400987658</v>
      </c>
      <c r="R98" s="32">
        <v>699.76750182592582</v>
      </c>
      <c r="S98" s="32">
        <v>9.3302333576790115</v>
      </c>
      <c r="T98" s="32">
        <v>0.26900000000000002</v>
      </c>
      <c r="U98" s="32">
        <v>1.7999999999999999E-2</v>
      </c>
      <c r="V98" s="32">
        <v>37.647207519093811</v>
      </c>
      <c r="W98" s="32">
        <v>62.352792480906189</v>
      </c>
      <c r="X98" s="32">
        <v>80.203043256258283</v>
      </c>
      <c r="Y98" s="32">
        <v>99.583856771708128</v>
      </c>
      <c r="Z98" s="32">
        <v>0.44047877817886788</v>
      </c>
      <c r="AA98" s="32">
        <v>3.4362729851774176</v>
      </c>
      <c r="AB98" s="69"/>
      <c r="AC98" s="32">
        <v>53.974892000000004</v>
      </c>
      <c r="AD98" s="32">
        <v>0.71966522666666677</v>
      </c>
      <c r="AE98" s="32">
        <v>6.0000000000000001E-3</v>
      </c>
      <c r="AF98" s="32">
        <v>1320.2117849999997</v>
      </c>
      <c r="AG98" s="32">
        <v>17.602823799999996</v>
      </c>
      <c r="AH98" s="32">
        <v>0.14199999999999999</v>
      </c>
      <c r="AI98" s="32">
        <v>765.36451602127681</v>
      </c>
      <c r="AJ98" s="32">
        <v>10.204860213617025</v>
      </c>
      <c r="AK98" s="32">
        <v>355.42952376595747</v>
      </c>
      <c r="AL98" s="32">
        <v>4.7390603168794332</v>
      </c>
      <c r="AM98" s="32">
        <v>560.3970198936172</v>
      </c>
      <c r="AN98" s="32">
        <v>7.4719602652482289</v>
      </c>
      <c r="AO98" s="32">
        <v>0.23400000000000001</v>
      </c>
      <c r="AP98" s="32">
        <v>1.7999999999999999E-2</v>
      </c>
      <c r="AQ98" s="32">
        <v>31.823220467623003</v>
      </c>
      <c r="AR98" s="32">
        <v>68.176779532376997</v>
      </c>
      <c r="AS98" s="32">
        <v>95.95375648432352</v>
      </c>
      <c r="AT98" s="32">
        <v>98.934836232500274</v>
      </c>
      <c r="AU98" s="32">
        <v>0.2760993284253716</v>
      </c>
      <c r="AV98" s="32">
        <v>4.7816551837678478</v>
      </c>
      <c r="AW98" s="69"/>
      <c r="AX98" s="32">
        <v>13.994747201870814</v>
      </c>
      <c r="AY98" s="32">
        <v>13.648978280871152</v>
      </c>
      <c r="AZ98" s="32">
        <v>-0.70671378091872861</v>
      </c>
      <c r="BA98" s="32">
        <v>13.916500994035786</v>
      </c>
      <c r="BB98" s="32">
        <v>16.766809188463306</v>
      </c>
      <c r="BC98" s="69"/>
      <c r="BD98" s="32">
        <v>839.05439899999988</v>
      </c>
      <c r="BE98" s="32">
        <v>11.187391986666665</v>
      </c>
      <c r="BF98" s="32">
        <v>1.2999999999999999E-2</v>
      </c>
      <c r="BG98" s="32">
        <v>1911.2665639999998</v>
      </c>
      <c r="BH98" s="32">
        <v>25.483554186666662</v>
      </c>
      <c r="BI98" s="32">
        <v>7.5999999999999998E-2</v>
      </c>
      <c r="BJ98" s="32">
        <v>1198.8134896578947</v>
      </c>
      <c r="BK98" s="32">
        <v>15.984179862105263</v>
      </c>
      <c r="BL98" s="32">
        <v>178.70314490131577</v>
      </c>
      <c r="BM98" s="32">
        <v>2.3827085986842103</v>
      </c>
      <c r="BN98" s="32">
        <v>688.75831727960519</v>
      </c>
      <c r="BO98" s="32">
        <v>9.1834442303947359</v>
      </c>
      <c r="BP98" s="32">
        <v>280.55153325663713</v>
      </c>
      <c r="BQ98" s="32">
        <v>3.7406871100884951</v>
      </c>
      <c r="BR98" s="32">
        <v>1208.5314254336279</v>
      </c>
      <c r="BS98" s="32">
        <v>16.113752339115038</v>
      </c>
      <c r="BT98" s="32">
        <v>0.10100000000000001</v>
      </c>
      <c r="BU98" s="32">
        <v>-116.39603161538457</v>
      </c>
      <c r="BV98" s="8">
        <v>-1.5519470882051276</v>
      </c>
      <c r="BW98" s="32">
        <v>1170.6563936923076</v>
      </c>
      <c r="BX98" s="32" t="s">
        <v>34</v>
      </c>
      <c r="BY98" s="32">
        <v>0.05</v>
      </c>
      <c r="BZ98" s="32">
        <v>44708.775501499993</v>
      </c>
      <c r="CA98" s="32">
        <v>136022.922555</v>
      </c>
      <c r="CB98" s="32">
        <v>0.151</v>
      </c>
      <c r="CC98" s="32" t="s">
        <v>34</v>
      </c>
      <c r="CD98" s="32">
        <v>66.88741721854305</v>
      </c>
      <c r="CE98" s="32">
        <v>8.303013299814042</v>
      </c>
      <c r="CF98" s="32">
        <v>12.747638972238844</v>
      </c>
      <c r="CG98" s="32">
        <v>20.012908340469483</v>
      </c>
      <c r="CH98" s="32">
        <v>85.51635490045652</v>
      </c>
      <c r="CI98" s="32">
        <v>8.303013299814042</v>
      </c>
      <c r="CJ98" s="32">
        <v>37.487552583880706</v>
      </c>
      <c r="CK98" s="32">
        <v>20.012908340469483</v>
      </c>
      <c r="CL98" s="32">
        <v>26.586808695389713</v>
      </c>
      <c r="CM98" s="32" t="s">
        <v>34</v>
      </c>
      <c r="CN98" s="32" t="s">
        <v>34</v>
      </c>
      <c r="CO98" s="32" t="s">
        <v>34</v>
      </c>
      <c r="CP98" s="32" t="s">
        <v>34</v>
      </c>
      <c r="CQ98" s="17" t="s">
        <v>34</v>
      </c>
      <c r="CR98" s="69"/>
      <c r="CS98" s="32" t="s">
        <v>34</v>
      </c>
      <c r="CT98" s="32" t="s">
        <v>34</v>
      </c>
      <c r="CU98" s="32" t="s">
        <v>34</v>
      </c>
      <c r="CV98" s="32" t="s">
        <v>34</v>
      </c>
      <c r="CW98" s="32" t="s">
        <v>34</v>
      </c>
      <c r="CX98" s="32" t="s">
        <v>34</v>
      </c>
      <c r="CY98" s="32" t="s">
        <v>34</v>
      </c>
      <c r="CZ98" s="32" t="s">
        <v>34</v>
      </c>
      <c r="DA98" s="32" t="s">
        <v>34</v>
      </c>
      <c r="DB98" s="32" t="s">
        <v>34</v>
      </c>
      <c r="DC98" s="32" t="s">
        <v>34</v>
      </c>
      <c r="DD98" s="32" t="s">
        <v>34</v>
      </c>
      <c r="DE98" s="32" t="s">
        <v>34</v>
      </c>
      <c r="DF98" s="32" t="s">
        <v>34</v>
      </c>
      <c r="DG98" s="32" t="s">
        <v>34</v>
      </c>
      <c r="DH98" s="32" t="s">
        <v>34</v>
      </c>
      <c r="DI98" s="32" t="s">
        <v>34</v>
      </c>
      <c r="DJ98" s="32" t="s">
        <v>34</v>
      </c>
      <c r="DK98" s="8" t="s">
        <v>34</v>
      </c>
      <c r="DL98" s="32" t="s">
        <v>34</v>
      </c>
      <c r="DM98" s="32" t="s">
        <v>34</v>
      </c>
      <c r="DN98" s="32" t="s">
        <v>34</v>
      </c>
      <c r="DO98" s="32" t="s">
        <v>34</v>
      </c>
      <c r="DP98" s="32" t="s">
        <v>34</v>
      </c>
      <c r="DQ98" s="32" t="s">
        <v>34</v>
      </c>
      <c r="DR98" s="32" t="s">
        <v>34</v>
      </c>
      <c r="DS98" s="32" t="s">
        <v>34</v>
      </c>
      <c r="DT98" s="32" t="s">
        <v>34</v>
      </c>
      <c r="DU98" s="32" t="s">
        <v>34</v>
      </c>
      <c r="DV98" s="32" t="s">
        <v>34</v>
      </c>
      <c r="DW98" s="32" t="s">
        <v>34</v>
      </c>
      <c r="DX98" s="32" t="s">
        <v>34</v>
      </c>
      <c r="DY98" s="32" t="s">
        <v>34</v>
      </c>
      <c r="DZ98" s="32" t="s">
        <v>34</v>
      </c>
      <c r="EA98" s="32" t="s">
        <v>34</v>
      </c>
      <c r="EB98" s="32" t="s">
        <v>34</v>
      </c>
      <c r="EC98" s="69"/>
      <c r="ED98" s="32" t="s">
        <v>34</v>
      </c>
      <c r="EE98" s="32" t="s">
        <v>34</v>
      </c>
      <c r="EF98" s="32" t="s">
        <v>34</v>
      </c>
      <c r="EG98" s="32" t="s">
        <v>34</v>
      </c>
      <c r="EH98" s="32" t="s">
        <v>34</v>
      </c>
      <c r="EI98" s="32" t="s">
        <v>34</v>
      </c>
      <c r="EJ98" s="32" t="s">
        <v>34</v>
      </c>
      <c r="EK98" s="32" t="s">
        <v>34</v>
      </c>
      <c r="EL98" s="32" t="s">
        <v>34</v>
      </c>
      <c r="EM98" s="32" t="s">
        <v>34</v>
      </c>
      <c r="EN98" s="32" t="s">
        <v>34</v>
      </c>
      <c r="EO98" s="69"/>
      <c r="EP98" s="32">
        <v>503.89789999999994</v>
      </c>
      <c r="EQ98" s="32">
        <v>6.7186386666666662</v>
      </c>
      <c r="ER98" s="32">
        <v>2.3E-2</v>
      </c>
      <c r="ES98" s="32">
        <v>212.75297994308943</v>
      </c>
      <c r="ET98" s="32">
        <v>2.8367063992411925</v>
      </c>
      <c r="EU98" s="32">
        <v>127.7968344593496</v>
      </c>
      <c r="EV98" s="32">
        <v>1.7039577927913279</v>
      </c>
      <c r="EW98" s="32">
        <v>170.27490720121952</v>
      </c>
      <c r="EX98" s="32">
        <v>2.2703320960162601</v>
      </c>
      <c r="EY98" s="32">
        <v>0.245</v>
      </c>
      <c r="EZ98" s="32">
        <v>1.7000000000000001E-2</v>
      </c>
      <c r="FA98" s="32">
        <v>37.115611259578266</v>
      </c>
      <c r="FB98" s="32">
        <v>62.388315698160397</v>
      </c>
      <c r="FC98" s="32">
        <v>58.299153654051658</v>
      </c>
      <c r="FD98" s="32">
        <v>98.759312415145445</v>
      </c>
      <c r="FE98" s="32">
        <v>9.2007071430831741E-2</v>
      </c>
      <c r="FF98" s="32">
        <v>5.4767301269752489</v>
      </c>
      <c r="FG98" s="69"/>
      <c r="FH98" s="32">
        <v>1339.4537609999998</v>
      </c>
      <c r="FI98" s="32">
        <v>17.859383479999998</v>
      </c>
      <c r="FJ98" s="32">
        <v>0.15</v>
      </c>
      <c r="FK98" s="32">
        <v>1339.4537609999998</v>
      </c>
      <c r="FL98" s="32">
        <v>17.859383479999998</v>
      </c>
      <c r="FM98" s="32">
        <v>0.15</v>
      </c>
      <c r="FN98" s="32">
        <v>814.6680769521912</v>
      </c>
      <c r="FO98" s="32">
        <v>10.862241026029215</v>
      </c>
      <c r="FP98" s="32">
        <v>333.08404953784861</v>
      </c>
      <c r="FQ98" s="32">
        <v>4.441120660504648</v>
      </c>
      <c r="FR98" s="32">
        <v>573.87606324501985</v>
      </c>
      <c r="FS98" s="32">
        <v>7.6516808432669317</v>
      </c>
      <c r="FT98" s="32">
        <v>0.25</v>
      </c>
      <c r="FU98" s="32">
        <v>1.7000000000000001E-2</v>
      </c>
      <c r="FV98" s="32">
        <v>30.090157984777797</v>
      </c>
      <c r="FW98" s="32">
        <v>69.90984201522221</v>
      </c>
      <c r="FX98" s="32">
        <v>99.479158543861985</v>
      </c>
      <c r="FY98" s="32">
        <v>99.385155123204328</v>
      </c>
      <c r="FZ98" s="32">
        <v>0.34285432214289652</v>
      </c>
      <c r="GA98" s="32">
        <v>3.9067722775906426</v>
      </c>
      <c r="GB98" s="69"/>
      <c r="GC98" s="32">
        <v>-117.17009165220014</v>
      </c>
      <c r="GD98" s="32">
        <v>-90.656154078242366</v>
      </c>
      <c r="GE98" s="32">
        <v>-146.82080924855492</v>
      </c>
      <c r="GF98" s="32">
        <v>-2.0202020202020221</v>
      </c>
      <c r="GG98" s="32">
        <v>20.907292197657469</v>
      </c>
      <c r="GH98" s="69"/>
      <c r="GI98" s="32">
        <v>679.60034299999995</v>
      </c>
      <c r="GJ98" s="32">
        <v>9.0613379066666653</v>
      </c>
      <c r="GK98" s="32">
        <v>1.4999999999999999E-2</v>
      </c>
      <c r="GL98" s="32">
        <v>1986.6474990000002</v>
      </c>
      <c r="GM98" s="32">
        <v>26.488633320000002</v>
      </c>
      <c r="GN98" s="32">
        <v>7.3999999999999996E-2</v>
      </c>
      <c r="GO98" s="32">
        <v>1134.0367901234567</v>
      </c>
      <c r="GP98" s="32">
        <v>15.120490534979423</v>
      </c>
      <c r="GQ98" s="32">
        <v>164.08226514814814</v>
      </c>
      <c r="GR98" s="32">
        <v>2.1877635353086418</v>
      </c>
      <c r="GS98" s="32">
        <v>649.0595276358024</v>
      </c>
      <c r="GT98" s="32">
        <v>8.6541270351440325</v>
      </c>
      <c r="GU98" s="32">
        <v>312.67129134259261</v>
      </c>
      <c r="GV98" s="32">
        <v>4.1689505512345679</v>
      </c>
      <c r="GW98" s="32">
        <v>1221.6886321759259</v>
      </c>
      <c r="GX98" s="32">
        <v>16.289181762345677</v>
      </c>
      <c r="GY98" s="32">
        <v>0.108</v>
      </c>
      <c r="GZ98" s="32">
        <v>-133.09578724074075</v>
      </c>
      <c r="HA98" s="8">
        <v>-1.7746104965432099</v>
      </c>
      <c r="HB98" s="32">
        <v>958.73310601851847</v>
      </c>
      <c r="HC98" s="32">
        <v>0.63176758913580255</v>
      </c>
      <c r="HD98" s="32">
        <v>5.2999999999999999E-2</v>
      </c>
      <c r="HE98" s="32">
        <v>50852.941543500005</v>
      </c>
      <c r="HF98" s="32">
        <v>131041.52538950001</v>
      </c>
      <c r="HG98" s="32">
        <v>0.161</v>
      </c>
      <c r="HH98" s="32" t="s">
        <v>34</v>
      </c>
      <c r="HI98" s="32">
        <v>67.0807453416149</v>
      </c>
      <c r="HJ98" s="32">
        <v>8.9930118250549107</v>
      </c>
      <c r="HK98" s="32">
        <v>11.086705156866232</v>
      </c>
      <c r="HL98" s="32">
        <v>21.126563647826803</v>
      </c>
      <c r="HM98" s="32">
        <v>76.624560965110831</v>
      </c>
      <c r="HN98" s="32">
        <v>8.9930118250549107</v>
      </c>
      <c r="HO98" s="32">
        <v>35.833679118885698</v>
      </c>
      <c r="HP98" s="32">
        <v>21.126563647826803</v>
      </c>
      <c r="HQ98" s="32">
        <v>24.13838607266602</v>
      </c>
      <c r="HR98" s="32">
        <v>67.0807453416149</v>
      </c>
      <c r="HS98" s="32" t="s">
        <v>34</v>
      </c>
      <c r="HT98" s="32" t="s">
        <v>34</v>
      </c>
      <c r="HU98" s="32" t="s">
        <v>34</v>
      </c>
      <c r="HV98" s="32" t="s">
        <v>34</v>
      </c>
      <c r="HW98" s="17" t="s">
        <v>34</v>
      </c>
      <c r="HX98" s="69"/>
      <c r="HY98" s="32" t="s">
        <v>34</v>
      </c>
      <c r="HZ98" s="32" t="s">
        <v>34</v>
      </c>
      <c r="IA98" s="32" t="s">
        <v>34</v>
      </c>
      <c r="IB98" s="32" t="s">
        <v>34</v>
      </c>
      <c r="IC98" s="32" t="s">
        <v>34</v>
      </c>
      <c r="ID98" s="32" t="s">
        <v>34</v>
      </c>
      <c r="IE98" s="32" t="s">
        <v>34</v>
      </c>
      <c r="IF98" s="32" t="s">
        <v>34</v>
      </c>
      <c r="IG98" s="32" t="s">
        <v>34</v>
      </c>
      <c r="IH98" s="32" t="s">
        <v>34</v>
      </c>
      <c r="II98" s="32" t="s">
        <v>34</v>
      </c>
      <c r="IJ98" s="32" t="s">
        <v>34</v>
      </c>
      <c r="IK98" s="32" t="s">
        <v>34</v>
      </c>
      <c r="IL98" s="32" t="s">
        <v>34</v>
      </c>
      <c r="IM98" s="32" t="s">
        <v>34</v>
      </c>
      <c r="IN98" s="32" t="s">
        <v>34</v>
      </c>
      <c r="IO98" s="32" t="s">
        <v>34</v>
      </c>
      <c r="IP98" s="32" t="s">
        <v>34</v>
      </c>
      <c r="IQ98" s="8" t="s">
        <v>34</v>
      </c>
      <c r="IR98" s="32" t="s">
        <v>34</v>
      </c>
      <c r="IS98" s="32" t="s">
        <v>34</v>
      </c>
      <c r="IT98" s="32" t="s">
        <v>34</v>
      </c>
      <c r="IU98" s="32" t="s">
        <v>34</v>
      </c>
      <c r="IV98" s="32" t="s">
        <v>34</v>
      </c>
      <c r="IW98" s="32" t="s">
        <v>34</v>
      </c>
      <c r="IX98" s="32" t="s">
        <v>34</v>
      </c>
      <c r="IY98" s="32" t="s">
        <v>34</v>
      </c>
      <c r="IZ98" s="32" t="s">
        <v>34</v>
      </c>
      <c r="JA98" s="32" t="s">
        <v>34</v>
      </c>
      <c r="JB98" s="32" t="s">
        <v>34</v>
      </c>
      <c r="JC98" s="32" t="s">
        <v>34</v>
      </c>
      <c r="JD98" s="32" t="s">
        <v>34</v>
      </c>
      <c r="JE98" s="32" t="s">
        <v>34</v>
      </c>
      <c r="JF98" s="32" t="s">
        <v>34</v>
      </c>
      <c r="JG98" s="32" t="s">
        <v>34</v>
      </c>
      <c r="JH98" s="32" t="s">
        <v>34</v>
      </c>
      <c r="JI98" s="69"/>
      <c r="JJ98" s="32" t="s">
        <v>34</v>
      </c>
      <c r="JK98" s="32" t="s">
        <v>34</v>
      </c>
      <c r="JL98" s="32" t="s">
        <v>34</v>
      </c>
      <c r="JM98" s="32" t="s">
        <v>34</v>
      </c>
      <c r="JN98" s="32" t="s">
        <v>34</v>
      </c>
      <c r="JO98" s="32" t="s">
        <v>34</v>
      </c>
      <c r="JP98" s="32" t="s">
        <v>34</v>
      </c>
      <c r="JQ98" s="32" t="s">
        <v>34</v>
      </c>
      <c r="JR98" s="32" t="s">
        <v>34</v>
      </c>
      <c r="JS98" s="32" t="s">
        <v>34</v>
      </c>
      <c r="JT98" s="32" t="s">
        <v>34</v>
      </c>
      <c r="JU98" s="69"/>
      <c r="JV98" s="32">
        <v>1542.6576129999996</v>
      </c>
      <c r="JW98" s="32">
        <v>20.568768173333329</v>
      </c>
      <c r="JX98" s="32">
        <v>0.127</v>
      </c>
      <c r="JY98" s="32">
        <v>882.63285521311457</v>
      </c>
      <c r="JZ98" s="32">
        <v>11.768438069508194</v>
      </c>
      <c r="KA98" s="32">
        <v>517.17411680737712</v>
      </c>
      <c r="KB98" s="32">
        <v>6.8956548907650284</v>
      </c>
      <c r="KC98" s="32">
        <v>699.90348601024584</v>
      </c>
      <c r="KD98" s="32">
        <v>9.3320464801366114</v>
      </c>
      <c r="KE98" s="32">
        <v>0.24299999999999999</v>
      </c>
      <c r="KF98" s="32">
        <v>3.7999999999999999E-2</v>
      </c>
      <c r="KG98" s="32">
        <v>36.740711998705088</v>
      </c>
      <c r="KH98" s="32">
        <v>63.259288001294927</v>
      </c>
      <c r="KI98" s="32">
        <v>65.73427603876037</v>
      </c>
      <c r="KJ98" s="32">
        <v>95.893604763734629</v>
      </c>
      <c r="KK98" s="32">
        <v>0.35961363314723277</v>
      </c>
      <c r="KL98" s="32">
        <v>4.2897639878085645</v>
      </c>
      <c r="KM98" s="69"/>
      <c r="KN98" s="32">
        <v>302.44334499999997</v>
      </c>
      <c r="KO98" s="32">
        <v>4.0325779333333331</v>
      </c>
      <c r="KP98" s="32">
        <v>1.2999999999999999E-2</v>
      </c>
      <c r="KQ98" s="32">
        <v>1470.648997</v>
      </c>
      <c r="KR98" s="32">
        <v>19.608653293333333</v>
      </c>
      <c r="KS98" s="32">
        <v>0.13400000000000001</v>
      </c>
      <c r="KT98" s="32">
        <v>890.04096096296291</v>
      </c>
      <c r="KU98" s="32">
        <v>11.867212812839506</v>
      </c>
      <c r="KV98" s="32">
        <v>335.5639905061729</v>
      </c>
      <c r="KW98" s="32">
        <v>4.4741865400823055</v>
      </c>
      <c r="KX98" s="32">
        <v>612.80247573456791</v>
      </c>
      <c r="KY98" s="32">
        <v>8.1706996764609059</v>
      </c>
      <c r="KZ98" s="32">
        <v>0.24199999999999999</v>
      </c>
      <c r="LA98" s="32">
        <v>3.7999999999999999E-2</v>
      </c>
      <c r="LB98" s="32">
        <v>28.950000817041655</v>
      </c>
      <c r="LC98" s="32">
        <v>71.049999182958359</v>
      </c>
      <c r="LD98" s="32">
        <v>78.602636159990553</v>
      </c>
      <c r="LE98" s="32">
        <v>99.525829635325763</v>
      </c>
      <c r="LF98" s="32">
        <v>0.36290432215894963</v>
      </c>
      <c r="LG98" s="32">
        <v>4.0524427712819184</v>
      </c>
      <c r="LH98" s="69"/>
      <c r="LI98" s="32">
        <v>-0.83581149360334517</v>
      </c>
      <c r="LJ98" s="32">
        <v>4.7793753055882773</v>
      </c>
      <c r="LK98" s="32">
        <v>-5.3639846743295063</v>
      </c>
      <c r="LL98" s="32">
        <v>0.41237113402061892</v>
      </c>
      <c r="LM98" s="32">
        <v>23.719368683105291</v>
      </c>
      <c r="LN98" s="69"/>
      <c r="LO98" s="32">
        <v>1450.6676580000001</v>
      </c>
      <c r="LP98" s="32">
        <v>19.34223544</v>
      </c>
      <c r="LQ98" s="32">
        <v>9.4E-2</v>
      </c>
      <c r="LR98" s="32">
        <v>1450.6676580000001</v>
      </c>
      <c r="LS98" s="32">
        <v>19.34223544</v>
      </c>
      <c r="LT98" s="32">
        <v>9.4E-2</v>
      </c>
      <c r="LU98" s="32">
        <v>843.40716650877187</v>
      </c>
      <c r="LV98" s="32">
        <v>11.245428886783625</v>
      </c>
      <c r="LW98" s="32">
        <v>53.700272941520453</v>
      </c>
      <c r="LX98" s="32">
        <v>0.71600363922027266</v>
      </c>
      <c r="LY98" s="32">
        <v>448.55371972514615</v>
      </c>
      <c r="LZ98" s="32">
        <v>5.9807162630019484</v>
      </c>
      <c r="MA98" s="32">
        <v>204.40349734883725</v>
      </c>
      <c r="MB98" s="32">
        <v>2.7253799646511632</v>
      </c>
      <c r="MC98" s="32">
        <v>831.0105236046511</v>
      </c>
      <c r="MD98" s="32">
        <v>11.080140314728681</v>
      </c>
      <c r="ME98" s="32">
        <v>8.5999999999999993E-2</v>
      </c>
      <c r="MF98" s="32">
        <v>-98.775930576470614</v>
      </c>
      <c r="MG98" s="8">
        <v>-1.3170124076862748</v>
      </c>
      <c r="MH98" s="32">
        <v>855.94965227058822</v>
      </c>
      <c r="MI98" s="32">
        <v>1.1697668134901962</v>
      </c>
      <c r="MJ98" s="32">
        <v>8.4000000000000005E-2</v>
      </c>
      <c r="MK98" s="32">
        <v>72036.923812500012</v>
      </c>
      <c r="ML98" s="32">
        <v>70753.725934500006</v>
      </c>
      <c r="MM98" s="32">
        <v>0.17</v>
      </c>
      <c r="MN98" s="32">
        <v>2E-3</v>
      </c>
      <c r="MO98" s="32">
        <v>50.588235294117631</v>
      </c>
      <c r="MP98" s="32">
        <v>9.4050468287529014</v>
      </c>
      <c r="MQ98" s="32">
        <v>5.1131240048486166</v>
      </c>
      <c r="MR98" s="32">
        <v>19.462478898524534</v>
      </c>
      <c r="MS98" s="32">
        <v>80.305838177649562</v>
      </c>
      <c r="MT98" s="32">
        <v>9.4050468287529014</v>
      </c>
      <c r="MU98" s="32">
        <v>37.669680360798388</v>
      </c>
      <c r="MV98" s="32">
        <v>19.462478898524534</v>
      </c>
      <c r="MW98" s="32">
        <v>23.236658565893705</v>
      </c>
      <c r="MX98" s="32" t="s">
        <v>34</v>
      </c>
      <c r="MY98" s="32" t="s">
        <v>34</v>
      </c>
      <c r="MZ98" s="32" t="s">
        <v>34</v>
      </c>
      <c r="NA98" s="32" t="s">
        <v>34</v>
      </c>
      <c r="NB98" s="17" t="s">
        <v>34</v>
      </c>
      <c r="NC98" s="69"/>
      <c r="ND98" s="32">
        <v>1931.3020099999999</v>
      </c>
      <c r="NE98" s="32">
        <v>25.750693466666664</v>
      </c>
      <c r="NF98" s="32">
        <v>8.4000000000000005E-2</v>
      </c>
      <c r="NG98" s="32">
        <v>1931.3020099999999</v>
      </c>
      <c r="NH98" s="32">
        <v>25.750693466666664</v>
      </c>
      <c r="NI98" s="32">
        <v>8.4000000000000005E-2</v>
      </c>
      <c r="NJ98" s="32">
        <v>944.26931415225033</v>
      </c>
      <c r="NK98" s="32">
        <v>12.590257522030004</v>
      </c>
      <c r="NL98" s="32">
        <v>80.821187747663544</v>
      </c>
      <c r="NM98" s="32">
        <v>1.077615836635514</v>
      </c>
      <c r="NN98" s="32">
        <v>512.54525094995688</v>
      </c>
      <c r="NO98" s="32">
        <v>6.8339366793327585</v>
      </c>
      <c r="NP98" s="32">
        <v>155.67904303311258</v>
      </c>
      <c r="NQ98" s="32">
        <v>2.0757205737748343</v>
      </c>
      <c r="NR98" s="32">
        <v>902.79606416279182</v>
      </c>
      <c r="NS98" s="32">
        <v>12.037280855503891</v>
      </c>
      <c r="NT98" s="32">
        <v>0.15</v>
      </c>
      <c r="NU98" s="32">
        <v>-98.600020952380959</v>
      </c>
      <c r="NV98" s="8">
        <v>-1.3146669460317462</v>
      </c>
      <c r="NW98" s="32">
        <v>1043.6734530158731</v>
      </c>
      <c r="NX98" s="32">
        <v>-1.04919931026455</v>
      </c>
      <c r="NY98" s="32">
        <v>6.2E-2</v>
      </c>
      <c r="NZ98" s="32">
        <v>64864.728098</v>
      </c>
      <c r="OA98" s="32">
        <v>136325.6140600816</v>
      </c>
      <c r="OB98" s="32">
        <v>0.21299999999999999</v>
      </c>
      <c r="OC98" s="32">
        <v>2E-3</v>
      </c>
      <c r="OD98" s="32">
        <v>70.422535211267601</v>
      </c>
      <c r="OE98" s="32">
        <v>7.4617164509019469</v>
      </c>
      <c r="OF98" s="32">
        <v>9.1031252930445419</v>
      </c>
      <c r="OG98" s="32">
        <v>14.372875589104787</v>
      </c>
      <c r="OH98" s="32">
        <v>87.1784994980531</v>
      </c>
      <c r="OI98" s="32">
        <v>7.4617164509019469</v>
      </c>
      <c r="OJ98" s="32">
        <v>9.1031252930445419</v>
      </c>
      <c r="OK98" s="32">
        <v>14.372875589104787</v>
      </c>
      <c r="OL98" s="32">
        <v>0.35080810035299065</v>
      </c>
      <c r="OM98" s="32">
        <v>5.5052947980867106</v>
      </c>
      <c r="ON98" s="69"/>
      <c r="OO98" s="32">
        <v>-11.284161170614389</v>
      </c>
      <c r="OP98" s="32">
        <v>0.17824828478553698</v>
      </c>
      <c r="OQ98" s="32">
        <v>27.062936327899294</v>
      </c>
      <c r="OR98" s="32">
        <v>-28.423339011448512</v>
      </c>
      <c r="OS98" s="32">
        <v>11.235955056179771</v>
      </c>
      <c r="OT98" s="32">
        <v>-28.423339011448512</v>
      </c>
      <c r="OU98" s="32">
        <v>-22.454308093994769</v>
      </c>
      <c r="OV98" s="32">
        <v>-122.6108505852616</v>
      </c>
      <c r="OW98" s="32">
        <v>-37.353832906552739</v>
      </c>
      <c r="OX98" s="32">
        <v>3.2625754042213662</v>
      </c>
      <c r="OY98" s="32">
        <v>30.084527775706192</v>
      </c>
    </row>
    <row r="99" spans="1:415" ht="15.75" x14ac:dyDescent="0.25">
      <c r="A99" s="10">
        <v>98</v>
      </c>
      <c r="B99" s="3" t="s">
        <v>492</v>
      </c>
      <c r="C99" s="3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9"/>
      <c r="K99" s="32">
        <v>1529.83565</v>
      </c>
      <c r="L99" s="32">
        <v>17.584317816091954</v>
      </c>
      <c r="M99" s="32">
        <v>0.19600000000000001</v>
      </c>
      <c r="N99" s="32">
        <v>888.84735586824343</v>
      </c>
      <c r="O99" s="32">
        <v>10.216636274347625</v>
      </c>
      <c r="P99" s="32">
        <v>496.15736497972989</v>
      </c>
      <c r="Q99" s="32">
        <v>5.7029582181578151</v>
      </c>
      <c r="R99" s="32">
        <v>692.5023604239866</v>
      </c>
      <c r="S99" s="32">
        <v>7.9597972462527196</v>
      </c>
      <c r="T99" s="32">
        <v>0.29499999999999998</v>
      </c>
      <c r="U99" s="32">
        <v>0.02</v>
      </c>
      <c r="V99" s="32">
        <v>37.83883911604925</v>
      </c>
      <c r="W99" s="32">
        <v>62.161160883950757</v>
      </c>
      <c r="X99" s="32">
        <v>77.64226176173176</v>
      </c>
      <c r="Y99" s="32">
        <v>70.825128514404526</v>
      </c>
      <c r="Z99" s="32">
        <v>0.4188549638951099</v>
      </c>
      <c r="AA99" s="32">
        <v>3.6524233490595637</v>
      </c>
      <c r="AB99" s="69"/>
      <c r="AC99" s="32">
        <v>360.34957100000003</v>
      </c>
      <c r="AD99" s="32">
        <v>4.1419490919540234</v>
      </c>
      <c r="AE99" s="32">
        <v>1.7000000000000001E-2</v>
      </c>
      <c r="AF99" s="32">
        <v>1728.4949980000001</v>
      </c>
      <c r="AG99" s="32">
        <v>19.867758597701151</v>
      </c>
      <c r="AH99" s="32">
        <v>0.154</v>
      </c>
      <c r="AI99" s="32">
        <v>997.16159908870986</v>
      </c>
      <c r="AJ99" s="32">
        <v>11.461627575732297</v>
      </c>
      <c r="AK99" s="32">
        <v>330.32112747983876</v>
      </c>
      <c r="AL99" s="32">
        <v>3.796794568733779</v>
      </c>
      <c r="AM99" s="32">
        <v>663.74136328427426</v>
      </c>
      <c r="AN99" s="32">
        <v>7.6292110722330371</v>
      </c>
      <c r="AO99" s="32">
        <v>0.247</v>
      </c>
      <c r="AP99" s="32">
        <v>0.02</v>
      </c>
      <c r="AQ99" s="32">
        <v>27.684939303246818</v>
      </c>
      <c r="AR99" s="32">
        <v>72.315060696753207</v>
      </c>
      <c r="AS99" s="32">
        <v>68.273073587751981</v>
      </c>
      <c r="AT99" s="32">
        <v>98.705660641181908</v>
      </c>
      <c r="AU99" s="32">
        <v>0.34310914431041634</v>
      </c>
      <c r="AV99" s="32">
        <v>5.0377409831904769</v>
      </c>
      <c r="AW99" s="69"/>
      <c r="AX99" s="32">
        <v>-11.486079420332192</v>
      </c>
      <c r="AY99" s="32">
        <v>-12.193934223461298</v>
      </c>
      <c r="AZ99" s="32">
        <v>24.000000000000007</v>
      </c>
      <c r="BA99" s="32">
        <v>17.712177121771212</v>
      </c>
      <c r="BB99" s="32">
        <v>30.993022862101054</v>
      </c>
      <c r="BC99" s="69"/>
      <c r="BD99" s="32">
        <v>1262.7743909999999</v>
      </c>
      <c r="BE99" s="32">
        <v>14.514648172413793</v>
      </c>
      <c r="BF99" s="32">
        <v>0.02</v>
      </c>
      <c r="BG99" s="32">
        <v>2233.7273930000001</v>
      </c>
      <c r="BH99" s="32">
        <v>25.675027505747128</v>
      </c>
      <c r="BI99" s="32">
        <v>7.0999999999999994E-2</v>
      </c>
      <c r="BJ99" s="32">
        <v>1409.9932288783784</v>
      </c>
      <c r="BK99" s="32">
        <v>16.206818722739982</v>
      </c>
      <c r="BL99" s="32">
        <v>203.51967177702701</v>
      </c>
      <c r="BM99" s="32">
        <v>2.3393065721497357</v>
      </c>
      <c r="BN99" s="32">
        <v>806.75645032770274</v>
      </c>
      <c r="BO99" s="32">
        <v>9.2730626474448599</v>
      </c>
      <c r="BP99" s="32">
        <v>345.51554441818172</v>
      </c>
      <c r="BQ99" s="32">
        <v>3.9714430392894449</v>
      </c>
      <c r="BR99" s="32">
        <v>1451.312602872727</v>
      </c>
      <c r="BS99" s="32">
        <v>16.681754056008355</v>
      </c>
      <c r="BT99" s="32">
        <v>9.8000000000000004E-2</v>
      </c>
      <c r="BU99" s="32">
        <v>-207.52101218421058</v>
      </c>
      <c r="BV99" s="8">
        <v>-2.3852989906231099</v>
      </c>
      <c r="BW99" s="32">
        <v>1290.3845146842104</v>
      </c>
      <c r="BX99" s="32" t="s">
        <v>34</v>
      </c>
      <c r="BY99" s="32">
        <v>4.9000000000000002E-2</v>
      </c>
      <c r="BZ99" s="32">
        <v>47972.1736045</v>
      </c>
      <c r="CA99" s="32">
        <v>159017.88621999999</v>
      </c>
      <c r="CB99" s="32">
        <v>0.14699999999999999</v>
      </c>
      <c r="CC99" s="32" t="s">
        <v>34</v>
      </c>
      <c r="CD99" s="32">
        <v>66.666666666666671</v>
      </c>
      <c r="CE99" s="32">
        <v>11.637321475264285</v>
      </c>
      <c r="CF99" s="32">
        <v>11.412935114768773</v>
      </c>
      <c r="CG99" s="32">
        <v>19.375751027689279</v>
      </c>
      <c r="CH99" s="32">
        <v>79.069315968053303</v>
      </c>
      <c r="CI99" s="32">
        <v>11.637321475264285</v>
      </c>
      <c r="CJ99" s="32">
        <v>36.935372038798633</v>
      </c>
      <c r="CK99" s="32">
        <v>19.375751027689279</v>
      </c>
      <c r="CL99" s="32" t="s">
        <v>34</v>
      </c>
      <c r="CM99" s="32" t="s">
        <v>34</v>
      </c>
      <c r="CN99" s="32" t="s">
        <v>34</v>
      </c>
      <c r="CO99" s="32" t="s">
        <v>34</v>
      </c>
      <c r="CP99" s="32" t="s">
        <v>34</v>
      </c>
      <c r="CQ99" s="17" t="s">
        <v>34</v>
      </c>
      <c r="CR99" s="69"/>
      <c r="CS99" s="32" t="s">
        <v>34</v>
      </c>
      <c r="CT99" s="32" t="s">
        <v>34</v>
      </c>
      <c r="CU99" s="32" t="s">
        <v>34</v>
      </c>
      <c r="CV99" s="32" t="s">
        <v>34</v>
      </c>
      <c r="CW99" s="32" t="s">
        <v>34</v>
      </c>
      <c r="CX99" s="32" t="s">
        <v>34</v>
      </c>
      <c r="CY99" s="32" t="s">
        <v>34</v>
      </c>
      <c r="CZ99" s="32" t="s">
        <v>34</v>
      </c>
      <c r="DA99" s="32" t="s">
        <v>34</v>
      </c>
      <c r="DB99" s="32" t="s">
        <v>34</v>
      </c>
      <c r="DC99" s="32" t="s">
        <v>34</v>
      </c>
      <c r="DD99" s="32" t="s">
        <v>34</v>
      </c>
      <c r="DE99" s="32" t="s">
        <v>34</v>
      </c>
      <c r="DF99" s="32" t="s">
        <v>34</v>
      </c>
      <c r="DG99" s="32" t="s">
        <v>34</v>
      </c>
      <c r="DH99" s="32" t="s">
        <v>34</v>
      </c>
      <c r="DI99" s="32" t="s">
        <v>34</v>
      </c>
      <c r="DJ99" s="32" t="s">
        <v>34</v>
      </c>
      <c r="DK99" s="8" t="s">
        <v>34</v>
      </c>
      <c r="DL99" s="32" t="s">
        <v>34</v>
      </c>
      <c r="DM99" s="32" t="s">
        <v>34</v>
      </c>
      <c r="DN99" s="32" t="s">
        <v>34</v>
      </c>
      <c r="DO99" s="32" t="s">
        <v>34</v>
      </c>
      <c r="DP99" s="32" t="s">
        <v>34</v>
      </c>
      <c r="DQ99" s="32" t="s">
        <v>34</v>
      </c>
      <c r="DR99" s="32" t="s">
        <v>34</v>
      </c>
      <c r="DS99" s="32" t="s">
        <v>34</v>
      </c>
      <c r="DT99" s="32" t="s">
        <v>34</v>
      </c>
      <c r="DU99" s="32" t="s">
        <v>34</v>
      </c>
      <c r="DV99" s="32" t="s">
        <v>34</v>
      </c>
      <c r="DW99" s="32" t="s">
        <v>34</v>
      </c>
      <c r="DX99" s="32" t="s">
        <v>34</v>
      </c>
      <c r="DY99" s="32" t="s">
        <v>34</v>
      </c>
      <c r="DZ99" s="32" t="s">
        <v>34</v>
      </c>
      <c r="EA99" s="32" t="s">
        <v>34</v>
      </c>
      <c r="EB99" s="32" t="s">
        <v>34</v>
      </c>
      <c r="EC99" s="69"/>
      <c r="ED99" s="32" t="s">
        <v>34</v>
      </c>
      <c r="EE99" s="32" t="s">
        <v>34</v>
      </c>
      <c r="EF99" s="32" t="s">
        <v>34</v>
      </c>
      <c r="EG99" s="32" t="s">
        <v>34</v>
      </c>
      <c r="EH99" s="32" t="s">
        <v>34</v>
      </c>
      <c r="EI99" s="32" t="s">
        <v>34</v>
      </c>
      <c r="EJ99" s="32" t="s">
        <v>34</v>
      </c>
      <c r="EK99" s="32" t="s">
        <v>34</v>
      </c>
      <c r="EL99" s="32" t="s">
        <v>34</v>
      </c>
      <c r="EM99" s="32" t="s">
        <v>34</v>
      </c>
      <c r="EN99" s="32" t="s">
        <v>34</v>
      </c>
      <c r="EO99" s="69"/>
      <c r="EP99" s="32">
        <v>1510.9002359999997</v>
      </c>
      <c r="EQ99" s="32">
        <v>17.366669379310341</v>
      </c>
      <c r="ER99" s="32">
        <v>0.186</v>
      </c>
      <c r="ES99" s="32">
        <v>927.52351286301382</v>
      </c>
      <c r="ET99" s="32">
        <v>10.661189803023147</v>
      </c>
      <c r="EU99" s="32">
        <v>488.92832284931501</v>
      </c>
      <c r="EV99" s="32">
        <v>5.6198657798771841</v>
      </c>
      <c r="EW99" s="32">
        <v>708.22591785616441</v>
      </c>
      <c r="EX99" s="32">
        <v>8.1405277914501664</v>
      </c>
      <c r="EY99" s="32">
        <v>0.29099999999999998</v>
      </c>
      <c r="EZ99" s="32">
        <v>4.7E-2</v>
      </c>
      <c r="FA99" s="32">
        <v>36.764833258624996</v>
      </c>
      <c r="FB99" s="32">
        <v>63.235166741374996</v>
      </c>
      <c r="FC99" s="32">
        <v>73.770510679598118</v>
      </c>
      <c r="FD99" s="32">
        <v>73.615270318075488</v>
      </c>
      <c r="FE99" s="32">
        <v>0.44669067490972308</v>
      </c>
      <c r="FF99" s="32">
        <v>3.3824306636921739</v>
      </c>
      <c r="FG99" s="69"/>
      <c r="FH99" s="32">
        <v>1727.5391810000001</v>
      </c>
      <c r="FI99" s="32">
        <v>19.8567721954023</v>
      </c>
      <c r="FJ99" s="32">
        <v>0.121</v>
      </c>
      <c r="FK99" s="32">
        <v>1727.5391810000001</v>
      </c>
      <c r="FL99" s="32">
        <v>19.8567721954023</v>
      </c>
      <c r="FM99" s="32">
        <v>0.121</v>
      </c>
      <c r="FN99" s="32">
        <v>1097.209221009346</v>
      </c>
      <c r="FO99" s="32">
        <v>12.611600241486736</v>
      </c>
      <c r="FP99" s="32">
        <v>381.38952568691582</v>
      </c>
      <c r="FQ99" s="32">
        <v>4.3837876515737451</v>
      </c>
      <c r="FR99" s="32">
        <v>739.29937334813098</v>
      </c>
      <c r="FS99" s="32">
        <v>8.4976939465302408</v>
      </c>
      <c r="FT99" s="32">
        <v>0.21299999999999999</v>
      </c>
      <c r="FU99" s="32">
        <v>4.7E-2</v>
      </c>
      <c r="FV99" s="32">
        <v>27.513871668920778</v>
      </c>
      <c r="FW99" s="32">
        <v>72.486128331079229</v>
      </c>
      <c r="FX99" s="32">
        <v>58.677683677958662</v>
      </c>
      <c r="FY99" s="32">
        <v>98.890937975193722</v>
      </c>
      <c r="FZ99" s="32">
        <v>0.29845295215552409</v>
      </c>
      <c r="GA99" s="32">
        <v>5.7883132618496527</v>
      </c>
      <c r="GB99" s="69"/>
      <c r="GC99" s="32">
        <v>-16.761294496563345</v>
      </c>
      <c r="GD99" s="32">
        <v>-13.379218636159553</v>
      </c>
      <c r="GE99" s="32">
        <v>42.34527687296417</v>
      </c>
      <c r="GF99" s="32">
        <v>30.952380952380949</v>
      </c>
      <c r="GG99" s="32">
        <v>28.783907828049109</v>
      </c>
      <c r="GH99" s="69"/>
      <c r="GI99" s="32">
        <v>2369.4309940000003</v>
      </c>
      <c r="GJ99" s="32">
        <v>27.234839011494255</v>
      </c>
      <c r="GK99" s="32">
        <v>7.0999999999999994E-2</v>
      </c>
      <c r="GL99" s="32">
        <v>2369.4309940000003</v>
      </c>
      <c r="GM99" s="32">
        <v>27.234839011494255</v>
      </c>
      <c r="GN99" s="32">
        <v>7.0999999999999994E-2</v>
      </c>
      <c r="GO99" s="32">
        <v>1499.8989761032258</v>
      </c>
      <c r="GP99" s="32">
        <v>17.240218116129032</v>
      </c>
      <c r="GQ99" s="32">
        <v>176.27846078064519</v>
      </c>
      <c r="GR99" s="32">
        <v>2.0261892043752319</v>
      </c>
      <c r="GS99" s="32">
        <v>838.0887184419355</v>
      </c>
      <c r="GT99" s="32">
        <v>9.633203660252132</v>
      </c>
      <c r="GU99" s="32">
        <v>336.86785353703698</v>
      </c>
      <c r="GV99" s="32">
        <v>3.8720442935291608</v>
      </c>
      <c r="GW99" s="32">
        <v>1483.0247955</v>
      </c>
      <c r="GX99" s="32">
        <v>17.046262017241379</v>
      </c>
      <c r="GY99" s="32">
        <v>9.8000000000000004E-2</v>
      </c>
      <c r="GZ99" s="32">
        <v>-192.73546300000001</v>
      </c>
      <c r="HA99" s="8">
        <v>-2.2153501494252876</v>
      </c>
      <c r="HB99" s="32">
        <v>1538.6736889787235</v>
      </c>
      <c r="HC99" s="32">
        <v>0.32629149523110784</v>
      </c>
      <c r="HD99" s="32">
        <v>5.6000000000000001E-2</v>
      </c>
      <c r="HE99" s="32">
        <v>71164.660125499999</v>
      </c>
      <c r="HF99" s="32">
        <v>159432.26410550001</v>
      </c>
      <c r="HG99" s="32">
        <v>0.154</v>
      </c>
      <c r="HH99" s="32" t="s">
        <v>34</v>
      </c>
      <c r="HI99" s="32">
        <v>63.636363636363633</v>
      </c>
      <c r="HJ99" s="32">
        <v>10.213968777179385</v>
      </c>
      <c r="HK99" s="32">
        <v>9.3418339649447404</v>
      </c>
      <c r="HL99" s="32">
        <v>17.852229602720978</v>
      </c>
      <c r="HM99" s="32">
        <v>79.486779819247261</v>
      </c>
      <c r="HN99" s="32">
        <v>10.213968777179385</v>
      </c>
      <c r="HO99" s="32">
        <v>33.127152899586463</v>
      </c>
      <c r="HP99" s="32">
        <v>17.852229602720978</v>
      </c>
      <c r="HQ99" s="32" t="s">
        <v>34</v>
      </c>
      <c r="HR99" s="32">
        <v>63.636363636363633</v>
      </c>
      <c r="HS99" s="32" t="s">
        <v>34</v>
      </c>
      <c r="HT99" s="32" t="s">
        <v>34</v>
      </c>
      <c r="HU99" s="32" t="s">
        <v>34</v>
      </c>
      <c r="HV99" s="32" t="s">
        <v>34</v>
      </c>
      <c r="HW99" s="17" t="s">
        <v>34</v>
      </c>
      <c r="HX99" s="69"/>
      <c r="HY99" s="32" t="s">
        <v>34</v>
      </c>
      <c r="HZ99" s="32" t="s">
        <v>34</v>
      </c>
      <c r="IA99" s="32" t="s">
        <v>34</v>
      </c>
      <c r="IB99" s="32" t="s">
        <v>34</v>
      </c>
      <c r="IC99" s="32" t="s">
        <v>34</v>
      </c>
      <c r="ID99" s="32" t="s">
        <v>34</v>
      </c>
      <c r="IE99" s="32" t="s">
        <v>34</v>
      </c>
      <c r="IF99" s="32" t="s">
        <v>34</v>
      </c>
      <c r="IG99" s="32" t="s">
        <v>34</v>
      </c>
      <c r="IH99" s="32" t="s">
        <v>34</v>
      </c>
      <c r="II99" s="32" t="s">
        <v>34</v>
      </c>
      <c r="IJ99" s="32" t="s">
        <v>34</v>
      </c>
      <c r="IK99" s="32" t="s">
        <v>34</v>
      </c>
      <c r="IL99" s="32" t="s">
        <v>34</v>
      </c>
      <c r="IM99" s="32" t="s">
        <v>34</v>
      </c>
      <c r="IN99" s="32" t="s">
        <v>34</v>
      </c>
      <c r="IO99" s="32" t="s">
        <v>34</v>
      </c>
      <c r="IP99" s="32" t="s">
        <v>34</v>
      </c>
      <c r="IQ99" s="8" t="s">
        <v>34</v>
      </c>
      <c r="IR99" s="32" t="s">
        <v>34</v>
      </c>
      <c r="IS99" s="32" t="s">
        <v>34</v>
      </c>
      <c r="IT99" s="32" t="s">
        <v>34</v>
      </c>
      <c r="IU99" s="32" t="s">
        <v>34</v>
      </c>
      <c r="IV99" s="32" t="s">
        <v>34</v>
      </c>
      <c r="IW99" s="32" t="s">
        <v>34</v>
      </c>
      <c r="IX99" s="32" t="s">
        <v>34</v>
      </c>
      <c r="IY99" s="32" t="s">
        <v>34</v>
      </c>
      <c r="IZ99" s="32" t="s">
        <v>34</v>
      </c>
      <c r="JA99" s="32" t="s">
        <v>34</v>
      </c>
      <c r="JB99" s="32" t="s">
        <v>34</v>
      </c>
      <c r="JC99" s="32" t="s">
        <v>34</v>
      </c>
      <c r="JD99" s="32" t="s">
        <v>34</v>
      </c>
      <c r="JE99" s="32" t="s">
        <v>34</v>
      </c>
      <c r="JF99" s="32" t="s">
        <v>34</v>
      </c>
      <c r="JG99" s="32" t="s">
        <v>34</v>
      </c>
      <c r="JH99" s="32" t="s">
        <v>34</v>
      </c>
      <c r="JI99" s="69"/>
      <c r="JJ99" s="32" t="s">
        <v>34</v>
      </c>
      <c r="JK99" s="32" t="s">
        <v>34</v>
      </c>
      <c r="JL99" s="32" t="s">
        <v>34</v>
      </c>
      <c r="JM99" s="32" t="s">
        <v>34</v>
      </c>
      <c r="JN99" s="32" t="s">
        <v>34</v>
      </c>
      <c r="JO99" s="32" t="s">
        <v>34</v>
      </c>
      <c r="JP99" s="32" t="s">
        <v>34</v>
      </c>
      <c r="JQ99" s="32" t="s">
        <v>34</v>
      </c>
      <c r="JR99" s="32" t="s">
        <v>34</v>
      </c>
      <c r="JS99" s="32" t="s">
        <v>34</v>
      </c>
      <c r="JT99" s="32" t="s">
        <v>34</v>
      </c>
      <c r="JU99" s="69"/>
      <c r="JV99" s="32">
        <v>1504.6245209999997</v>
      </c>
      <c r="JW99" s="32">
        <v>17.294534724137929</v>
      </c>
      <c r="JX99" s="32">
        <v>0.21299999999999999</v>
      </c>
      <c r="JY99" s="32">
        <v>886.01024878220869</v>
      </c>
      <c r="JZ99" s="32">
        <v>10.184025848071364</v>
      </c>
      <c r="KA99" s="32">
        <v>463.99550423926394</v>
      </c>
      <c r="KB99" s="32">
        <v>5.3332816579225737</v>
      </c>
      <c r="KC99" s="32">
        <v>675.00287651073631</v>
      </c>
      <c r="KD99" s="32">
        <v>7.7586537529969695</v>
      </c>
      <c r="KE99" s="32">
        <v>0.32500000000000001</v>
      </c>
      <c r="KF99" s="32">
        <v>3.2000000000000001E-2</v>
      </c>
      <c r="KG99" s="32">
        <v>36.762181917543593</v>
      </c>
      <c r="KH99" s="32">
        <v>63.237818082456414</v>
      </c>
      <c r="KI99" s="32">
        <v>73.793112745173033</v>
      </c>
      <c r="KJ99" s="32">
        <v>74.19679601107056</v>
      </c>
      <c r="KK99" s="32">
        <v>0.51854646768790769</v>
      </c>
      <c r="KL99" s="32">
        <v>2.9016194589248903</v>
      </c>
      <c r="KM99" s="69"/>
      <c r="KN99" s="32">
        <v>573.72444700000005</v>
      </c>
      <c r="KO99" s="32">
        <v>6.5945338735632193</v>
      </c>
      <c r="KP99" s="32">
        <v>2.1999999999999999E-2</v>
      </c>
      <c r="KQ99" s="32">
        <v>1646.3874719999999</v>
      </c>
      <c r="KR99" s="32">
        <v>18.923993931034481</v>
      </c>
      <c r="KS99" s="32">
        <v>0.13500000000000001</v>
      </c>
      <c r="KT99" s="32">
        <v>1040.7531001386556</v>
      </c>
      <c r="KU99" s="32">
        <v>11.962679311938569</v>
      </c>
      <c r="KV99" s="32">
        <v>349.52086919327735</v>
      </c>
      <c r="KW99" s="32">
        <v>4.0174812550951415</v>
      </c>
      <c r="KX99" s="32">
        <v>695.13698466596645</v>
      </c>
      <c r="KY99" s="32">
        <v>7.9900802835168561</v>
      </c>
      <c r="KZ99" s="32">
        <v>0.23699999999999999</v>
      </c>
      <c r="LA99" s="32">
        <v>3.2000000000000001E-2</v>
      </c>
      <c r="LB99" s="32">
        <v>28.242067781914272</v>
      </c>
      <c r="LC99" s="32">
        <v>71.757932218085713</v>
      </c>
      <c r="LD99" s="32">
        <v>79.674836699280974</v>
      </c>
      <c r="LE99" s="32">
        <v>96.903847817232361</v>
      </c>
      <c r="LF99" s="32">
        <v>0.35308122948457848</v>
      </c>
      <c r="LG99" s="32">
        <v>4.6629141809757666</v>
      </c>
      <c r="LH99" s="69"/>
      <c r="LI99" s="32">
        <v>-16.062465734893159</v>
      </c>
      <c r="LJ99" s="32">
        <v>-8.9979315416715497</v>
      </c>
      <c r="LK99" s="32">
        <v>44.827586206896548</v>
      </c>
      <c r="LL99" s="32">
        <v>31.316725978647693</v>
      </c>
      <c r="LM99" s="32">
        <v>26.21402192940127</v>
      </c>
      <c r="LN99" s="69"/>
      <c r="LO99" s="32">
        <v>1445.7625109999999</v>
      </c>
      <c r="LP99" s="32">
        <v>16.617959896551724</v>
      </c>
      <c r="LQ99" s="32">
        <v>1.6E-2</v>
      </c>
      <c r="LR99" s="32">
        <v>2283.6626659999997</v>
      </c>
      <c r="LS99" s="32">
        <v>26.248996160919535</v>
      </c>
      <c r="LT99" s="32">
        <v>7.2999999999999995E-2</v>
      </c>
      <c r="LU99" s="32">
        <v>1452.086949272152</v>
      </c>
      <c r="LV99" s="32">
        <v>16.690654589335079</v>
      </c>
      <c r="LW99" s="32">
        <v>160.96112784810123</v>
      </c>
      <c r="LX99" s="32">
        <v>1.850127906300014</v>
      </c>
      <c r="LY99" s="32">
        <v>806.52403856012666</v>
      </c>
      <c r="LZ99" s="32">
        <v>9.2703912478175479</v>
      </c>
      <c r="MA99" s="32">
        <v>323.7664942792793</v>
      </c>
      <c r="MB99" s="32">
        <v>3.7214539572330954</v>
      </c>
      <c r="MC99" s="32">
        <v>1404.2342601441442</v>
      </c>
      <c r="MD99" s="32">
        <v>16.14062367981775</v>
      </c>
      <c r="ME99" s="32">
        <v>9.8000000000000004E-2</v>
      </c>
      <c r="MF99" s="32">
        <v>-223.53665244680849</v>
      </c>
      <c r="MG99" s="8">
        <v>-2.5693868097334307</v>
      </c>
      <c r="MH99" s="32">
        <v>1565.100747</v>
      </c>
      <c r="MI99" s="32">
        <v>9.8680422841770629E-2</v>
      </c>
      <c r="MJ99" s="32">
        <v>5.8999999999999997E-2</v>
      </c>
      <c r="MK99" s="32">
        <v>72450.88738900001</v>
      </c>
      <c r="ML99" s="32">
        <v>155181.20534650004</v>
      </c>
      <c r="MM99" s="32">
        <v>0.157</v>
      </c>
      <c r="MN99" s="32" t="s">
        <v>34</v>
      </c>
      <c r="MO99" s="32">
        <v>62.420382165605091</v>
      </c>
      <c r="MP99" s="32">
        <v>12.352920245582558</v>
      </c>
      <c r="MQ99" s="32">
        <v>8.8949170222531908</v>
      </c>
      <c r="MR99" s="32">
        <v>17.891749018544008</v>
      </c>
      <c r="MS99" s="32">
        <v>80.244175072266898</v>
      </c>
      <c r="MT99" s="32">
        <v>12.352920245582558</v>
      </c>
      <c r="MU99" s="32">
        <v>33.155742631119331</v>
      </c>
      <c r="MV99" s="32">
        <v>17.891749018544008</v>
      </c>
      <c r="MW99" s="32" t="s">
        <v>34</v>
      </c>
      <c r="MX99" s="32" t="s">
        <v>34</v>
      </c>
      <c r="MY99" s="32" t="s">
        <v>34</v>
      </c>
      <c r="MZ99" s="32" t="s">
        <v>34</v>
      </c>
      <c r="NA99" s="32" t="s">
        <v>34</v>
      </c>
      <c r="NB99" s="17" t="s">
        <v>34</v>
      </c>
      <c r="NC99" s="69"/>
      <c r="ND99" s="32" t="s">
        <v>34</v>
      </c>
      <c r="NE99" s="32" t="s">
        <v>34</v>
      </c>
      <c r="NF99" s="32" t="s">
        <v>34</v>
      </c>
      <c r="NG99" s="32" t="s">
        <v>34</v>
      </c>
      <c r="NH99" s="32" t="s">
        <v>34</v>
      </c>
      <c r="NI99" s="32" t="s">
        <v>34</v>
      </c>
      <c r="NJ99" s="32" t="s">
        <v>34</v>
      </c>
      <c r="NK99" s="32" t="s">
        <v>34</v>
      </c>
      <c r="NL99" s="32" t="s">
        <v>34</v>
      </c>
      <c r="NM99" s="32" t="s">
        <v>34</v>
      </c>
      <c r="NN99" s="32" t="s">
        <v>34</v>
      </c>
      <c r="NO99" s="32" t="s">
        <v>34</v>
      </c>
      <c r="NP99" s="32" t="s">
        <v>34</v>
      </c>
      <c r="NQ99" s="32" t="s">
        <v>34</v>
      </c>
      <c r="NR99" s="32" t="s">
        <v>34</v>
      </c>
      <c r="NS99" s="32" t="s">
        <v>34</v>
      </c>
      <c r="NT99" s="32" t="s">
        <v>34</v>
      </c>
      <c r="NU99" s="32" t="s">
        <v>34</v>
      </c>
      <c r="NV99" s="8" t="s">
        <v>34</v>
      </c>
      <c r="NW99" s="32" t="s">
        <v>34</v>
      </c>
      <c r="NX99" s="32" t="s">
        <v>34</v>
      </c>
      <c r="NY99" s="32" t="s">
        <v>34</v>
      </c>
      <c r="NZ99" s="32" t="s">
        <v>34</v>
      </c>
      <c r="OA99" s="32" t="s">
        <v>34</v>
      </c>
      <c r="OB99" s="32" t="s">
        <v>34</v>
      </c>
      <c r="OC99" s="32" t="s">
        <v>34</v>
      </c>
      <c r="OD99" s="32" t="s">
        <v>34</v>
      </c>
      <c r="OE99" s="32" t="s">
        <v>34</v>
      </c>
      <c r="OF99" s="32" t="s">
        <v>34</v>
      </c>
      <c r="OG99" s="32" t="s">
        <v>34</v>
      </c>
      <c r="OH99" s="32" t="s">
        <v>34</v>
      </c>
      <c r="OI99" s="32" t="s">
        <v>34</v>
      </c>
      <c r="OJ99" s="32" t="s">
        <v>34</v>
      </c>
      <c r="OK99" s="32" t="s">
        <v>34</v>
      </c>
      <c r="OL99" s="32" t="s">
        <v>34</v>
      </c>
      <c r="OM99" s="32" t="s">
        <v>34</v>
      </c>
      <c r="ON99" s="69"/>
      <c r="OO99" s="32" t="s">
        <v>34</v>
      </c>
      <c r="OP99" s="32" t="s">
        <v>34</v>
      </c>
      <c r="OQ99" s="32" t="s">
        <v>34</v>
      </c>
      <c r="OR99" s="32" t="s">
        <v>34</v>
      </c>
      <c r="OS99" s="32" t="s">
        <v>34</v>
      </c>
      <c r="OT99" s="32" t="s">
        <v>34</v>
      </c>
      <c r="OU99" s="32" t="s">
        <v>34</v>
      </c>
      <c r="OV99" s="32" t="s">
        <v>34</v>
      </c>
      <c r="OW99" s="32" t="s">
        <v>34</v>
      </c>
      <c r="OX99" s="32" t="s">
        <v>34</v>
      </c>
      <c r="OY99" s="32" t="s">
        <v>34</v>
      </c>
    </row>
    <row r="100" spans="1:415" ht="15.75" x14ac:dyDescent="0.25">
      <c r="A100" s="10">
        <v>99</v>
      </c>
      <c r="B100" s="3" t="s">
        <v>493</v>
      </c>
      <c r="C100" s="3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70"/>
      <c r="K100" s="32">
        <v>1449.7840040000003</v>
      </c>
      <c r="L100" s="32">
        <v>16.857953534883723</v>
      </c>
      <c r="M100" s="32">
        <v>0.25700000000000001</v>
      </c>
      <c r="N100" s="32">
        <v>703.36416569208222</v>
      </c>
      <c r="O100" s="32">
        <v>8.1786530894428164</v>
      </c>
      <c r="P100" s="32">
        <v>414.94497009384162</v>
      </c>
      <c r="Q100" s="32">
        <v>4.8249415127190884</v>
      </c>
      <c r="R100" s="32">
        <v>559.15456789296195</v>
      </c>
      <c r="S100" s="32">
        <v>6.5017973010809529</v>
      </c>
      <c r="T100" s="32">
        <v>0.33300000000000002</v>
      </c>
      <c r="U100" s="32">
        <v>7.0000000000000007E-2</v>
      </c>
      <c r="V100" s="32">
        <v>37.332943005570513</v>
      </c>
      <c r="W100" s="32">
        <v>62.667056994429508</v>
      </c>
      <c r="X100" s="32">
        <v>89.015176975090398</v>
      </c>
      <c r="Y100" s="32">
        <v>68.97987279815618</v>
      </c>
      <c r="Z100" s="32">
        <v>0.39998055529364124</v>
      </c>
      <c r="AA100" s="32">
        <v>3.6246362099669014</v>
      </c>
      <c r="AB100" s="70"/>
      <c r="AC100" s="32">
        <v>556.75471300000004</v>
      </c>
      <c r="AD100" s="32">
        <v>6.4738920116279077</v>
      </c>
      <c r="AE100" s="32">
        <v>1.2999999999999999E-2</v>
      </c>
      <c r="AF100" s="32">
        <v>1733.8330000000003</v>
      </c>
      <c r="AG100" s="32">
        <v>20.160848837209304</v>
      </c>
      <c r="AH100" s="32">
        <v>8.3000000000000004E-2</v>
      </c>
      <c r="AI100" s="32">
        <v>1026.9811873773585</v>
      </c>
      <c r="AJ100" s="32">
        <v>11.941641713690215</v>
      </c>
      <c r="AK100" s="32">
        <v>519.01605483018864</v>
      </c>
      <c r="AL100" s="32">
        <v>6.0350704050021937</v>
      </c>
      <c r="AM100" s="32">
        <v>772.99862110377353</v>
      </c>
      <c r="AN100" s="32">
        <v>8.988356059346204</v>
      </c>
      <c r="AO100" s="32">
        <v>0.158</v>
      </c>
      <c r="AP100" s="32">
        <v>7.0000000000000007E-2</v>
      </c>
      <c r="AQ100" s="32">
        <v>37.922456809531887</v>
      </c>
      <c r="AR100" s="32">
        <v>62.077543190468113</v>
      </c>
      <c r="AS100" s="32">
        <v>96.642850819665313</v>
      </c>
      <c r="AT100" s="32">
        <v>97.858757013866452</v>
      </c>
      <c r="AU100" s="32">
        <v>0.16093242209341824</v>
      </c>
      <c r="AV100" s="32">
        <v>10.773671193450024</v>
      </c>
      <c r="AW100" s="70"/>
      <c r="AX100" s="32">
        <v>37.404905455574585</v>
      </c>
      <c r="AY100" s="32">
        <v>17.84442008213372</v>
      </c>
      <c r="AZ100" s="32">
        <v>-102.35294117647058</v>
      </c>
      <c r="BA100" s="32">
        <v>-71.28309572301427</v>
      </c>
      <c r="BB100" s="32">
        <v>1.5667016729956147</v>
      </c>
      <c r="BC100" s="70"/>
      <c r="BD100" s="32">
        <v>2037.123865</v>
      </c>
      <c r="BE100" s="32">
        <v>23.68748680232558</v>
      </c>
      <c r="BF100" s="32">
        <v>1.4E-2</v>
      </c>
      <c r="BG100" s="32">
        <v>2104.4618129999999</v>
      </c>
      <c r="BH100" s="32">
        <v>24.470486197674418</v>
      </c>
      <c r="BI100" s="32">
        <v>0.08</v>
      </c>
      <c r="BJ100" s="32">
        <v>1404.7529717972975</v>
      </c>
      <c r="BK100" s="32">
        <v>16.334336881363924</v>
      </c>
      <c r="BL100" s="32">
        <v>214.43177011486486</v>
      </c>
      <c r="BM100" s="32">
        <v>2.4933926757542424</v>
      </c>
      <c r="BN100" s="32">
        <v>809.59237095608114</v>
      </c>
      <c r="BO100" s="32">
        <v>9.4138647785590823</v>
      </c>
      <c r="BP100" s="32">
        <v>386.77172613513511</v>
      </c>
      <c r="BQ100" s="32">
        <v>4.4973456527341291</v>
      </c>
      <c r="BR100" s="32">
        <v>1372.4863234414411</v>
      </c>
      <c r="BS100" s="32">
        <v>15.95914329583071</v>
      </c>
      <c r="BT100" s="32">
        <v>9.6000000000000002E-2</v>
      </c>
      <c r="BU100" s="32">
        <v>-302.58809794594595</v>
      </c>
      <c r="BV100" s="8">
        <v>-3.5184662551854178</v>
      </c>
      <c r="BW100" s="32">
        <v>1501.5529168648643</v>
      </c>
      <c r="BX100" s="32" t="s">
        <v>34</v>
      </c>
      <c r="BY100" s="32">
        <v>5.0999999999999997E-2</v>
      </c>
      <c r="BZ100" s="32">
        <v>54619.84029700001</v>
      </c>
      <c r="CA100" s="32">
        <v>151636.58985750002</v>
      </c>
      <c r="CB100" s="32">
        <v>0.14699999999999999</v>
      </c>
      <c r="CC100" s="32" t="s">
        <v>34</v>
      </c>
      <c r="CD100" s="32">
        <v>65.306122448979593</v>
      </c>
      <c r="CE100" s="32">
        <v>15.956032201023859</v>
      </c>
      <c r="CF100" s="32">
        <v>11.307385360168858</v>
      </c>
      <c r="CG100" s="32">
        <v>20.395191213899764</v>
      </c>
      <c r="CH100" s="32">
        <v>74.075232319566354</v>
      </c>
      <c r="CI100" s="32">
        <v>15.956032201023859</v>
      </c>
      <c r="CJ100" s="32">
        <v>37.688089086234847</v>
      </c>
      <c r="CK100" s="32">
        <v>20.395191213899764</v>
      </c>
      <c r="CL100" s="32">
        <v>27.420227908208282</v>
      </c>
      <c r="CM100" s="32" t="s">
        <v>34</v>
      </c>
      <c r="CN100" s="32" t="s">
        <v>34</v>
      </c>
      <c r="CO100" s="32" t="s">
        <v>34</v>
      </c>
      <c r="CP100" s="32" t="s">
        <v>34</v>
      </c>
      <c r="CQ100" s="17" t="s">
        <v>34</v>
      </c>
      <c r="CR100" s="70"/>
      <c r="CS100" s="32" t="s">
        <v>34</v>
      </c>
      <c r="CT100" s="32" t="s">
        <v>34</v>
      </c>
      <c r="CU100" s="32" t="s">
        <v>34</v>
      </c>
      <c r="CV100" s="32" t="s">
        <v>34</v>
      </c>
      <c r="CW100" s="32" t="s">
        <v>34</v>
      </c>
      <c r="CX100" s="32" t="s">
        <v>34</v>
      </c>
      <c r="CY100" s="32" t="s">
        <v>34</v>
      </c>
      <c r="CZ100" s="32" t="s">
        <v>34</v>
      </c>
      <c r="DA100" s="32" t="s">
        <v>34</v>
      </c>
      <c r="DB100" s="32" t="s">
        <v>34</v>
      </c>
      <c r="DC100" s="32" t="s">
        <v>34</v>
      </c>
      <c r="DD100" s="32" t="s">
        <v>34</v>
      </c>
      <c r="DE100" s="32" t="s">
        <v>34</v>
      </c>
      <c r="DF100" s="32" t="s">
        <v>34</v>
      </c>
      <c r="DG100" s="32" t="s">
        <v>34</v>
      </c>
      <c r="DH100" s="32" t="s">
        <v>34</v>
      </c>
      <c r="DI100" s="32" t="s">
        <v>34</v>
      </c>
      <c r="DJ100" s="32" t="s">
        <v>34</v>
      </c>
      <c r="DK100" s="8" t="s">
        <v>34</v>
      </c>
      <c r="DL100" s="32" t="s">
        <v>34</v>
      </c>
      <c r="DM100" s="32" t="s">
        <v>34</v>
      </c>
      <c r="DN100" s="32" t="s">
        <v>34</v>
      </c>
      <c r="DO100" s="32" t="s">
        <v>34</v>
      </c>
      <c r="DP100" s="32" t="s">
        <v>34</v>
      </c>
      <c r="DQ100" s="32" t="s">
        <v>34</v>
      </c>
      <c r="DR100" s="32" t="s">
        <v>34</v>
      </c>
      <c r="DS100" s="32" t="s">
        <v>34</v>
      </c>
      <c r="DT100" s="32" t="s">
        <v>34</v>
      </c>
      <c r="DU100" s="32" t="s">
        <v>34</v>
      </c>
      <c r="DV100" s="32" t="s">
        <v>34</v>
      </c>
      <c r="DW100" s="32" t="s">
        <v>34</v>
      </c>
      <c r="DX100" s="32" t="s">
        <v>34</v>
      </c>
      <c r="DY100" s="32" t="s">
        <v>34</v>
      </c>
      <c r="DZ100" s="32" t="s">
        <v>34</v>
      </c>
      <c r="EA100" s="32" t="s">
        <v>34</v>
      </c>
      <c r="EB100" s="32" t="s">
        <v>34</v>
      </c>
      <c r="EC100" s="70"/>
      <c r="ED100" s="32" t="s">
        <v>34</v>
      </c>
      <c r="EE100" s="32" t="s">
        <v>34</v>
      </c>
      <c r="EF100" s="32" t="s">
        <v>34</v>
      </c>
      <c r="EG100" s="32" t="s">
        <v>34</v>
      </c>
      <c r="EH100" s="32" t="s">
        <v>34</v>
      </c>
      <c r="EI100" s="32" t="s">
        <v>34</v>
      </c>
      <c r="EJ100" s="32" t="s">
        <v>34</v>
      </c>
      <c r="EK100" s="32" t="s">
        <v>34</v>
      </c>
      <c r="EL100" s="32" t="s">
        <v>34</v>
      </c>
      <c r="EM100" s="32" t="s">
        <v>34</v>
      </c>
      <c r="EN100" s="32" t="s">
        <v>34</v>
      </c>
      <c r="EO100" s="70"/>
      <c r="EP100" s="32">
        <v>1094.4117059999999</v>
      </c>
      <c r="EQ100" s="32">
        <v>12.725717511627906</v>
      </c>
      <c r="ER100" s="32">
        <v>0.27</v>
      </c>
      <c r="ES100" s="32">
        <v>663.51018641833809</v>
      </c>
      <c r="ET100" s="32">
        <v>7.7152347257946294</v>
      </c>
      <c r="EU100" s="32">
        <v>364.77145642693415</v>
      </c>
      <c r="EV100" s="32">
        <v>4.241528563103885</v>
      </c>
      <c r="EW100" s="32">
        <v>514.14082142263612</v>
      </c>
      <c r="EX100" s="32">
        <v>5.9783816444492572</v>
      </c>
      <c r="EY100" s="32">
        <v>0.34799999999999998</v>
      </c>
      <c r="EZ100" s="32">
        <v>0.06</v>
      </c>
      <c r="FA100" s="32">
        <v>36.620810633538142</v>
      </c>
      <c r="FB100" s="32">
        <v>53.379189366461901</v>
      </c>
      <c r="FC100" s="32">
        <v>77.622365058131876</v>
      </c>
      <c r="FD100" s="32">
        <v>74.94138603129899</v>
      </c>
      <c r="FE100" s="32">
        <v>0.43002712774999891</v>
      </c>
      <c r="FF100" s="32">
        <v>2.5449829449742261</v>
      </c>
      <c r="FG100" s="70"/>
      <c r="FH100" s="32" t="s">
        <v>34</v>
      </c>
      <c r="FI100" s="32" t="s">
        <v>34</v>
      </c>
      <c r="FJ100" s="32" t="s">
        <v>34</v>
      </c>
      <c r="FK100" s="32" t="s">
        <v>34</v>
      </c>
      <c r="FL100" s="32" t="s">
        <v>34</v>
      </c>
      <c r="FM100" s="32" t="s">
        <v>34</v>
      </c>
      <c r="FN100" s="32" t="s">
        <v>34</v>
      </c>
      <c r="FO100" s="32" t="s">
        <v>34</v>
      </c>
      <c r="FP100" s="32" t="s">
        <v>34</v>
      </c>
      <c r="FQ100" s="32" t="s">
        <v>34</v>
      </c>
      <c r="FR100" s="32" t="s">
        <v>34</v>
      </c>
      <c r="FS100" s="32" t="s">
        <v>34</v>
      </c>
      <c r="FT100" s="32" t="s">
        <v>34</v>
      </c>
      <c r="FU100" s="32" t="s">
        <v>34</v>
      </c>
      <c r="FV100" s="32" t="s">
        <v>34</v>
      </c>
      <c r="FW100" s="32" t="s">
        <v>34</v>
      </c>
      <c r="FX100" s="32" t="s">
        <v>34</v>
      </c>
      <c r="FY100" s="32" t="s">
        <v>34</v>
      </c>
      <c r="FZ100" s="32" t="s">
        <v>34</v>
      </c>
      <c r="GA100" s="32" t="s">
        <v>34</v>
      </c>
      <c r="GB100" s="70"/>
      <c r="GC100" s="32" t="s">
        <v>34</v>
      </c>
      <c r="GD100" s="32" t="s">
        <v>34</v>
      </c>
      <c r="GE100" s="32" t="s">
        <v>34</v>
      </c>
      <c r="GF100" s="32" t="s">
        <v>34</v>
      </c>
      <c r="GG100" s="32" t="s">
        <v>34</v>
      </c>
      <c r="GH100" s="70"/>
      <c r="GI100" s="32">
        <v>1130.7857230000002</v>
      </c>
      <c r="GJ100" s="32">
        <v>13.148671197674421</v>
      </c>
      <c r="GK100" s="32">
        <v>1.4999999999999999E-2</v>
      </c>
      <c r="GL100" s="32">
        <v>2145.9393</v>
      </c>
      <c r="GM100" s="32">
        <v>24.952782558139535</v>
      </c>
      <c r="GN100" s="32">
        <v>6.7000000000000004E-2</v>
      </c>
      <c r="GO100" s="32">
        <v>1303.0330606527777</v>
      </c>
      <c r="GP100" s="32">
        <v>15.151547216892764</v>
      </c>
      <c r="GQ100" s="32">
        <v>217.48102371527776</v>
      </c>
      <c r="GR100" s="32">
        <v>2.5288491129683459</v>
      </c>
      <c r="GS100" s="32">
        <v>760.2570421840278</v>
      </c>
      <c r="GT100" s="32">
        <v>8.8401981649305554</v>
      </c>
      <c r="GU100" s="32">
        <v>334.24707350892862</v>
      </c>
      <c r="GV100" s="32">
        <v>3.8865938780107978</v>
      </c>
      <c r="GW100" s="32">
        <v>1348.560144669643</v>
      </c>
      <c r="GX100" s="32">
        <v>15.68093191476329</v>
      </c>
      <c r="GY100" s="32">
        <v>9.5000000000000001E-2</v>
      </c>
      <c r="GZ100" s="32">
        <v>-191.20015056250003</v>
      </c>
      <c r="HA100" s="8">
        <v>-2.2232575646802331</v>
      </c>
      <c r="HB100" s="32">
        <v>1143.6882665937501</v>
      </c>
      <c r="HC100" s="32">
        <v>-1.5144121896802323</v>
      </c>
      <c r="HD100" s="32">
        <v>4.8000000000000001E-2</v>
      </c>
      <c r="HE100" s="32">
        <v>35609.831378500006</v>
      </c>
      <c r="HF100" s="32">
        <v>150513.87410399999</v>
      </c>
      <c r="HG100" s="32">
        <v>0.14299999999999999</v>
      </c>
      <c r="HH100" s="32">
        <v>9.0999999999999998E-2</v>
      </c>
      <c r="HI100" s="32">
        <v>66.43356643356644</v>
      </c>
      <c r="HJ100" s="32">
        <v>12.033359622143019</v>
      </c>
      <c r="HK100" s="32">
        <v>13.68737086063272</v>
      </c>
      <c r="HL100" s="32">
        <v>21.036150998568647</v>
      </c>
      <c r="HM100" s="32">
        <v>82.007599744285187</v>
      </c>
      <c r="HN100" s="32">
        <v>12.033359622143019</v>
      </c>
      <c r="HO100" s="32">
        <v>40.461619575760302</v>
      </c>
      <c r="HP100" s="32">
        <v>21.036150998568647</v>
      </c>
      <c r="HQ100" s="32">
        <v>24.68261514587962</v>
      </c>
      <c r="HR100" s="32">
        <v>66.43356643356644</v>
      </c>
      <c r="HS100" s="32" t="s">
        <v>34</v>
      </c>
      <c r="HT100" s="32" t="s">
        <v>34</v>
      </c>
      <c r="HU100" s="32" t="s">
        <v>34</v>
      </c>
      <c r="HV100" s="32" t="s">
        <v>34</v>
      </c>
      <c r="HW100" s="17" t="s">
        <v>34</v>
      </c>
      <c r="HX100" s="70"/>
      <c r="HY100" s="32">
        <v>1324.8644999999999</v>
      </c>
      <c r="HZ100" s="32">
        <v>15.405401162790696</v>
      </c>
      <c r="IA100" s="32">
        <v>1.7000000000000001E-2</v>
      </c>
      <c r="IB100" s="32">
        <v>2292.5172660000003</v>
      </c>
      <c r="IC100" s="32">
        <v>26.657177511627911</v>
      </c>
      <c r="ID100" s="32">
        <v>8.2000000000000003E-2</v>
      </c>
      <c r="IE100" s="32">
        <v>1382.3643294771243</v>
      </c>
      <c r="IF100" s="32">
        <v>16.074003831129353</v>
      </c>
      <c r="IG100" s="32">
        <v>145.8166849607843</v>
      </c>
      <c r="IH100" s="32">
        <v>1.6955428483812127</v>
      </c>
      <c r="II100" s="32">
        <v>764.09050721895437</v>
      </c>
      <c r="IJ100" s="32">
        <v>8.8847733397552826</v>
      </c>
      <c r="IK100" s="32">
        <v>331.98273021153852</v>
      </c>
      <c r="IL100" s="32">
        <v>3.8602643047853316</v>
      </c>
      <c r="IM100" s="32">
        <v>1361.0451420192305</v>
      </c>
      <c r="IN100" s="32">
        <v>15.826106302549192</v>
      </c>
      <c r="IO100" s="32">
        <v>9.1999999999999998E-2</v>
      </c>
      <c r="IP100" s="32">
        <v>-249.31124781632656</v>
      </c>
      <c r="IQ100" s="8">
        <v>-2.8989679978642622</v>
      </c>
      <c r="IR100" s="32">
        <v>1427.6132171428571</v>
      </c>
      <c r="IS100" s="32">
        <v>0.70546725367821539</v>
      </c>
      <c r="IT100" s="32">
        <v>5.8999999999999997E-2</v>
      </c>
      <c r="IU100" s="32">
        <v>68846.913991999987</v>
      </c>
      <c r="IV100" s="32">
        <v>141553.80732649998</v>
      </c>
      <c r="IW100" s="32">
        <v>0.152</v>
      </c>
      <c r="IX100" s="32">
        <v>9.0999999999999998E-2</v>
      </c>
      <c r="IY100" s="32">
        <v>60.526315789473685</v>
      </c>
      <c r="IZ100" s="32">
        <v>8.6390916099603565</v>
      </c>
      <c r="JA100" s="32">
        <v>14.770756239987346</v>
      </c>
      <c r="JB100" s="32">
        <v>19.668731462339569</v>
      </c>
      <c r="JC100" s="32">
        <v>81.89990112521113</v>
      </c>
      <c r="JD100" s="32">
        <v>8.6390916099603565</v>
      </c>
      <c r="JE100" s="32">
        <v>14.770756239987346</v>
      </c>
      <c r="JF100" s="32">
        <v>19.668731462339569</v>
      </c>
      <c r="JG100" s="32">
        <v>0.20393729184013937</v>
      </c>
      <c r="JH100" s="32">
        <v>11.241285227014973</v>
      </c>
      <c r="JI100" s="70"/>
      <c r="JJ100" s="32">
        <v>5.9083448219564287</v>
      </c>
      <c r="JK100" s="32">
        <v>26.383470424460043</v>
      </c>
      <c r="JL100" s="32">
        <v>-0.67974842456617535</v>
      </c>
      <c r="JM100" s="32">
        <v>6.6049070806655843</v>
      </c>
      <c r="JN100" s="32">
        <v>20.134228187919458</v>
      </c>
      <c r="JO100" s="32">
        <v>15.80671181768705</v>
      </c>
      <c r="JP100" s="32">
        <v>6.1016949152542432</v>
      </c>
      <c r="JQ100" s="32">
        <v>135.89225901148282</v>
      </c>
      <c r="JR100" s="32">
        <v>45.222383593653667</v>
      </c>
      <c r="JS100" s="32">
        <v>20.425196129761552</v>
      </c>
      <c r="JT100" s="32">
        <v>-6.7187003305675121</v>
      </c>
      <c r="JU100" s="70"/>
      <c r="JV100" s="32">
        <v>1229.5563429999997</v>
      </c>
      <c r="JW100" s="32">
        <v>14.297166779069764</v>
      </c>
      <c r="JX100" s="32">
        <v>0.28899999999999998</v>
      </c>
      <c r="JY100" s="32">
        <v>666.05083629287617</v>
      </c>
      <c r="JZ100" s="32">
        <v>7.7447771661962346</v>
      </c>
      <c r="KA100" s="32">
        <v>322.56876941952498</v>
      </c>
      <c r="KB100" s="32">
        <v>3.7507996444130813</v>
      </c>
      <c r="KC100" s="32">
        <v>494.30980285620058</v>
      </c>
      <c r="KD100" s="32">
        <v>5.7477884053046582</v>
      </c>
      <c r="KE100" s="32">
        <v>0.378</v>
      </c>
      <c r="KF100" s="32">
        <v>0.08</v>
      </c>
      <c r="KG100" s="32">
        <v>33.164434171695433</v>
      </c>
      <c r="KH100" s="32">
        <v>66.350097245870629</v>
      </c>
      <c r="KI100" s="32">
        <v>76.789366111144247</v>
      </c>
      <c r="KJ100" s="32">
        <v>99.809529975854602</v>
      </c>
      <c r="KK100" s="32">
        <v>0.4727623061865277</v>
      </c>
      <c r="KL100" s="32">
        <v>2.6007918290230188</v>
      </c>
      <c r="KM100" s="70"/>
      <c r="KN100" s="32" t="s">
        <v>34</v>
      </c>
      <c r="KO100" s="32" t="s">
        <v>34</v>
      </c>
      <c r="KP100" s="32" t="s">
        <v>34</v>
      </c>
      <c r="KQ100" s="32" t="s">
        <v>34</v>
      </c>
      <c r="KR100" s="32" t="s">
        <v>34</v>
      </c>
      <c r="KS100" s="32" t="s">
        <v>34</v>
      </c>
      <c r="KT100" s="32" t="s">
        <v>34</v>
      </c>
      <c r="KU100" s="32" t="s">
        <v>34</v>
      </c>
      <c r="KV100" s="32" t="s">
        <v>34</v>
      </c>
      <c r="KW100" s="32" t="s">
        <v>34</v>
      </c>
      <c r="KX100" s="32" t="s">
        <v>34</v>
      </c>
      <c r="KY100" s="32" t="s">
        <v>34</v>
      </c>
      <c r="KZ100" s="32" t="s">
        <v>34</v>
      </c>
      <c r="LA100" s="32" t="s">
        <v>34</v>
      </c>
      <c r="LB100" s="32" t="s">
        <v>34</v>
      </c>
      <c r="LC100" s="32" t="s">
        <v>34</v>
      </c>
      <c r="LD100" s="32" t="s">
        <v>34</v>
      </c>
      <c r="LE100" s="32" t="s">
        <v>34</v>
      </c>
      <c r="LF100" s="32" t="s">
        <v>34</v>
      </c>
      <c r="LG100" s="32" t="s">
        <v>34</v>
      </c>
      <c r="LH100" s="70"/>
      <c r="LI100" s="32" t="s">
        <v>34</v>
      </c>
      <c r="LJ100" s="32" t="s">
        <v>34</v>
      </c>
      <c r="LK100" s="32" t="s">
        <v>34</v>
      </c>
      <c r="LL100" s="32" t="s">
        <v>34</v>
      </c>
      <c r="LM100" s="32" t="s">
        <v>34</v>
      </c>
      <c r="LN100" s="70"/>
      <c r="LO100" s="32">
        <v>1025.0901460000002</v>
      </c>
      <c r="LP100" s="32">
        <v>11.919652860465119</v>
      </c>
      <c r="LQ100" s="32">
        <v>1.7000000000000001E-2</v>
      </c>
      <c r="LR100" s="32">
        <v>2161.5204389999999</v>
      </c>
      <c r="LS100" s="32">
        <v>25.133958593023255</v>
      </c>
      <c r="LT100" s="32">
        <v>7.0999999999999994E-2</v>
      </c>
      <c r="LU100" s="32">
        <v>1292.464654658228</v>
      </c>
      <c r="LV100" s="32">
        <v>15.028658775095675</v>
      </c>
      <c r="LW100" s="32">
        <v>172.65165140506332</v>
      </c>
      <c r="LX100" s="32">
        <v>2.0075773419193408</v>
      </c>
      <c r="LY100" s="32">
        <v>732.5581530316457</v>
      </c>
      <c r="LZ100" s="32">
        <v>8.5181180585075076</v>
      </c>
      <c r="MA100" s="32">
        <v>300.30466385593223</v>
      </c>
      <c r="MB100" s="32">
        <v>3.491914695999212</v>
      </c>
      <c r="MC100" s="32">
        <v>1315.7288955762713</v>
      </c>
      <c r="MD100" s="32">
        <v>15.299173204375247</v>
      </c>
      <c r="ME100" s="32">
        <v>0.104</v>
      </c>
      <c r="MF100" s="32">
        <v>-203.92473532499997</v>
      </c>
      <c r="MG100" s="8">
        <v>-2.3712178526162786</v>
      </c>
      <c r="MH100" s="32">
        <v>1223.8351439500004</v>
      </c>
      <c r="MI100" s="32">
        <v>-0.3245963026162792</v>
      </c>
      <c r="MJ100" s="32">
        <v>5.2999999999999999E-2</v>
      </c>
      <c r="MK100" s="32">
        <v>47943.373773500003</v>
      </c>
      <c r="ML100" s="32">
        <v>154781.58786499998</v>
      </c>
      <c r="MM100" s="32">
        <v>0.157</v>
      </c>
      <c r="MN100" s="32">
        <v>9.4E-2</v>
      </c>
      <c r="MO100" s="32">
        <v>66.242038216560502</v>
      </c>
      <c r="MP100" s="32">
        <v>12.752363373082783</v>
      </c>
      <c r="MQ100" s="32">
        <v>10.79671179747398</v>
      </c>
      <c r="MR100" s="32">
        <v>18.779449143425424</v>
      </c>
      <c r="MS100" s="32">
        <v>80.823833836537432</v>
      </c>
      <c r="MT100" s="32">
        <v>12.752363373082783</v>
      </c>
      <c r="MU100" s="32">
        <v>36.808039238007268</v>
      </c>
      <c r="MV100" s="32">
        <v>18.779449143425424</v>
      </c>
      <c r="MW100" s="32">
        <v>22.7892508244678</v>
      </c>
      <c r="MX100" s="32" t="s">
        <v>34</v>
      </c>
      <c r="MY100" s="32" t="s">
        <v>34</v>
      </c>
      <c r="MZ100" s="32" t="s">
        <v>34</v>
      </c>
      <c r="NA100" s="32" t="s">
        <v>34</v>
      </c>
      <c r="NB100" s="17" t="s">
        <v>34</v>
      </c>
      <c r="NC100" s="70"/>
      <c r="ND100" s="32">
        <v>1719.496189</v>
      </c>
      <c r="NE100" s="32">
        <v>19.994141732558138</v>
      </c>
      <c r="NF100" s="32">
        <v>1.9E-2</v>
      </c>
      <c r="NG100" s="32">
        <v>2270.0832839999998</v>
      </c>
      <c r="NH100" s="32">
        <v>26.396317255813951</v>
      </c>
      <c r="NI100" s="32">
        <v>8.2000000000000003E-2</v>
      </c>
      <c r="NJ100" s="32">
        <v>1389.2381499647058</v>
      </c>
      <c r="NK100" s="32">
        <v>16.153931976333787</v>
      </c>
      <c r="NL100" s="32">
        <v>96.305312494117643</v>
      </c>
      <c r="NM100" s="32">
        <v>1.1198292150478795</v>
      </c>
      <c r="NN100" s="32">
        <v>742.77173122941178</v>
      </c>
      <c r="NO100" s="32">
        <v>8.636880595690835</v>
      </c>
      <c r="NP100" s="32">
        <v>311.76213062857147</v>
      </c>
      <c r="NQ100" s="32">
        <v>3.6251410538205984</v>
      </c>
      <c r="NR100" s="32">
        <v>1303.6491196857144</v>
      </c>
      <c r="NS100" s="32">
        <v>15.158710694019934</v>
      </c>
      <c r="NT100" s="32">
        <v>9.5000000000000001E-2</v>
      </c>
      <c r="NU100" s="32">
        <v>-251.74031679999999</v>
      </c>
      <c r="NV100" s="8">
        <v>-2.9272129860465115</v>
      </c>
      <c r="NW100" s="32">
        <v>1527.4973527230768</v>
      </c>
      <c r="NX100" s="32">
        <v>1.3069019561717352</v>
      </c>
      <c r="NY100" s="32">
        <v>7.3999999999999996E-2</v>
      </c>
      <c r="NZ100" s="32">
        <v>98180.265551499993</v>
      </c>
      <c r="OA100" s="32">
        <v>136242.365766</v>
      </c>
      <c r="OB100" s="32">
        <v>0.16900000000000001</v>
      </c>
      <c r="OC100" s="32">
        <v>9.4E-2</v>
      </c>
      <c r="OD100" s="32">
        <v>56.213017751479285</v>
      </c>
      <c r="OE100" s="32">
        <v>5.7391179448519996</v>
      </c>
      <c r="OF100" s="32">
        <v>15.001948824763472</v>
      </c>
      <c r="OG100" s="32">
        <v>18.578825945090152</v>
      </c>
      <c r="OH100" s="32">
        <v>82.788803542093575</v>
      </c>
      <c r="OI100" s="32">
        <v>5.7391179448519996</v>
      </c>
      <c r="OJ100" s="32">
        <v>15.001948824763472</v>
      </c>
      <c r="OK100" s="32">
        <v>18.578825945090152</v>
      </c>
      <c r="OL100" s="32">
        <v>0.25681413765030681</v>
      </c>
      <c r="OM100" s="32">
        <v>8.839401540623431</v>
      </c>
      <c r="ON100" s="70"/>
      <c r="OO100" s="32">
        <v>7.2173169330808697</v>
      </c>
      <c r="OP100" s="32">
        <v>20.98716206213815</v>
      </c>
      <c r="OQ100" s="32">
        <v>3.7438615771629857</v>
      </c>
      <c r="OR100" s="32">
        <v>4.8994834279319397</v>
      </c>
      <c r="OS100" s="32">
        <v>14.379084967320274</v>
      </c>
      <c r="OT100" s="32">
        <v>50.601872795522738</v>
      </c>
      <c r="OU100" s="32">
        <v>7.3619631901840554</v>
      </c>
      <c r="OV100" s="32">
        <v>121.91684714694966</v>
      </c>
      <c r="OW100" s="32">
        <v>61.1713343863997</v>
      </c>
      <c r="OX100" s="32">
        <v>16.210709425220475</v>
      </c>
      <c r="OY100" s="32">
        <v>-1.0740495799654635</v>
      </c>
    </row>
    <row r="101" spans="1:415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8" t="s">
        <v>293</v>
      </c>
      <c r="K101" s="32">
        <v>1139.1173029999993</v>
      </c>
      <c r="L101" s="32">
        <v>16.04390567605633</v>
      </c>
      <c r="M101" s="32">
        <v>0.156</v>
      </c>
      <c r="N101" s="32">
        <v>717.4682450942621</v>
      </c>
      <c r="O101" s="32">
        <v>10.10518655062341</v>
      </c>
      <c r="P101" s="32">
        <v>392.47752103278697</v>
      </c>
      <c r="Q101" s="32">
        <v>5.5278524089124925</v>
      </c>
      <c r="R101" s="32">
        <v>554.97288306352448</v>
      </c>
      <c r="S101" s="32">
        <v>7.8165194797679503</v>
      </c>
      <c r="T101" s="32">
        <v>0.24299999999999999</v>
      </c>
      <c r="U101" s="32">
        <v>3.3000000000000002E-2</v>
      </c>
      <c r="V101" s="32">
        <v>36.180044385491286</v>
      </c>
      <c r="W101" s="32">
        <v>63.819955614508721</v>
      </c>
      <c r="X101" s="32">
        <v>66.19718859866127</v>
      </c>
      <c r="Y101" s="32">
        <v>77.984844386631494</v>
      </c>
      <c r="Z101" s="32">
        <v>0.30397462830193583</v>
      </c>
      <c r="AA101" s="32">
        <v>3.7474091484652536</v>
      </c>
      <c r="AB101" s="68" t="s">
        <v>444</v>
      </c>
      <c r="AC101" s="32">
        <v>562.39926099999991</v>
      </c>
      <c r="AD101" s="32">
        <v>7.9211163521126746</v>
      </c>
      <c r="AE101" s="32">
        <v>1.6E-2</v>
      </c>
      <c r="AF101" s="32">
        <v>1298.1204889999999</v>
      </c>
      <c r="AG101" s="32">
        <v>18.283387169014084</v>
      </c>
      <c r="AH101" s="32">
        <v>0.1</v>
      </c>
      <c r="AI101" s="32">
        <v>825.96046111351347</v>
      </c>
      <c r="AJ101" s="32">
        <v>11.633245931176246</v>
      </c>
      <c r="AK101" s="32">
        <v>330.8538411297298</v>
      </c>
      <c r="AL101" s="32">
        <v>4.6599132553483074</v>
      </c>
      <c r="AM101" s="32">
        <v>578.40715112162161</v>
      </c>
      <c r="AN101" s="32">
        <v>8.1465795932622758</v>
      </c>
      <c r="AO101" s="32">
        <v>0.184</v>
      </c>
      <c r="AP101" s="32">
        <v>3.3000000000000002E-2</v>
      </c>
      <c r="AQ101" s="32">
        <v>30.374785787253956</v>
      </c>
      <c r="AR101" s="32">
        <v>69.62521421274603</v>
      </c>
      <c r="AS101" s="32">
        <v>66.666666666666671</v>
      </c>
      <c r="AT101" s="32">
        <v>97.102755852643241</v>
      </c>
      <c r="AU101" s="32">
        <v>0.21349309653989532</v>
      </c>
      <c r="AV101" s="32">
        <v>6.0803862515405553</v>
      </c>
      <c r="AW101" s="68" t="s">
        <v>294</v>
      </c>
      <c r="AX101" s="32">
        <v>14.058597664134181</v>
      </c>
      <c r="AY101" s="32">
        <v>13.047818848198844</v>
      </c>
      <c r="AZ101" s="32">
        <v>-43.749999999999993</v>
      </c>
      <c r="BA101" s="32">
        <v>-27.634660421545664</v>
      </c>
      <c r="BB101" s="32">
        <v>-17.44504067749731</v>
      </c>
      <c r="BC101" s="68" t="s">
        <v>296</v>
      </c>
      <c r="BD101" s="32">
        <v>1182.0014619999997</v>
      </c>
      <c r="BE101" s="32">
        <v>16.647907915492954</v>
      </c>
      <c r="BF101" s="32">
        <v>1.7000000000000001E-2</v>
      </c>
      <c r="BG101" s="32">
        <v>2163.6844889999998</v>
      </c>
      <c r="BH101" s="32">
        <v>30.474429422535209</v>
      </c>
      <c r="BI101" s="32">
        <v>0.05</v>
      </c>
      <c r="BJ101" s="32">
        <v>1273.8430625714284</v>
      </c>
      <c r="BK101" s="32">
        <v>17.941451585513075</v>
      </c>
      <c r="BL101" s="32">
        <v>136.8644637443609</v>
      </c>
      <c r="BM101" s="32">
        <v>1.9276685034417029</v>
      </c>
      <c r="BN101" s="32">
        <v>705.3537631578946</v>
      </c>
      <c r="BO101" s="32">
        <v>9.9345600444773883</v>
      </c>
      <c r="BP101" s="32">
        <v>252.63933004347825</v>
      </c>
      <c r="BQ101" s="32">
        <v>3.558300423147581</v>
      </c>
      <c r="BR101" s="32">
        <v>1166.9476114565218</v>
      </c>
      <c r="BS101" s="32">
        <v>16.435881851500309</v>
      </c>
      <c r="BT101" s="32">
        <v>8.5000000000000006E-2</v>
      </c>
      <c r="BU101" s="32">
        <v>-122.92304112195123</v>
      </c>
      <c r="BV101" s="32">
        <v>-1.7313104383373412</v>
      </c>
      <c r="BW101" s="32">
        <v>1513.7060260487801</v>
      </c>
      <c r="BX101" s="32">
        <v>21.319803183785634</v>
      </c>
      <c r="BY101" s="32">
        <v>4.4999999999999998E-2</v>
      </c>
      <c r="BZ101" s="32">
        <v>60904.940361999979</v>
      </c>
      <c r="CA101" s="32">
        <v>107339.28005650001</v>
      </c>
      <c r="CB101" s="32">
        <v>0.13200000000000001</v>
      </c>
      <c r="CC101" s="32">
        <v>0.109</v>
      </c>
      <c r="CD101" s="32">
        <f>(BT101/CB101)*100</f>
        <v>64.393939393939391</v>
      </c>
      <c r="CE101" s="32">
        <v>9.3738776620307327</v>
      </c>
      <c r="CF101" s="32">
        <v>10.437024073837158</v>
      </c>
      <c r="CG101" s="32">
        <v>19.265795499604366</v>
      </c>
      <c r="CH101" s="32">
        <v>97.140852684605193</v>
      </c>
      <c r="CI101" s="32">
        <v>9.3738776620307327</v>
      </c>
      <c r="CJ101" s="32">
        <v>39.410952512412898</v>
      </c>
      <c r="CK101" s="32">
        <v>19.265795499604366</v>
      </c>
      <c r="CL101" s="32">
        <v>22.974364922061611</v>
      </c>
      <c r="CM101" s="32" t="s">
        <v>34</v>
      </c>
      <c r="CN101" s="32" t="s">
        <v>34</v>
      </c>
      <c r="CO101" s="32" t="s">
        <v>34</v>
      </c>
      <c r="CP101" s="32" t="s">
        <v>34</v>
      </c>
      <c r="CQ101" s="17" t="s">
        <v>34</v>
      </c>
      <c r="CR101" s="68" t="s">
        <v>445</v>
      </c>
      <c r="CS101" s="32">
        <v>1182.4162160000001</v>
      </c>
      <c r="CT101" s="32">
        <v>16.653749521126763</v>
      </c>
      <c r="CU101" s="32">
        <v>1.2999999999999999E-2</v>
      </c>
      <c r="CV101" s="32">
        <v>2234.7011889999994</v>
      </c>
      <c r="CW101" s="32">
        <v>31.47466463380281</v>
      </c>
      <c r="CX101" s="32">
        <v>3.5999999999999997E-2</v>
      </c>
      <c r="CY101" s="32">
        <v>1255.7026873553721</v>
      </c>
      <c r="CZ101" s="32">
        <v>17.685953343033411</v>
      </c>
      <c r="DA101" s="32">
        <v>105.17542459504131</v>
      </c>
      <c r="DB101" s="32">
        <v>1.4813440083808636</v>
      </c>
      <c r="DC101" s="32">
        <v>680.43905597520666</v>
      </c>
      <c r="DD101" s="32">
        <v>9.5836486757071366</v>
      </c>
      <c r="DE101" s="32">
        <v>223.25817041176467</v>
      </c>
      <c r="DF101" s="32">
        <v>3.1444812734051362</v>
      </c>
      <c r="DG101" s="32">
        <v>1189.2051748941176</v>
      </c>
      <c r="DH101" s="32">
        <v>16.749368660480531</v>
      </c>
      <c r="DI101" s="32">
        <v>7.9000000000000001E-2</v>
      </c>
      <c r="DJ101" s="32">
        <v>-173.6310585833333</v>
      </c>
      <c r="DK101" s="32">
        <v>0.35402795148669797</v>
      </c>
      <c r="DL101" s="32">
        <v>1412.7107028888888</v>
      </c>
      <c r="DM101" s="32">
        <v>0.35402795148669797</v>
      </c>
      <c r="DN101" s="32">
        <v>4.1000000000000002E-2</v>
      </c>
      <c r="DO101" s="32">
        <v>49764.417890500001</v>
      </c>
      <c r="DP101" s="32">
        <v>100323.59942</v>
      </c>
      <c r="DQ101" s="32">
        <v>0.12</v>
      </c>
      <c r="DR101" s="32">
        <v>0.109</v>
      </c>
      <c r="DS101" s="32">
        <f>(DI101/DQ101)*100</f>
        <v>65.833333333333329</v>
      </c>
      <c r="DT101" s="32">
        <v>7.1831531678351181</v>
      </c>
      <c r="DU101" s="32">
        <v>11.858459267453606</v>
      </c>
      <c r="DV101" s="32">
        <v>15.24783608160446</v>
      </c>
      <c r="DW101" s="32">
        <v>85.760573549051969</v>
      </c>
      <c r="DX101" s="32">
        <v>7.1831531678351181</v>
      </c>
      <c r="DY101" s="32">
        <v>11.858459267453606</v>
      </c>
      <c r="DZ101" s="32">
        <v>15.24783608160446</v>
      </c>
      <c r="EA101" s="32">
        <v>0.15261209477776233</v>
      </c>
      <c r="EB101" s="32">
        <v>14.643014973709843</v>
      </c>
      <c r="EC101" s="68" t="s">
        <v>297</v>
      </c>
      <c r="ED101" s="32">
        <v>-1.4342792745757826</v>
      </c>
      <c r="EE101" s="32">
        <v>34.198156432014052</v>
      </c>
      <c r="EF101" s="32">
        <v>-12.347683946063009</v>
      </c>
      <c r="EG101" s="32">
        <v>3.2292165898599352</v>
      </c>
      <c r="EH101" s="32">
        <v>-32.558139534883736</v>
      </c>
      <c r="EI101" s="32">
        <v>3.5082972341095593E-2</v>
      </c>
      <c r="EJ101" s="32">
        <v>-9.5238095238095308</v>
      </c>
      <c r="EL101" s="32">
        <v>36.933463964329846</v>
      </c>
      <c r="EM101" s="32">
        <v>23.403750738079633</v>
      </c>
      <c r="EN101" s="32">
        <v>-23.283318700009016</v>
      </c>
      <c r="EO101" s="68" t="s">
        <v>299</v>
      </c>
      <c r="EP101" s="32">
        <v>1134.248157</v>
      </c>
      <c r="EQ101" s="32">
        <v>15.975326154929578</v>
      </c>
      <c r="ER101" s="32">
        <v>0.187</v>
      </c>
      <c r="ES101" s="32">
        <v>731.74994700716843</v>
      </c>
      <c r="ET101" s="32">
        <v>10.306337281791105</v>
      </c>
      <c r="EU101" s="32">
        <v>344.13352610394264</v>
      </c>
      <c r="EV101" s="32">
        <v>4.8469510718865161</v>
      </c>
      <c r="EW101" s="32">
        <v>537.94173655555551</v>
      </c>
      <c r="EX101" s="32">
        <v>7.5766441768388102</v>
      </c>
      <c r="EY101" s="32">
        <v>0.27800000000000002</v>
      </c>
      <c r="EZ101" s="32">
        <v>4.8000000000000001E-2</v>
      </c>
      <c r="FA101" s="32">
        <v>32.661169916880453</v>
      </c>
      <c r="FB101" s="32">
        <v>67.333755245082145</v>
      </c>
      <c r="FC101" s="32">
        <v>75.838948903675188</v>
      </c>
      <c r="FD101" s="32">
        <v>99.292060093781203</v>
      </c>
      <c r="FE101" s="32">
        <v>0.39887084555721436</v>
      </c>
      <c r="FF101" s="32">
        <v>2.8436476860460398</v>
      </c>
      <c r="FG101" s="68" t="s">
        <v>405</v>
      </c>
      <c r="FH101" s="32">
        <v>1444.5541819999999</v>
      </c>
      <c r="FI101" s="32">
        <v>20.345833549295772</v>
      </c>
      <c r="FJ101" s="32">
        <v>0.114</v>
      </c>
      <c r="FK101" s="32">
        <v>1444.5541819999999</v>
      </c>
      <c r="FL101" s="32">
        <v>20.345833549295772</v>
      </c>
      <c r="FM101" s="32">
        <v>0.114</v>
      </c>
      <c r="FN101" s="32">
        <v>879.52414987804877</v>
      </c>
      <c r="FO101" s="32">
        <v>12.387664082789419</v>
      </c>
      <c r="FP101" s="32">
        <v>298.81724585365851</v>
      </c>
      <c r="FQ101" s="32">
        <v>4.2086936035726552</v>
      </c>
      <c r="FR101" s="32">
        <v>589.17069786585364</v>
      </c>
      <c r="FS101" s="32">
        <v>8.2981788431810379</v>
      </c>
      <c r="FT101" s="32">
        <v>0.20399999999999999</v>
      </c>
      <c r="FU101" s="32">
        <v>4.8000000000000001E-2</v>
      </c>
      <c r="FV101" s="32">
        <v>27.344288757403334</v>
      </c>
      <c r="FW101" s="32">
        <v>72.655711242596666</v>
      </c>
      <c r="FX101" s="32">
        <v>58.291463587602109</v>
      </c>
      <c r="FY101" s="32">
        <v>99.978463947588054</v>
      </c>
      <c r="FZ101" s="32">
        <v>0.27250671737117621</v>
      </c>
      <c r="GA101" s="32">
        <v>5.3009855901364817</v>
      </c>
      <c r="GB101" s="68" t="s">
        <v>300</v>
      </c>
      <c r="GC101" s="32">
        <v>18.34252820876911</v>
      </c>
      <c r="GD101" s="32">
        <v>24.065902245173966</v>
      </c>
      <c r="GE101" s="32">
        <v>-48.504983388704318</v>
      </c>
      <c r="GF101" s="32">
        <v>-30.705394190871388</v>
      </c>
      <c r="GG101" s="32">
        <v>-17.721324949244149</v>
      </c>
      <c r="GH101" s="68" t="s">
        <v>302</v>
      </c>
      <c r="GI101" s="32">
        <v>2325.1222000000002</v>
      </c>
      <c r="GJ101" s="32">
        <v>32.748200000000004</v>
      </c>
      <c r="GK101" s="32">
        <v>3.9E-2</v>
      </c>
      <c r="GL101" s="32">
        <v>2325.1222000000002</v>
      </c>
      <c r="GM101" s="32">
        <v>32.748200000000004</v>
      </c>
      <c r="GN101" s="32">
        <v>3.9E-2</v>
      </c>
      <c r="GO101" s="32">
        <v>1319.4586228455883</v>
      </c>
      <c r="GP101" s="32">
        <v>18.58392426543082</v>
      </c>
      <c r="GQ101" s="32">
        <v>152.33074309558822</v>
      </c>
      <c r="GR101" s="32">
        <v>2.1455034238815243</v>
      </c>
      <c r="GS101" s="32">
        <v>735.89468297058829</v>
      </c>
      <c r="GT101" s="32">
        <v>10.364713844656173</v>
      </c>
      <c r="GU101" s="32">
        <v>222.73774708490564</v>
      </c>
      <c r="GV101" s="32">
        <v>3.1371513673930371</v>
      </c>
      <c r="GW101" s="32">
        <v>1281.3927050566037</v>
      </c>
      <c r="GX101" s="32">
        <v>18.047784578262025</v>
      </c>
      <c r="GY101" s="32">
        <v>9.5000000000000001E-2</v>
      </c>
      <c r="GZ101" s="32">
        <v>-96.440671000000037</v>
      </c>
      <c r="HA101" s="32">
        <v>-1.3583193098591555</v>
      </c>
      <c r="HB101" s="32">
        <v>1453.9581990333331</v>
      </c>
      <c r="HC101" s="32">
        <v>20.478284493427228</v>
      </c>
      <c r="HD101" s="32">
        <v>0.04</v>
      </c>
      <c r="HE101" s="32">
        <v>42454.228177500016</v>
      </c>
      <c r="HF101" s="32">
        <v>135799.44906550006</v>
      </c>
      <c r="HG101" s="32">
        <v>0.13500000000000001</v>
      </c>
      <c r="HH101" s="32">
        <v>0.11899999999999999</v>
      </c>
      <c r="HI101" s="32">
        <f>(GY101/HG101)*100</f>
        <v>70.370370370370367</v>
      </c>
      <c r="HJ101" s="32">
        <v>6.8179852137408998</v>
      </c>
      <c r="HK101" s="32">
        <v>10.769198754578179</v>
      </c>
      <c r="HL101" s="32">
        <v>15.746703651272254</v>
      </c>
      <c r="HM101" s="32">
        <v>93.280659367292756</v>
      </c>
      <c r="HN101" s="32">
        <v>6.8179852137408998</v>
      </c>
      <c r="HO101" s="32">
        <v>34.318134266485991</v>
      </c>
      <c r="HP101" s="32">
        <v>15.746703651272254</v>
      </c>
      <c r="HQ101" s="32">
        <v>23.405537862207229</v>
      </c>
      <c r="HR101" s="32" t="s">
        <v>34</v>
      </c>
      <c r="HS101" s="32" t="s">
        <v>34</v>
      </c>
      <c r="HT101" s="32" t="s">
        <v>34</v>
      </c>
      <c r="HU101" s="32" t="s">
        <v>34</v>
      </c>
      <c r="HV101" s="32" t="s">
        <v>34</v>
      </c>
      <c r="HW101" s="17" t="s">
        <v>34</v>
      </c>
      <c r="HX101" s="68" t="s">
        <v>406</v>
      </c>
      <c r="HY101" s="32">
        <v>2153.5855580000002</v>
      </c>
      <c r="HZ101" s="32">
        <v>30.332190957746484</v>
      </c>
      <c r="IA101" s="32">
        <v>3.5000000000000003E-2</v>
      </c>
      <c r="IB101" s="32">
        <v>2153.5855580000002</v>
      </c>
      <c r="IC101" s="32">
        <v>30.332190957746484</v>
      </c>
      <c r="ID101" s="32">
        <v>3.5000000000000003E-2</v>
      </c>
      <c r="IE101" s="32">
        <v>1231.7784152180452</v>
      </c>
      <c r="IF101" s="32">
        <v>17.348991763634441</v>
      </c>
      <c r="IG101" s="32">
        <v>87.520708969924812</v>
      </c>
      <c r="IH101" s="32">
        <v>1.232686041829927</v>
      </c>
      <c r="II101" s="32">
        <v>659.64956209398497</v>
      </c>
      <c r="IJ101" s="32">
        <v>9.2908389027321832</v>
      </c>
      <c r="IK101" s="32">
        <v>214.62099743820221</v>
      </c>
      <c r="IL101" s="32">
        <v>3.0228309498338342</v>
      </c>
      <c r="IM101" s="32">
        <v>1107.3935558539329</v>
      </c>
      <c r="IN101" s="32">
        <v>15.597092335970885</v>
      </c>
      <c r="IO101" s="32">
        <v>8.3000000000000004E-2</v>
      </c>
      <c r="IP101" s="32">
        <v>-169.56851088636364</v>
      </c>
      <c r="IQ101" s="32">
        <v>0.37582156754161333</v>
      </c>
      <c r="IR101" s="32">
        <v>1483.3750625681819</v>
      </c>
      <c r="IS101" s="32">
        <v>0.37582156754161333</v>
      </c>
      <c r="IT101" s="32">
        <v>0.13100000000000001</v>
      </c>
      <c r="IU101" s="32">
        <v>65256.7718245</v>
      </c>
      <c r="IV101" s="32">
        <v>98558.639617499983</v>
      </c>
      <c r="IW101" s="32">
        <v>0.13200000000000001</v>
      </c>
      <c r="IX101" s="32">
        <v>0.11899999999999999</v>
      </c>
      <c r="IY101" s="32">
        <f>(IO101/IW101)*100</f>
        <v>62.878787878787875</v>
      </c>
      <c r="IZ101" s="32">
        <v>6.1139381782364355</v>
      </c>
      <c r="JA101" s="32">
        <v>11.845555237573505</v>
      </c>
      <c r="JB101" s="32">
        <v>14.992788855715505</v>
      </c>
      <c r="JC101" s="32">
        <v>86.048401213444237</v>
      </c>
      <c r="JD101" s="32">
        <v>6.1139381782364355</v>
      </c>
      <c r="JE101" s="32">
        <v>11.845555237573505</v>
      </c>
      <c r="JF101" s="32">
        <v>14.992788855715505</v>
      </c>
      <c r="JG101" s="32">
        <v>0.18237504404594432</v>
      </c>
      <c r="JH101" s="32">
        <v>11.808554011685198</v>
      </c>
      <c r="JI101" s="68" t="s">
        <v>303</v>
      </c>
      <c r="JJ101" s="32">
        <v>-6.8735445840102383</v>
      </c>
      <c r="JK101" s="32">
        <v>54.981440390732871</v>
      </c>
      <c r="JL101" s="32">
        <v>-3.7117125235732322</v>
      </c>
      <c r="JM101" s="32">
        <v>-7.6600953341327616</v>
      </c>
      <c r="JN101" s="32">
        <v>-10.8108108108108</v>
      </c>
      <c r="JO101" s="32">
        <v>-7.6600953341327616</v>
      </c>
      <c r="JP101" s="32">
        <v>-2.247191011235957</v>
      </c>
      <c r="JR101" s="32">
        <v>55.146867491119224</v>
      </c>
      <c r="JS101" s="32">
        <v>53.875844585302488</v>
      </c>
      <c r="JU101" s="68" t="s">
        <v>305</v>
      </c>
      <c r="JV101" s="32">
        <v>1103.7351259999998</v>
      </c>
      <c r="JW101" s="32">
        <v>15.545565154929575</v>
      </c>
      <c r="JX101" s="32">
        <v>0.16800000000000001</v>
      </c>
      <c r="JY101" s="32">
        <v>728.87923840856035</v>
      </c>
      <c r="JZ101" s="32">
        <v>10.265904766317751</v>
      </c>
      <c r="KA101" s="32">
        <v>350.26108747470823</v>
      </c>
      <c r="KB101" s="32">
        <v>4.9332547531649045</v>
      </c>
      <c r="KC101" s="32">
        <v>539.57016294163429</v>
      </c>
      <c r="KD101" s="32">
        <v>7.5995797597413279</v>
      </c>
      <c r="KE101" s="32">
        <v>0.25600000000000001</v>
      </c>
      <c r="KF101" s="32">
        <v>5.2999999999999999E-2</v>
      </c>
      <c r="KG101" s="32">
        <v>34.25335708402956</v>
      </c>
      <c r="KH101" s="32">
        <v>65.74664291597044</v>
      </c>
      <c r="KI101" s="32">
        <v>55.194675096728396</v>
      </c>
      <c r="KJ101" s="32">
        <v>73.147798784942836</v>
      </c>
      <c r="KK101" s="32">
        <v>0.34949496119689993</v>
      </c>
      <c r="KL101" s="32">
        <v>3.1580859484213648</v>
      </c>
      <c r="KM101" s="68" t="s">
        <v>407</v>
      </c>
      <c r="KN101" s="32">
        <v>707.08369199999993</v>
      </c>
      <c r="KO101" s="32">
        <v>9.9589252394366188</v>
      </c>
      <c r="KP101" s="32">
        <v>2.1999999999999999E-2</v>
      </c>
      <c r="KQ101" s="32">
        <v>1430.0731819999996</v>
      </c>
      <c r="KR101" s="32">
        <v>20.141875802816894</v>
      </c>
      <c r="KS101" s="32">
        <v>9.2999999999999999E-2</v>
      </c>
      <c r="KT101" s="32">
        <v>917.53943786528498</v>
      </c>
      <c r="KU101" s="32">
        <v>12.923090674158944</v>
      </c>
      <c r="KV101" s="32">
        <v>303.21280948186529</v>
      </c>
      <c r="KW101" s="32">
        <v>4.270602950448807</v>
      </c>
      <c r="KX101" s="32">
        <v>610.37612367357519</v>
      </c>
      <c r="KY101" s="32">
        <v>8.5968468123038768</v>
      </c>
      <c r="KZ101" s="32">
        <v>0.192</v>
      </c>
      <c r="LA101" s="32">
        <v>5.2999999999999999E-2</v>
      </c>
      <c r="LB101" s="32">
        <v>28.230049254794952</v>
      </c>
      <c r="LC101" s="32">
        <v>71.769950745205051</v>
      </c>
      <c r="LD101" s="32">
        <v>89.320473547352051</v>
      </c>
      <c r="LE101" s="32">
        <v>98.941158549320647</v>
      </c>
      <c r="LF101" s="32">
        <v>0.26846571949530185</v>
      </c>
      <c r="LG101" s="32">
        <v>5.3268372017419754</v>
      </c>
      <c r="LH101" s="68" t="s">
        <v>306</v>
      </c>
      <c r="LI101" s="32">
        <v>22.917645696743197</v>
      </c>
      <c r="LJ101" s="32">
        <v>25.75870123794699</v>
      </c>
      <c r="LK101" s="32">
        <v>-57.471264367816097</v>
      </c>
      <c r="LL101" s="32">
        <v>-28.571428571428569</v>
      </c>
      <c r="LM101" s="32">
        <v>-19.279703787506161</v>
      </c>
      <c r="LN101" s="68" t="s">
        <v>308</v>
      </c>
      <c r="LO101" s="32">
        <v>2149.3476049999999</v>
      </c>
      <c r="LP101" s="32">
        <v>30.272501478873238</v>
      </c>
      <c r="LQ101" s="32">
        <v>5.2999999999999999E-2</v>
      </c>
      <c r="LR101" s="32">
        <v>2149.3476049999999</v>
      </c>
      <c r="LS101" s="32">
        <v>30.272501478873238</v>
      </c>
      <c r="LT101" s="32">
        <v>5.2999999999999999E-2</v>
      </c>
      <c r="LU101" s="32">
        <v>1229.74512479021</v>
      </c>
      <c r="LV101" s="32">
        <v>17.320353870284649</v>
      </c>
      <c r="LW101" s="32">
        <v>114.01995676223775</v>
      </c>
      <c r="LX101" s="32">
        <v>1.6059148839751796</v>
      </c>
      <c r="LY101" s="32">
        <v>671.88254077622389</v>
      </c>
      <c r="LZ101" s="32">
        <v>9.4631343771299132</v>
      </c>
      <c r="MA101" s="32">
        <v>242.97600758695654</v>
      </c>
      <c r="MB101" s="32">
        <v>3.4221972899571345</v>
      </c>
      <c r="MC101" s="32">
        <v>1110.2357133586956</v>
      </c>
      <c r="MD101" s="32">
        <v>15.637122723361911</v>
      </c>
      <c r="ME101" s="32">
        <v>8.8999999999999996E-2</v>
      </c>
      <c r="MF101" s="32">
        <v>-118.6066447254902</v>
      </c>
      <c r="MG101" s="32">
        <v>-1.6705161228942282</v>
      </c>
      <c r="MH101" s="32">
        <v>1445.3307297254901</v>
      </c>
      <c r="MI101" s="32">
        <v>20.356770841204085</v>
      </c>
      <c r="MJ101" s="32">
        <v>0.05</v>
      </c>
      <c r="MK101" s="32">
        <v>72564.616744500003</v>
      </c>
      <c r="ML101" s="32">
        <v>102128.4398695</v>
      </c>
      <c r="MM101" s="32">
        <v>0.14199999999999999</v>
      </c>
      <c r="MN101" s="32">
        <v>0.113</v>
      </c>
      <c r="MO101" s="32">
        <f>(ME101/MM101)*100</f>
        <v>62.676056338028175</v>
      </c>
      <c r="MP101" s="32">
        <v>9.1109719216967715</v>
      </c>
      <c r="MQ101" s="32">
        <v>8.7586376545610936</v>
      </c>
      <c r="MR101" s="32">
        <v>18.664616876182301</v>
      </c>
      <c r="MS101" s="32">
        <v>94.46497140812518</v>
      </c>
      <c r="MT101" s="32">
        <v>9.1109719216967715</v>
      </c>
      <c r="MU101" s="32">
        <v>35.20853507953975</v>
      </c>
      <c r="MV101" s="32">
        <v>18.664616876182301</v>
      </c>
      <c r="MW101" s="32">
        <v>22.515115501528658</v>
      </c>
      <c r="MX101" s="32" t="s">
        <v>34</v>
      </c>
      <c r="MY101" s="32" t="s">
        <v>34</v>
      </c>
      <c r="MZ101" s="32" t="s">
        <v>34</v>
      </c>
      <c r="NA101" s="32" t="s">
        <v>34</v>
      </c>
      <c r="NB101" s="17" t="s">
        <v>34</v>
      </c>
      <c r="NC101" s="68" t="s">
        <v>408</v>
      </c>
      <c r="ND101" s="32">
        <v>2141.3406649999997</v>
      </c>
      <c r="NE101" s="32">
        <v>30.159727676056335</v>
      </c>
      <c r="NF101" s="32">
        <v>3.4000000000000002E-2</v>
      </c>
      <c r="NG101" s="32">
        <v>2141.3406649999997</v>
      </c>
      <c r="NH101" s="32">
        <v>30.159727676056335</v>
      </c>
      <c r="NI101" s="32">
        <v>3.4000000000000002E-2</v>
      </c>
      <c r="NJ101" s="32">
        <v>1128.3975851032258</v>
      </c>
      <c r="NK101" s="32">
        <v>15.892923733848249</v>
      </c>
      <c r="NL101" s="32">
        <v>66.626761225806462</v>
      </c>
      <c r="NM101" s="32">
        <v>0.93840508768741493</v>
      </c>
      <c r="NN101" s="32">
        <v>597.51217316451607</v>
      </c>
      <c r="NO101" s="32">
        <v>8.4156644107678318</v>
      </c>
      <c r="NP101" s="32">
        <v>177.81001551401869</v>
      </c>
      <c r="NQ101" s="32">
        <v>2.504366415690404</v>
      </c>
      <c r="NR101" s="32">
        <v>897.40322462616814</v>
      </c>
      <c r="NS101" s="32">
        <v>12.639482036988284</v>
      </c>
      <c r="NT101" s="32">
        <v>0.1</v>
      </c>
      <c r="NU101" s="32">
        <v>-181.21924312499996</v>
      </c>
      <c r="NV101" s="32">
        <v>0.71967094190140846</v>
      </c>
      <c r="NW101" s="32">
        <v>1643.3225136666667</v>
      </c>
      <c r="NX101" s="32">
        <v>0.71967094190140846</v>
      </c>
      <c r="NY101" s="32">
        <v>5.2999999999999999E-2</v>
      </c>
      <c r="NZ101" s="32">
        <v>77807.331575000004</v>
      </c>
      <c r="OA101" s="32">
        <v>96025.228799500008</v>
      </c>
      <c r="OB101" s="32">
        <v>0.154</v>
      </c>
      <c r="OC101" s="32">
        <v>0.113</v>
      </c>
      <c r="OD101" s="32">
        <f>(NT101/OB101)*100</f>
        <v>64.935064935064929</v>
      </c>
      <c r="OE101" s="32">
        <v>5.0966594178190672</v>
      </c>
      <c r="OF101" s="32">
        <v>13.862489263628387</v>
      </c>
      <c r="OG101" s="32">
        <v>13.601698078655309</v>
      </c>
      <c r="OH101" s="32">
        <v>86.317540780191749</v>
      </c>
      <c r="OI101" s="32">
        <v>5.0966594178190672</v>
      </c>
      <c r="OJ101" s="32">
        <v>13.862489263628387</v>
      </c>
      <c r="OK101" s="32">
        <v>13.601698078655309</v>
      </c>
      <c r="OL101" s="32">
        <v>0.24494100430336405</v>
      </c>
      <c r="OM101" s="32">
        <v>8.7422711076496977</v>
      </c>
      <c r="ON101" s="68" t="s">
        <v>309</v>
      </c>
      <c r="OO101" s="32">
        <v>-8.5955391301626598</v>
      </c>
      <c r="OP101" s="32">
        <v>41.765972143627486</v>
      </c>
      <c r="OQ101" s="32">
        <v>-30.973458477873489</v>
      </c>
      <c r="OR101" s="32">
        <v>-0.37322403755051697</v>
      </c>
      <c r="OS101" s="32">
        <v>-43.678160919540225</v>
      </c>
      <c r="OT101" s="32">
        <v>-0.37322403755051697</v>
      </c>
      <c r="OU101" s="32">
        <v>8.1081081081081159</v>
      </c>
      <c r="OW101" s="32">
        <v>52.860335186056695</v>
      </c>
      <c r="OX101" s="32">
        <v>41.365271898748631</v>
      </c>
      <c r="OY101" s="32">
        <v>-31.382070153430526</v>
      </c>
    </row>
    <row r="102" spans="1:415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9"/>
      <c r="AB102" s="69"/>
      <c r="AW102" s="69"/>
      <c r="BC102" s="69"/>
      <c r="CL102" s="32">
        <v>22.862127730560324</v>
      </c>
      <c r="CM102" s="32" t="s">
        <v>34</v>
      </c>
      <c r="CN102" s="32" t="s">
        <v>34</v>
      </c>
      <c r="CO102" s="32" t="s">
        <v>34</v>
      </c>
      <c r="CP102" s="32" t="s">
        <v>34</v>
      </c>
      <c r="CQ102" s="17" t="s">
        <v>34</v>
      </c>
      <c r="CR102" s="69"/>
      <c r="EC102" s="69"/>
      <c r="EO102" s="69"/>
      <c r="FG102" s="69"/>
      <c r="GB102" s="69"/>
      <c r="GH102" s="69"/>
      <c r="HQ102" s="32">
        <v>23.421790952778661</v>
      </c>
      <c r="HR102" s="32" t="s">
        <v>34</v>
      </c>
      <c r="HS102" s="32" t="s">
        <v>34</v>
      </c>
      <c r="HT102" s="32" t="s">
        <v>34</v>
      </c>
      <c r="HU102" s="32" t="s">
        <v>34</v>
      </c>
      <c r="HV102" s="32" t="s">
        <v>34</v>
      </c>
      <c r="HW102" s="17" t="s">
        <v>34</v>
      </c>
      <c r="HX102" s="69"/>
      <c r="JI102" s="69"/>
      <c r="JU102" s="69"/>
      <c r="KM102" s="69"/>
      <c r="LH102" s="69"/>
      <c r="LN102" s="69"/>
      <c r="MW102" s="32">
        <v>22.691678082259678</v>
      </c>
      <c r="MX102" s="32" t="s">
        <v>34</v>
      </c>
      <c r="MY102" s="32" t="s">
        <v>34</v>
      </c>
      <c r="MZ102" s="32" t="s">
        <v>34</v>
      </c>
      <c r="NA102" s="32" t="s">
        <v>34</v>
      </c>
      <c r="NB102" s="17" t="s">
        <v>34</v>
      </c>
      <c r="NC102" s="69"/>
      <c r="ON102" s="69"/>
    </row>
    <row r="103" spans="1:415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9"/>
      <c r="K103" s="32">
        <v>1319.4904129999998</v>
      </c>
      <c r="L103" s="32">
        <v>16.702410291139238</v>
      </c>
      <c r="M103" s="32">
        <v>0.39400000000000002</v>
      </c>
      <c r="N103" s="32">
        <v>564.91453157171327</v>
      </c>
      <c r="O103" s="32">
        <v>7.1508168553381424</v>
      </c>
      <c r="P103" s="32">
        <v>272.57994775697216</v>
      </c>
      <c r="Q103" s="32">
        <v>3.450379085531293</v>
      </c>
      <c r="R103" s="32">
        <v>418.74723966434271</v>
      </c>
      <c r="S103" s="32">
        <v>5.3005979704347181</v>
      </c>
      <c r="T103" s="32">
        <v>0.501</v>
      </c>
      <c r="U103" s="32">
        <v>5.3999999999999999E-2</v>
      </c>
      <c r="V103" s="32">
        <v>31.607875690218957</v>
      </c>
      <c r="W103" s="32">
        <v>68.392124309781039</v>
      </c>
      <c r="X103" s="32">
        <v>75.568231047386377</v>
      </c>
      <c r="Y103" s="32">
        <v>91.653625198112593</v>
      </c>
      <c r="Z103" s="32">
        <v>0.65824699947655363</v>
      </c>
      <c r="AA103" s="32">
        <v>2.004552111972064</v>
      </c>
      <c r="AB103" s="69"/>
      <c r="AC103" s="32">
        <v>581.89369199999987</v>
      </c>
      <c r="AD103" s="32">
        <v>7.3657429367088589</v>
      </c>
      <c r="AE103" s="32">
        <v>2.1999999999999999E-2</v>
      </c>
      <c r="AF103" s="32">
        <v>1530.6110629999998</v>
      </c>
      <c r="AG103" s="32">
        <v>19.374823582278477</v>
      </c>
      <c r="AH103" s="32">
        <v>0.105</v>
      </c>
      <c r="AI103" s="32">
        <v>933.97539465853663</v>
      </c>
      <c r="AJ103" s="32">
        <v>11.822473350108059</v>
      </c>
      <c r="AK103" s="32">
        <v>360.61788589268292</v>
      </c>
      <c r="AL103" s="32">
        <v>4.5647833657301637</v>
      </c>
      <c r="AM103" s="32">
        <v>647.29664027560978</v>
      </c>
      <c r="AN103" s="32">
        <v>8.1936283579191116</v>
      </c>
      <c r="AO103" s="32">
        <v>0.20399999999999999</v>
      </c>
      <c r="AP103" s="32">
        <v>5.3999999999999999E-2</v>
      </c>
      <c r="AQ103" s="32">
        <v>28.802647547749977</v>
      </c>
      <c r="AR103" s="32">
        <v>71.197352452250016</v>
      </c>
      <c r="AS103" s="32">
        <v>51.45140369913355</v>
      </c>
      <c r="AT103" s="32">
        <v>99.607635022423537</v>
      </c>
      <c r="AU103" s="32">
        <v>0.26808230871879757</v>
      </c>
      <c r="AV103" s="32">
        <v>5.7094818017458957</v>
      </c>
      <c r="AW103" s="69"/>
      <c r="AX103" s="32">
        <v>49.244558473352576</v>
      </c>
      <c r="AY103" s="32">
        <v>14.814956714895585</v>
      </c>
      <c r="AZ103" s="32">
        <v>-115.83166332665331</v>
      </c>
      <c r="BA103" s="32">
        <v>-84.255319148936195</v>
      </c>
      <c r="BB103" s="32">
        <v>-9.2872168361086196</v>
      </c>
      <c r="BC103" s="69"/>
      <c r="BD103" s="32">
        <v>1691.3275180000001</v>
      </c>
      <c r="BE103" s="32">
        <v>21.409209088607597</v>
      </c>
      <c r="BF103" s="32">
        <v>2.4E-2</v>
      </c>
      <c r="BG103" s="32">
        <v>1824.4884559999998</v>
      </c>
      <c r="BH103" s="32">
        <v>23.094790582278478</v>
      </c>
      <c r="BI103" s="32">
        <v>6.9000000000000006E-2</v>
      </c>
      <c r="BJ103" s="32">
        <v>1197.1173421840492</v>
      </c>
      <c r="BK103" s="32">
        <v>15.153384078279105</v>
      </c>
      <c r="BL103" s="32">
        <v>135.72125454601226</v>
      </c>
      <c r="BM103" s="32">
        <v>1.7179905638735729</v>
      </c>
      <c r="BN103" s="32">
        <v>666.41929836503073</v>
      </c>
      <c r="BO103" s="32">
        <v>8.4356873210763386</v>
      </c>
      <c r="BP103" s="32">
        <v>267.96048344761903</v>
      </c>
      <c r="BQ103" s="32">
        <v>3.3919048537673295</v>
      </c>
      <c r="BR103" s="32">
        <v>1101.5293601523808</v>
      </c>
      <c r="BS103" s="32">
        <v>13.943409622182037</v>
      </c>
      <c r="BT103" s="32">
        <v>9.8000000000000004E-2</v>
      </c>
      <c r="BU103" s="32">
        <v>-103.67734949999998</v>
      </c>
      <c r="BV103" s="32">
        <v>-1.3123715126582276</v>
      </c>
      <c r="BW103" s="32">
        <v>1370.1645510344829</v>
      </c>
      <c r="BX103" s="32">
        <v>17.343855076385861</v>
      </c>
      <c r="BY103" s="32">
        <v>6.4000000000000001E-2</v>
      </c>
      <c r="BZ103" s="32">
        <v>78558.039145499992</v>
      </c>
      <c r="CA103" s="32">
        <v>115514.13105950001</v>
      </c>
      <c r="CB103" s="32">
        <v>0.16200000000000001</v>
      </c>
      <c r="CC103" s="32">
        <v>7.6350622882955186</v>
      </c>
      <c r="CD103" s="32">
        <f t="shared" ref="CD103:CD109" si="0">(BT103/CB103)*100</f>
        <v>60.493827160493829</v>
      </c>
      <c r="CE103" s="32">
        <v>9.9948565168944175</v>
      </c>
      <c r="CF103" s="32">
        <v>19.733287856904099</v>
      </c>
      <c r="CG103" s="32">
        <v>88.158749409136831</v>
      </c>
      <c r="CH103" s="32">
        <v>7.6350622882955186</v>
      </c>
      <c r="CI103" s="32">
        <v>37.298226887750531</v>
      </c>
      <c r="CJ103" s="32">
        <v>19.733287856904099</v>
      </c>
      <c r="CL103" s="32">
        <v>22.759637393243842</v>
      </c>
      <c r="CM103" s="32" t="s">
        <v>34</v>
      </c>
      <c r="CN103" s="32" t="s">
        <v>34</v>
      </c>
      <c r="CO103" s="32" t="s">
        <v>34</v>
      </c>
      <c r="CP103" s="32" t="s">
        <v>34</v>
      </c>
      <c r="CQ103" s="17" t="s">
        <v>34</v>
      </c>
      <c r="CR103" s="69"/>
      <c r="EC103" s="69"/>
      <c r="EO103" s="69"/>
      <c r="EP103" s="32">
        <v>1144.9421770000001</v>
      </c>
      <c r="EQ103" s="32">
        <v>14.49293894936709</v>
      </c>
      <c r="ER103" s="32">
        <v>0.42199999999999999</v>
      </c>
      <c r="ES103" s="32">
        <v>536.52122906261866</v>
      </c>
      <c r="ET103" s="32">
        <v>6.7914079628179573</v>
      </c>
      <c r="EU103" s="32">
        <v>241.29287934535105</v>
      </c>
      <c r="EV103" s="32">
        <v>3.0543402448778614</v>
      </c>
      <c r="EW103" s="32">
        <v>388.90705420398484</v>
      </c>
      <c r="EX103" s="32">
        <v>4.9228741038479091</v>
      </c>
      <c r="EY103" s="32">
        <v>0.52600000000000002</v>
      </c>
      <c r="EZ103" s="32">
        <v>3.9E-2</v>
      </c>
      <c r="FA103" s="32">
        <v>29.203610215445391</v>
      </c>
      <c r="FB103" s="32">
        <v>70.784401468028094</v>
      </c>
      <c r="FC103" s="32">
        <v>60.7763069951855</v>
      </c>
      <c r="FD103" s="32">
        <v>99.802723081448704</v>
      </c>
      <c r="FE103" s="32">
        <v>0.72373431070405236</v>
      </c>
      <c r="FF103" s="32">
        <v>1.5819923970250831</v>
      </c>
      <c r="FG103" s="69"/>
      <c r="FH103" s="32">
        <v>407.38148699999994</v>
      </c>
      <c r="FI103" s="32">
        <v>5.156727683544303</v>
      </c>
      <c r="FJ103" s="32">
        <v>1.2E-2</v>
      </c>
      <c r="FK103" s="32">
        <v>1570.6819650000002</v>
      </c>
      <c r="FL103" s="32">
        <v>19.882050189873421</v>
      </c>
      <c r="FM103" s="32">
        <v>0.114</v>
      </c>
      <c r="FN103" s="32">
        <v>975.14554768965525</v>
      </c>
      <c r="FO103" s="32">
        <v>12.343614527717156</v>
      </c>
      <c r="FP103" s="32">
        <v>325.97694210775859</v>
      </c>
      <c r="FQ103" s="32">
        <v>4.1262904064273238</v>
      </c>
      <c r="FR103" s="32">
        <v>650.56124489870695</v>
      </c>
      <c r="FS103" s="32">
        <v>8.2349524670722403</v>
      </c>
      <c r="FT103" s="32">
        <v>0.23100000000000001</v>
      </c>
      <c r="FU103" s="32">
        <v>3.9E-2</v>
      </c>
      <c r="FV103" s="32">
        <v>27.710440670093437</v>
      </c>
      <c r="FW103" s="32">
        <v>72.289559329906581</v>
      </c>
      <c r="FX103" s="32">
        <v>76.699029648899142</v>
      </c>
      <c r="FY103" s="32">
        <v>98.51624094279795</v>
      </c>
      <c r="FZ103" s="32">
        <v>0.35608783321419091</v>
      </c>
      <c r="GA103" s="32">
        <v>4.4109397134476565</v>
      </c>
      <c r="GB103" s="69"/>
      <c r="GC103" s="32">
        <v>58.031879164453791</v>
      </c>
      <c r="GD103" s="32">
        <v>31.354838942214709</v>
      </c>
      <c r="GE103" s="32">
        <v>-114.92537313432835</v>
      </c>
      <c r="GF103" s="32">
        <v>-77.939233817701464</v>
      </c>
      <c r="GG103" s="32">
        <v>-5.2471033852603526</v>
      </c>
      <c r="GH103" s="69"/>
      <c r="GI103" s="32">
        <v>1970.2909950000001</v>
      </c>
      <c r="GJ103" s="32">
        <v>24.940392341772153</v>
      </c>
      <c r="GK103" s="32">
        <v>3.4000000000000002E-2</v>
      </c>
      <c r="GL103" s="32">
        <v>2114.1278250000005</v>
      </c>
      <c r="GM103" s="32">
        <v>26.761111708860767</v>
      </c>
      <c r="GN103" s="32">
        <v>6.6000000000000003E-2</v>
      </c>
      <c r="GO103" s="32">
        <v>1339.9256660239521</v>
      </c>
      <c r="GP103" s="32">
        <v>16.961084380050025</v>
      </c>
      <c r="GQ103" s="32">
        <v>115.11467452095809</v>
      </c>
      <c r="GR103" s="32">
        <v>1.457147778746305</v>
      </c>
      <c r="GS103" s="32">
        <v>727.52017027245506</v>
      </c>
      <c r="GT103" s="32">
        <v>9.2091160793981661</v>
      </c>
      <c r="GU103" s="32">
        <v>249.67054502500002</v>
      </c>
      <c r="GV103" s="32">
        <v>3.1603866458860761</v>
      </c>
      <c r="GW103" s="32">
        <v>1235.8468001250001</v>
      </c>
      <c r="GX103" s="32">
        <v>15.643630381329114</v>
      </c>
      <c r="GY103" s="32">
        <v>0.109</v>
      </c>
      <c r="GZ103" s="32">
        <v>-228.43222889361704</v>
      </c>
      <c r="HA103" s="32">
        <v>-2.8915472011850256</v>
      </c>
      <c r="HB103" s="32">
        <v>1605.6589406595747</v>
      </c>
      <c r="HC103" s="32">
        <v>20.324796717209807</v>
      </c>
      <c r="HD103" s="32">
        <v>5.7000000000000002E-2</v>
      </c>
      <c r="HE103" s="32">
        <v>74461.555701500009</v>
      </c>
      <c r="HF103" s="32">
        <v>147432.20188850001</v>
      </c>
      <c r="HG103" s="32">
        <v>0.16600000000000001</v>
      </c>
      <c r="HH103" s="32">
        <v>0.11700000000000001</v>
      </c>
      <c r="HI103" s="32">
        <f t="shared" ref="HI103:HI109" si="1">(GY103/HG103)*100</f>
        <v>65.662650602409627</v>
      </c>
      <c r="HJ103" s="32">
        <v>14.501411088246643</v>
      </c>
      <c r="HK103" s="32">
        <v>7.3077482350161045</v>
      </c>
      <c r="HL103" s="32">
        <v>15.849668969960682</v>
      </c>
      <c r="HM103" s="32">
        <v>85.061608884248599</v>
      </c>
      <c r="HN103" s="32">
        <v>14.501411088246643</v>
      </c>
      <c r="HO103" s="32">
        <v>31.028109634873051</v>
      </c>
      <c r="HP103" s="32">
        <v>15.849668969960682</v>
      </c>
      <c r="HQ103" s="32">
        <v>22.428901188085625</v>
      </c>
      <c r="HR103" s="32" t="s">
        <v>34</v>
      </c>
      <c r="HS103" s="32" t="s">
        <v>34</v>
      </c>
      <c r="HT103" s="32" t="s">
        <v>34</v>
      </c>
      <c r="HU103" s="32" t="s">
        <v>34</v>
      </c>
      <c r="HV103" s="32" t="s">
        <v>34</v>
      </c>
      <c r="HW103" s="17" t="s">
        <v>34</v>
      </c>
      <c r="HX103" s="69"/>
      <c r="HY103" s="32">
        <v>2127.7432469999999</v>
      </c>
      <c r="HZ103" s="32">
        <v>26.933458822784807</v>
      </c>
      <c r="IA103" s="32">
        <v>2.1999999999999999E-2</v>
      </c>
      <c r="IB103" s="32">
        <v>2127.7432469999999</v>
      </c>
      <c r="IC103" s="32">
        <v>26.933458822784807</v>
      </c>
      <c r="ID103" s="32">
        <v>2.1999999999999999E-2</v>
      </c>
      <c r="IE103" s="32">
        <v>1308.9977249702379</v>
      </c>
      <c r="IF103" s="32">
        <v>16.569591455319468</v>
      </c>
      <c r="IG103" s="32">
        <v>96.407244279761912</v>
      </c>
      <c r="IH103" s="32">
        <v>1.2203448643007837</v>
      </c>
      <c r="II103" s="32">
        <v>702.7024846249999</v>
      </c>
      <c r="IJ103" s="32">
        <v>8.8949681598101247</v>
      </c>
      <c r="IK103" s="32">
        <v>238.32389631775695</v>
      </c>
      <c r="IL103" s="32">
        <v>3.0167581812374298</v>
      </c>
      <c r="IM103" s="32">
        <v>1052.8512687757011</v>
      </c>
      <c r="IN103" s="32">
        <v>13.32723125032533</v>
      </c>
      <c r="IO103" s="32">
        <v>9.8000000000000004E-2</v>
      </c>
      <c r="IP103" s="32">
        <v>-152.52852240983606</v>
      </c>
      <c r="IQ103" s="32">
        <v>-1.0558794859929446</v>
      </c>
      <c r="IR103" s="32">
        <v>1758.3038038688526</v>
      </c>
      <c r="IS103" s="32">
        <v>-1.0558794859929446</v>
      </c>
      <c r="IT103" s="32">
        <v>6.7000000000000004E-2</v>
      </c>
      <c r="IU103" s="32">
        <v>106203.71508200001</v>
      </c>
      <c r="IV103" s="32">
        <v>112660.036012</v>
      </c>
      <c r="IW103" s="32">
        <v>0.16700000000000001</v>
      </c>
      <c r="IX103" s="32">
        <v>0.11700000000000001</v>
      </c>
      <c r="IY103" s="32">
        <f t="shared" ref="IY103:IY109" si="2">(IO103/IW103)*100</f>
        <v>58.682634730538922</v>
      </c>
      <c r="IZ103" s="32">
        <v>6.358605003083202</v>
      </c>
      <c r="JA103" s="32">
        <v>10.060121860693716</v>
      </c>
      <c r="JB103" s="32">
        <v>15.718813775890601</v>
      </c>
      <c r="JC103" s="32">
        <v>86.335830312365417</v>
      </c>
      <c r="JD103" s="32">
        <v>6.358605003083202</v>
      </c>
      <c r="JE103" s="32">
        <v>10.060121860693716</v>
      </c>
      <c r="JF103" s="32">
        <v>15.718813775890601</v>
      </c>
      <c r="JG103" s="32">
        <v>0.27143145660215462</v>
      </c>
      <c r="JH103" s="32">
        <v>7.8389707428741318</v>
      </c>
      <c r="JI103" s="69"/>
      <c r="JJ103" s="32">
        <v>-2.3351329191975156</v>
      </c>
      <c r="JK103" s="32">
        <v>-39.848570344360809</v>
      </c>
      <c r="JL103" s="32">
        <v>-4.6503188339694344</v>
      </c>
      <c r="JM103" s="32">
        <v>0.64195359872547286</v>
      </c>
      <c r="JN103" s="32">
        <v>-100.00000000000003</v>
      </c>
      <c r="JO103" s="32">
        <v>7.6842819118640158</v>
      </c>
      <c r="JP103" s="32">
        <v>0.60060060060060116</v>
      </c>
      <c r="JR103" s="32">
        <v>13.890219510598683</v>
      </c>
      <c r="JS103" s="32">
        <v>-36.164593120353537</v>
      </c>
      <c r="JU103" s="69"/>
      <c r="JV103" s="32">
        <v>1279.6359089999996</v>
      </c>
      <c r="JW103" s="32">
        <v>16.197922898734173</v>
      </c>
      <c r="JX103" s="32">
        <v>0.35299999999999998</v>
      </c>
      <c r="JY103" s="32">
        <v>594.19736223554605</v>
      </c>
      <c r="JZ103" s="32">
        <v>7.5214855979183044</v>
      </c>
      <c r="KA103" s="32">
        <v>250.92624587366174</v>
      </c>
      <c r="KB103" s="32">
        <v>3.1762815933374906</v>
      </c>
      <c r="KC103" s="32">
        <v>422.5618040546039</v>
      </c>
      <c r="KD103" s="32">
        <v>5.3488835956278971</v>
      </c>
      <c r="KE103" s="32">
        <v>0.46600000000000003</v>
      </c>
      <c r="KF103" s="32">
        <v>5.1999999999999998E-2</v>
      </c>
      <c r="KG103" s="32">
        <v>30.659683699526116</v>
      </c>
      <c r="KH103" s="32">
        <v>69.340316300473887</v>
      </c>
      <c r="KI103" s="32">
        <v>95.77463285380199</v>
      </c>
      <c r="KJ103" s="32">
        <v>77.313641609049427</v>
      </c>
      <c r="KK103" s="32">
        <v>0.64753785867304792</v>
      </c>
      <c r="KL103" s="32">
        <v>1.9761561302720805</v>
      </c>
      <c r="KM103" s="69"/>
      <c r="KN103" s="32">
        <v>467.88457799999998</v>
      </c>
      <c r="KO103" s="32">
        <v>5.9225895949367082</v>
      </c>
      <c r="KP103" s="32">
        <v>2.5000000000000001E-2</v>
      </c>
      <c r="KQ103" s="32">
        <v>1600.9065229999999</v>
      </c>
      <c r="KR103" s="32">
        <v>20.264639531645567</v>
      </c>
      <c r="KS103" s="32">
        <v>0.11700000000000001</v>
      </c>
      <c r="KT103" s="32">
        <v>955.70672171673834</v>
      </c>
      <c r="KU103" s="32">
        <v>12.097553439452383</v>
      </c>
      <c r="KV103" s="32">
        <v>328.91574121030038</v>
      </c>
      <c r="KW103" s="32">
        <v>4.1634903950670932</v>
      </c>
      <c r="KX103" s="32">
        <v>642.31123146351933</v>
      </c>
      <c r="KY103" s="32">
        <v>8.1305219172597383</v>
      </c>
      <c r="KZ103" s="32">
        <v>0.23200000000000001</v>
      </c>
      <c r="LA103" s="32">
        <v>5.1999999999999998E-2</v>
      </c>
      <c r="LB103" s="32">
        <v>29.703421074600293</v>
      </c>
      <c r="LC103" s="32">
        <v>70.296578925399714</v>
      </c>
      <c r="LD103" s="32">
        <v>94.545461075924479</v>
      </c>
      <c r="LE103" s="32">
        <v>92.137669540401674</v>
      </c>
      <c r="LF103" s="32">
        <v>0.33905281253965436</v>
      </c>
      <c r="LG103" s="32">
        <v>4.7217025306721618</v>
      </c>
      <c r="LH103" s="69"/>
      <c r="LI103" s="32">
        <v>46.649255682885439</v>
      </c>
      <c r="LJ103" s="32">
        <v>22.30625804577631</v>
      </c>
      <c r="LK103" s="32">
        <v>-100.42553191489361</v>
      </c>
      <c r="LL103" s="32">
        <v>-67.048710601719193</v>
      </c>
      <c r="LM103" s="32">
        <v>-3.1683679244269389</v>
      </c>
      <c r="LN103" s="69"/>
      <c r="LO103" s="32">
        <v>2194.035108999999</v>
      </c>
      <c r="LP103" s="32">
        <v>27.772596316455683</v>
      </c>
      <c r="LQ103" s="32">
        <v>1.6E-2</v>
      </c>
      <c r="LR103" s="32">
        <v>2194.035108999999</v>
      </c>
      <c r="LS103" s="32">
        <v>27.772596316455683</v>
      </c>
      <c r="LT103" s="32">
        <v>1.6E-2</v>
      </c>
      <c r="LU103" s="32">
        <v>1339.8267012342858</v>
      </c>
      <c r="LV103" s="32">
        <v>16.959831661193491</v>
      </c>
      <c r="LW103" s="32">
        <v>110.98573381142857</v>
      </c>
      <c r="LX103" s="32">
        <v>1.4048827064737794</v>
      </c>
      <c r="LY103" s="32">
        <v>725.40621752285722</v>
      </c>
      <c r="LZ103" s="32">
        <v>9.182357183833636</v>
      </c>
      <c r="MA103" s="32">
        <v>245.53582337301589</v>
      </c>
      <c r="MB103" s="32">
        <v>3.1080483971267836</v>
      </c>
      <c r="MC103" s="32">
        <v>1260.64173034127</v>
      </c>
      <c r="MD103" s="32">
        <v>15.95749025748443</v>
      </c>
      <c r="ME103" s="32">
        <v>0.11600000000000001</v>
      </c>
      <c r="MF103" s="32">
        <v>-235.0002107755102</v>
      </c>
      <c r="MG103" s="32">
        <v>-2.9746862123482303</v>
      </c>
      <c r="MH103" s="32">
        <v>1543.4451978163268</v>
      </c>
      <c r="MI103" s="32">
        <v>19.537280985016796</v>
      </c>
      <c r="MJ103" s="32">
        <v>5.8000000000000003E-2</v>
      </c>
      <c r="MK103" s="32">
        <v>74651.982727499999</v>
      </c>
      <c r="ML103" s="32">
        <v>158001.62328050003</v>
      </c>
      <c r="MM103" s="32">
        <v>0.17399999999999999</v>
      </c>
      <c r="MN103" s="32">
        <v>0.11600000000000001</v>
      </c>
      <c r="MO103" s="32">
        <f t="shared" ref="MO103:MO109" si="3">(ME103/MM103)*100</f>
        <v>66.666666666666671</v>
      </c>
      <c r="MP103" s="32">
        <v>14.531107313841627</v>
      </c>
      <c r="MQ103" s="32">
        <v>6.8627411141343391</v>
      </c>
      <c r="MR103" s="32">
        <v>15.182571058347216</v>
      </c>
      <c r="MS103" s="32">
        <v>82.847438788828285</v>
      </c>
      <c r="MT103" s="32">
        <v>14.531107313841627</v>
      </c>
      <c r="MU103" s="32">
        <v>29.628323148041346</v>
      </c>
      <c r="MV103" s="32">
        <v>15.182571058347216</v>
      </c>
      <c r="MW103" s="32">
        <v>22.222150101002221</v>
      </c>
      <c r="MX103" s="32" t="s">
        <v>34</v>
      </c>
      <c r="MY103" s="32" t="s">
        <v>34</v>
      </c>
      <c r="MZ103" s="32" t="s">
        <v>34</v>
      </c>
      <c r="NA103" s="32" t="s">
        <v>34</v>
      </c>
      <c r="NB103" s="17" t="s">
        <v>34</v>
      </c>
      <c r="NC103" s="69"/>
      <c r="ND103" s="32">
        <v>2116.3098660000001</v>
      </c>
      <c r="NE103" s="32">
        <v>26.788732481012659</v>
      </c>
      <c r="NF103" s="32">
        <v>2.1999999999999999E-2</v>
      </c>
      <c r="NG103" s="32">
        <v>2116.3098660000001</v>
      </c>
      <c r="NH103" s="32">
        <v>26.788732481012659</v>
      </c>
      <c r="NI103" s="32">
        <v>2.1999999999999999E-2</v>
      </c>
      <c r="NJ103" s="32">
        <v>1280.3402118421052</v>
      </c>
      <c r="NK103" s="32">
        <v>16.206838124583609</v>
      </c>
      <c r="NL103" s="32">
        <v>104.01168535087722</v>
      </c>
      <c r="NM103" s="32">
        <v>1.3166036120364204</v>
      </c>
      <c r="NN103" s="32">
        <v>692.17594859649125</v>
      </c>
      <c r="NO103" s="32">
        <v>8.7617208683100163</v>
      </c>
      <c r="NP103" s="32">
        <v>252.12740013333331</v>
      </c>
      <c r="NQ103" s="32">
        <v>3.1914860776371303</v>
      </c>
      <c r="NR103" s="32">
        <v>1084.7276204000002</v>
      </c>
      <c r="NS103" s="32">
        <v>13.730729372151901</v>
      </c>
      <c r="NT103" s="32">
        <v>0.10100000000000001</v>
      </c>
      <c r="NU103" s="32">
        <v>-131.62695180303027</v>
      </c>
      <c r="NV103" s="32">
        <v>-0.23927350709627923</v>
      </c>
      <c r="NW103" s="32">
        <v>1591.5420618636363</v>
      </c>
      <c r="NX103" s="32">
        <v>-0.23927350709627923</v>
      </c>
      <c r="NY103" s="32">
        <v>6.8000000000000005E-2</v>
      </c>
      <c r="NZ103" s="32">
        <v>104023.529738</v>
      </c>
      <c r="OA103" s="32">
        <v>113898.55516999999</v>
      </c>
      <c r="OB103" s="32">
        <v>0.17</v>
      </c>
      <c r="OC103" s="32">
        <v>0.11600000000000001</v>
      </c>
      <c r="OD103" s="32">
        <f t="shared" ref="OD103:OD108" si="4">(NT103/OB103)*100</f>
        <v>59.411764705882355</v>
      </c>
      <c r="OE103" s="32">
        <v>6.9996351621581061</v>
      </c>
      <c r="OF103" s="32">
        <v>8.8580493337848836</v>
      </c>
      <c r="OG103" s="32">
        <v>16.967322559607982</v>
      </c>
      <c r="OH103" s="32">
        <v>86.16257236965707</v>
      </c>
      <c r="OI103" s="32">
        <v>6.9996351621581061</v>
      </c>
      <c r="OJ103" s="32">
        <v>8.8580493337848836</v>
      </c>
      <c r="OK103" s="32">
        <v>16.967322559607982</v>
      </c>
      <c r="OL103" s="32">
        <v>0.27433292974890955</v>
      </c>
      <c r="OM103" s="32">
        <v>7.7143851011142131</v>
      </c>
      <c r="ON103" s="69"/>
      <c r="OO103" s="32">
        <v>-4.5406641153510563</v>
      </c>
      <c r="OP103" s="32">
        <v>-56.391489515092793</v>
      </c>
      <c r="OQ103" s="32">
        <v>2.6490109973872031</v>
      </c>
      <c r="OR103" s="32">
        <v>-3.6064511518593232</v>
      </c>
      <c r="OS103" s="32">
        <v>31.578947368421044</v>
      </c>
      <c r="OT103" s="32">
        <v>-3.6064511518593232</v>
      </c>
      <c r="OU103" s="32">
        <v>-2.3255813953488231</v>
      </c>
      <c r="OW103" s="32">
        <v>-1.9750444699424934</v>
      </c>
      <c r="OX103" s="32">
        <v>-48.510154218257675</v>
      </c>
      <c r="OY103" s="32">
        <v>11.102689934028342</v>
      </c>
    </row>
    <row r="104" spans="1:415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9"/>
      <c r="K104" s="32">
        <v>1144.5093510000002</v>
      </c>
      <c r="L104" s="32">
        <v>15.466342581081083</v>
      </c>
      <c r="M104" s="32">
        <v>0.33400000000000002</v>
      </c>
      <c r="N104" s="32">
        <v>599.03865930574705</v>
      </c>
      <c r="O104" s="32">
        <v>8.0951170176452312</v>
      </c>
      <c r="P104" s="32">
        <v>313.59318886896551</v>
      </c>
      <c r="Q104" s="32">
        <v>4.2377457955265614</v>
      </c>
      <c r="R104" s="32">
        <v>456.31592408735628</v>
      </c>
      <c r="S104" s="32">
        <v>6.1664314065858958</v>
      </c>
      <c r="T104" s="32">
        <v>0.434</v>
      </c>
      <c r="U104" s="32">
        <v>36.851684253522691</v>
      </c>
      <c r="V104" s="32">
        <v>63.148315746477294</v>
      </c>
      <c r="W104" s="32">
        <v>57.941841723016708</v>
      </c>
      <c r="X104" s="32">
        <v>78.571463936064148</v>
      </c>
      <c r="Y104" s="32">
        <v>0.61365899650066968</v>
      </c>
      <c r="Z104" s="32">
        <v>1.8650575605123572</v>
      </c>
      <c r="AB104" s="69"/>
      <c r="AW104" s="69"/>
      <c r="BC104" s="69"/>
      <c r="BD104" s="32">
        <v>1703.3018629999999</v>
      </c>
      <c r="BE104" s="32">
        <v>23.017592743243242</v>
      </c>
      <c r="BF104" s="32">
        <v>1.2999999999999999E-2</v>
      </c>
      <c r="BG104" s="32">
        <v>1703.3018629999999</v>
      </c>
      <c r="BH104" s="32">
        <v>23.017592743243242</v>
      </c>
      <c r="BI104" s="32">
        <v>1.2999999999999999E-2</v>
      </c>
      <c r="BJ104" s="32">
        <v>1158.0801739876542</v>
      </c>
      <c r="BK104" s="32">
        <v>15.649732080914246</v>
      </c>
      <c r="BL104" s="32">
        <v>157.92219530864202</v>
      </c>
      <c r="BM104" s="32">
        <v>2.1340837203870544</v>
      </c>
      <c r="BN104" s="32">
        <v>658.00118464814818</v>
      </c>
      <c r="BO104" s="32">
        <v>8.8919079006506507</v>
      </c>
      <c r="BP104" s="32">
        <v>279.89183123622047</v>
      </c>
      <c r="BQ104" s="32">
        <v>3.7823220437327092</v>
      </c>
      <c r="BR104" s="32">
        <v>1124.0868262992126</v>
      </c>
      <c r="BS104" s="32">
        <v>15.190362517556927</v>
      </c>
      <c r="BT104" s="32">
        <v>0.111</v>
      </c>
      <c r="BU104" s="32">
        <v>-284.65334077142847</v>
      </c>
      <c r="BV104" s="32">
        <v>-3.8466667671814658</v>
      </c>
      <c r="BW104" s="32">
        <v>1281.4274641714283</v>
      </c>
      <c r="BX104" s="32">
        <v>17.316587353667948</v>
      </c>
      <c r="BY104" s="32">
        <v>0.05</v>
      </c>
      <c r="BZ104" s="32">
        <v>44133.157381999998</v>
      </c>
      <c r="CA104" s="32">
        <v>141984.62341</v>
      </c>
      <c r="CB104" s="32">
        <v>0.161</v>
      </c>
      <c r="CC104" s="32">
        <v>8.7999999999999995E-2</v>
      </c>
      <c r="CD104" s="32">
        <f t="shared" si="0"/>
        <v>68.944099378881987</v>
      </c>
      <c r="CE104" s="32">
        <v>20.544235680034014</v>
      </c>
      <c r="CF104" s="32">
        <v>11.397690927275258</v>
      </c>
      <c r="CG104" s="32">
        <v>20.20058408676994</v>
      </c>
      <c r="CH104" s="32">
        <v>83.581917451942402</v>
      </c>
      <c r="CI104" s="32">
        <v>20.544235680034014</v>
      </c>
      <c r="CJ104" s="32">
        <v>37.041934676443844</v>
      </c>
      <c r="CK104" s="32">
        <v>20.20058408676994</v>
      </c>
      <c r="CL104" s="32">
        <v>24.346641779759693</v>
      </c>
      <c r="CM104" s="32" t="s">
        <v>34</v>
      </c>
      <c r="CN104" s="32" t="s">
        <v>34</v>
      </c>
      <c r="CO104" s="32" t="s">
        <v>34</v>
      </c>
      <c r="CP104" s="32" t="s">
        <v>34</v>
      </c>
      <c r="CQ104" s="17" t="s">
        <v>34</v>
      </c>
      <c r="CR104" s="69"/>
      <c r="CS104" s="32">
        <v>1520.5121960000001</v>
      </c>
      <c r="CT104" s="32">
        <v>20.54746210810811</v>
      </c>
      <c r="CU104" s="32">
        <v>0.03</v>
      </c>
      <c r="CV104" s="32">
        <v>1545.6151319999999</v>
      </c>
      <c r="CW104" s="32">
        <v>20.886690972972971</v>
      </c>
      <c r="CX104" s="32">
        <v>7.9000000000000001E-2</v>
      </c>
      <c r="CY104" s="32">
        <v>1097.9844636687899</v>
      </c>
      <c r="CZ104" s="32">
        <v>14.83762788741608</v>
      </c>
      <c r="DA104" s="32">
        <v>148.03470079617833</v>
      </c>
      <c r="DB104" s="32">
        <v>2.0004689296780853</v>
      </c>
      <c r="DC104" s="32">
        <v>623.00958223248415</v>
      </c>
      <c r="DD104" s="32">
        <v>8.4190484085470825</v>
      </c>
      <c r="DE104" s="32">
        <v>254.59524587931031</v>
      </c>
      <c r="DF104" s="32">
        <v>3.4404762956663557</v>
      </c>
      <c r="DG104" s="32">
        <v>1064.556759939655</v>
      </c>
      <c r="DH104" s="32">
        <v>14.385902161346689</v>
      </c>
      <c r="DI104" s="32">
        <v>0.10199999999999999</v>
      </c>
      <c r="DJ104" s="32">
        <v>-153.45367065853657</v>
      </c>
      <c r="DK104" s="32">
        <v>1.1265897188529992</v>
      </c>
      <c r="DL104" s="32">
        <v>1192.5604059268292</v>
      </c>
      <c r="DM104" s="32">
        <v>1.1265897188529992</v>
      </c>
      <c r="DN104" s="32">
        <v>5.2999999999999999E-2</v>
      </c>
      <c r="DO104" s="32">
        <v>48179.047396499998</v>
      </c>
      <c r="DP104" s="32">
        <v>123490.90148550001</v>
      </c>
      <c r="DQ104" s="32">
        <v>0.156</v>
      </c>
      <c r="DR104" s="32">
        <v>8.7999999999999995E-2</v>
      </c>
      <c r="DS104" s="32">
        <f t="shared" ref="DS104:DS109" si="5">(DI104/DQ104)*100</f>
        <v>65.384615384615387</v>
      </c>
      <c r="DT104" s="32">
        <v>11.162599229708956</v>
      </c>
      <c r="DU104" s="32">
        <v>11.571218212191054</v>
      </c>
      <c r="DV104" s="32">
        <v>19.197827808311548</v>
      </c>
      <c r="DW104" s="32">
        <v>82.793834570293157</v>
      </c>
      <c r="DX104" s="32">
        <v>11.162599229708956</v>
      </c>
      <c r="DY104" s="32">
        <v>11.571218212191054</v>
      </c>
      <c r="DZ104" s="32">
        <v>19.197827808311548</v>
      </c>
      <c r="EA104" s="32">
        <v>0.20923655760842294</v>
      </c>
      <c r="EB104" s="32">
        <v>7.3869267859613279</v>
      </c>
      <c r="EC104" s="69"/>
      <c r="ED104" s="32">
        <v>-5.3274812534884282</v>
      </c>
      <c r="EE104" s="32">
        <v>-59.893891989841045</v>
      </c>
      <c r="EF104" s="32">
        <v>-9.4657425558082231</v>
      </c>
      <c r="EG104" s="32">
        <v>-9.7070335279525999</v>
      </c>
      <c r="EH104" s="32">
        <v>143.47826086956525</v>
      </c>
      <c r="EI104" s="32">
        <v>-11.339963388378521</v>
      </c>
      <c r="EJ104" s="32">
        <v>-3.1545741324921162</v>
      </c>
      <c r="EL104" s="32">
        <v>2.0841194499754474</v>
      </c>
      <c r="EM104" s="32">
        <v>-55.879748721317398</v>
      </c>
      <c r="EN104" s="32">
        <v>-5.0903385706446533</v>
      </c>
      <c r="EO104" s="69"/>
      <c r="EP104" s="32">
        <v>1119.208073</v>
      </c>
      <c r="EQ104" s="32">
        <v>15.124433418918919</v>
      </c>
      <c r="ER104" s="32">
        <v>0.35099999999999998</v>
      </c>
      <c r="ES104" s="32">
        <v>534.87243930530963</v>
      </c>
      <c r="ET104" s="32">
        <v>7.2280059365582385</v>
      </c>
      <c r="EU104" s="32">
        <v>256.04795213495584</v>
      </c>
      <c r="EV104" s="32">
        <v>3.460107461283187</v>
      </c>
      <c r="EW104" s="32">
        <v>395.46019572013273</v>
      </c>
      <c r="EX104" s="32">
        <v>5.3440566989207126</v>
      </c>
      <c r="EY104" s="32">
        <v>0.45100000000000001</v>
      </c>
      <c r="EZ104" s="32">
        <v>36.139492508727749</v>
      </c>
      <c r="FA104" s="32">
        <v>63.860507491272259</v>
      </c>
      <c r="FB104" s="32">
        <v>88.192793976581214</v>
      </c>
      <c r="FC104" s="32">
        <v>77.893007677989758</v>
      </c>
      <c r="FD104" s="32">
        <v>0.54407428676865732</v>
      </c>
      <c r="FE104" s="32">
        <v>2.0570868725429992</v>
      </c>
      <c r="FG104" s="69"/>
      <c r="GB104" s="69"/>
      <c r="GH104" s="69"/>
      <c r="GI104" s="32">
        <v>1020.5276080000001</v>
      </c>
      <c r="GJ104" s="32">
        <v>13.790913621621623</v>
      </c>
      <c r="GK104" s="32">
        <v>1.7000000000000001E-2</v>
      </c>
      <c r="GL104" s="32">
        <v>1914.837262</v>
      </c>
      <c r="GM104" s="32">
        <v>25.876179216216215</v>
      </c>
      <c r="GN104" s="32">
        <v>7.9000000000000001E-2</v>
      </c>
      <c r="GO104" s="32">
        <v>1198.3018170797545</v>
      </c>
      <c r="GP104" s="32">
        <v>16.193267798375061</v>
      </c>
      <c r="GQ104" s="32">
        <v>123.4363154417178</v>
      </c>
      <c r="GR104" s="32">
        <v>1.6680583167799703</v>
      </c>
      <c r="GS104" s="32">
        <v>660.86906626073619</v>
      </c>
      <c r="GT104" s="32">
        <v>8.9306630575775152</v>
      </c>
      <c r="GU104" s="32">
        <v>256.49249111504429</v>
      </c>
      <c r="GV104" s="32">
        <v>3.4661147447978959</v>
      </c>
      <c r="GW104" s="32">
        <v>1155.9060285398232</v>
      </c>
      <c r="GX104" s="32">
        <v>15.620351737024638</v>
      </c>
      <c r="GY104" s="32">
        <v>0.10199999999999999</v>
      </c>
      <c r="GZ104" s="32">
        <v>-177.27064158000002</v>
      </c>
      <c r="HA104" s="32">
        <v>-2.3955492105405409</v>
      </c>
      <c r="HB104" s="32">
        <v>1294.1162991799999</v>
      </c>
      <c r="HC104" s="32">
        <v>17.488058097027025</v>
      </c>
      <c r="HD104" s="32">
        <v>0.06</v>
      </c>
      <c r="HE104" s="32">
        <v>63777.078909000003</v>
      </c>
      <c r="HF104" s="32">
        <v>130135.25000850001</v>
      </c>
      <c r="HG104" s="32">
        <v>0.16200000000000001</v>
      </c>
      <c r="HH104" s="32">
        <v>0.107</v>
      </c>
      <c r="HI104" s="32">
        <f t="shared" si="1"/>
        <v>62.962962962962955</v>
      </c>
      <c r="HJ104" s="32">
        <v>12.853744163861771</v>
      </c>
      <c r="HK104" s="32">
        <v>8.9502627455745944</v>
      </c>
      <c r="HL104" s="32">
        <v>18.598053413466793</v>
      </c>
      <c r="HM104" s="32">
        <v>86.8878504108241</v>
      </c>
      <c r="HN104" s="32">
        <v>12.853744163861771</v>
      </c>
      <c r="HO104" s="32">
        <v>33.482636581392221</v>
      </c>
      <c r="HP104" s="32">
        <v>18.598053413466793</v>
      </c>
      <c r="HQ104" s="32">
        <v>24.185997740519582</v>
      </c>
      <c r="HR104" s="32" t="s">
        <v>34</v>
      </c>
      <c r="HS104" s="32" t="s">
        <v>34</v>
      </c>
      <c r="HT104" s="32" t="s">
        <v>34</v>
      </c>
      <c r="HU104" s="32" t="s">
        <v>34</v>
      </c>
      <c r="HV104" s="32" t="s">
        <v>34</v>
      </c>
      <c r="HW104" s="17" t="s">
        <v>34</v>
      </c>
      <c r="HX104" s="69"/>
      <c r="HY104" s="32">
        <v>1935.1432900000002</v>
      </c>
      <c r="HZ104" s="32">
        <v>26.150585000000003</v>
      </c>
      <c r="IA104" s="32">
        <v>0.03</v>
      </c>
      <c r="IB104" s="32">
        <v>1935.1432900000002</v>
      </c>
      <c r="IC104" s="32">
        <v>26.150585000000003</v>
      </c>
      <c r="ID104" s="32">
        <v>0.03</v>
      </c>
      <c r="IE104" s="32">
        <v>1136.3777229197533</v>
      </c>
      <c r="IF104" s="32">
        <v>15.356455715131801</v>
      </c>
      <c r="IG104" s="32">
        <v>125.26927015432099</v>
      </c>
      <c r="IH104" s="32">
        <v>1.6928279750583919</v>
      </c>
      <c r="II104" s="32">
        <v>630.82349653703716</v>
      </c>
      <c r="IJ104" s="32">
        <v>8.5246418450950969</v>
      </c>
      <c r="IK104" s="32">
        <v>224.30296408695656</v>
      </c>
      <c r="IL104" s="32">
        <v>3.0311211363102237</v>
      </c>
      <c r="IM104" s="32">
        <v>1044.1412683652175</v>
      </c>
      <c r="IN104" s="32">
        <v>14.110017140070505</v>
      </c>
      <c r="IO104" s="32">
        <v>2E-3</v>
      </c>
      <c r="IP104" s="32">
        <v>-117.04721499999998</v>
      </c>
      <c r="IQ104" s="32">
        <v>0.49671515181138592</v>
      </c>
      <c r="IR104" s="32">
        <v>1362.0626649148935</v>
      </c>
      <c r="IS104" s="32">
        <v>0.49671515181138592</v>
      </c>
      <c r="IT104" s="32">
        <v>0.158</v>
      </c>
      <c r="IU104" s="32">
        <v>64016.241936000006</v>
      </c>
      <c r="IV104" s="32">
        <v>120077.09344749998</v>
      </c>
      <c r="IW104" s="32">
        <v>0.161</v>
      </c>
      <c r="IX104" s="32">
        <v>0.107</v>
      </c>
      <c r="IY104" s="32">
        <f t="shared" si="2"/>
        <v>1.2422360248447204</v>
      </c>
      <c r="IZ104" s="32">
        <v>9.4218358912946787</v>
      </c>
      <c r="JA104" s="32">
        <v>8.8034331955836436</v>
      </c>
      <c r="JB104" s="32">
        <v>16.870424126801474</v>
      </c>
      <c r="JC104" s="32">
        <v>85.469999168058024</v>
      </c>
      <c r="JD104" s="32">
        <v>9.4218358912946787</v>
      </c>
      <c r="JE104" s="32">
        <v>8.8034331955836436</v>
      </c>
      <c r="JF104" s="32">
        <v>16.870424126801474</v>
      </c>
      <c r="JG104" s="32">
        <v>0.23573811472803949</v>
      </c>
      <c r="JH104" s="32">
        <v>8.2088689486317836</v>
      </c>
      <c r="JI104" s="69"/>
      <c r="JJ104" s="32">
        <v>-5.3047189645577042</v>
      </c>
      <c r="JK104" s="32">
        <v>-40.924072551901318</v>
      </c>
      <c r="JL104" s="32">
        <v>-13.390112855606612</v>
      </c>
      <c r="JM104" s="32">
        <v>1.0548639259723822</v>
      </c>
      <c r="JN104" s="32">
        <v>-89.908256880733944</v>
      </c>
      <c r="JO104" s="32">
        <v>61.888871499116405</v>
      </c>
      <c r="JP104" s="32">
        <v>-0.61919504643962908</v>
      </c>
      <c r="JR104" s="32">
        <v>-5.1335795114198595</v>
      </c>
      <c r="JS104" s="32">
        <v>-37.403867559053374</v>
      </c>
      <c r="JU104" s="69"/>
      <c r="JV104" s="32">
        <v>1515.9857480000001</v>
      </c>
      <c r="JW104" s="32">
        <v>20.486293891891894</v>
      </c>
      <c r="JX104" s="32">
        <v>0.58399999999999996</v>
      </c>
      <c r="JY104" s="32">
        <v>605.09336403830923</v>
      </c>
      <c r="JZ104" s="32">
        <v>8.1769373518690429</v>
      </c>
      <c r="KA104" s="32">
        <v>246.51256498018492</v>
      </c>
      <c r="KB104" s="32">
        <v>3.3312508781106072</v>
      </c>
      <c r="KC104" s="32">
        <v>425.80296450924709</v>
      </c>
      <c r="KD104" s="32">
        <v>5.7540941149898259</v>
      </c>
      <c r="KE104" s="32">
        <v>0.38900000000000001</v>
      </c>
      <c r="KF104" s="32">
        <v>28.382898024390538</v>
      </c>
      <c r="KG104" s="32">
        <v>71.082553765864191</v>
      </c>
      <c r="KH104" s="32">
        <v>73.255868685364163</v>
      </c>
      <c r="KI104" s="32">
        <v>99.999959524313539</v>
      </c>
      <c r="KJ104" s="32">
        <v>2.3395882394568734</v>
      </c>
      <c r="KK104" s="32">
        <v>0.6479711781898555</v>
      </c>
      <c r="KM104" s="69"/>
      <c r="LH104" s="69"/>
      <c r="LN104" s="69"/>
      <c r="LO104" s="32">
        <v>1976.8912480000001</v>
      </c>
      <c r="LP104" s="32">
        <v>26.714746594594597</v>
      </c>
      <c r="LQ104" s="32">
        <v>0.04</v>
      </c>
      <c r="LR104" s="32">
        <v>1976.8912480000001</v>
      </c>
      <c r="LS104" s="32">
        <v>26.714746594594597</v>
      </c>
      <c r="LT104" s="32">
        <v>0.04</v>
      </c>
      <c r="LU104" s="32">
        <v>1209.1969359397592</v>
      </c>
      <c r="LV104" s="32">
        <v>16.340499134321071</v>
      </c>
      <c r="LW104" s="32">
        <v>120.07310915060242</v>
      </c>
      <c r="LX104" s="32">
        <v>1.6226095831162488</v>
      </c>
      <c r="LY104" s="32">
        <v>664.63502254518085</v>
      </c>
      <c r="LZ104" s="32">
        <v>8.9815543587186593</v>
      </c>
      <c r="MA104" s="32">
        <v>231.28430993220334</v>
      </c>
      <c r="MB104" s="32">
        <v>3.1254636477324778</v>
      </c>
      <c r="MC104" s="32">
        <v>1159.6619639576272</v>
      </c>
      <c r="MD104" s="32">
        <v>15.671107621049016</v>
      </c>
      <c r="ME104" s="32">
        <v>0.106</v>
      </c>
      <c r="MF104" s="32">
        <v>-153.32109277083336</v>
      </c>
      <c r="MG104" s="32">
        <v>-2.0719066590653155</v>
      </c>
      <c r="MH104" s="32">
        <v>1330.9704087291668</v>
      </c>
      <c r="MI104" s="32">
        <v>17.9860866044482</v>
      </c>
      <c r="MJ104" s="32">
        <v>5.8999999999999997E-2</v>
      </c>
      <c r="MK104" s="32">
        <v>62909.278837500002</v>
      </c>
      <c r="ML104" s="32">
        <v>136366.24897499999</v>
      </c>
      <c r="MM104" s="32">
        <v>0.16500000000000001</v>
      </c>
      <c r="MN104" s="32">
        <v>0.107</v>
      </c>
      <c r="MO104" s="32">
        <f t="shared" si="3"/>
        <v>64.242424242424235</v>
      </c>
      <c r="MP104" s="32">
        <v>11.022630890741501</v>
      </c>
      <c r="MQ104" s="32">
        <v>8.6323514798388068</v>
      </c>
      <c r="MR104" s="32">
        <v>16.627598545837571</v>
      </c>
      <c r="MS104" s="32">
        <v>86.932145200670504</v>
      </c>
      <c r="MT104" s="32">
        <v>11.022630890741501</v>
      </c>
      <c r="MU104" s="32">
        <v>30.074626901995043</v>
      </c>
      <c r="MV104" s="32">
        <v>16.627598545837571</v>
      </c>
      <c r="MW104" s="32">
        <v>23.419267438674815</v>
      </c>
      <c r="MX104" s="32" t="s">
        <v>34</v>
      </c>
      <c r="MY104" s="32" t="s">
        <v>34</v>
      </c>
      <c r="MZ104" s="32" t="s">
        <v>34</v>
      </c>
      <c r="NA104" s="32" t="s">
        <v>34</v>
      </c>
      <c r="NB104" s="17" t="s">
        <v>34</v>
      </c>
      <c r="NC104" s="69"/>
      <c r="ND104" s="32">
        <v>2.2001120000000003</v>
      </c>
      <c r="NE104" s="32">
        <v>2.9731243243243246E-2</v>
      </c>
      <c r="NF104" s="32">
        <v>2E-3</v>
      </c>
      <c r="NG104" s="32">
        <v>1979.2356869999999</v>
      </c>
      <c r="NH104" s="32">
        <v>26.746428202702702</v>
      </c>
      <c r="NI104" s="32">
        <v>3.4000000000000002E-2</v>
      </c>
      <c r="NJ104" s="32">
        <v>1167.1626713231708</v>
      </c>
      <c r="NK104" s="32">
        <v>15.7724685313942</v>
      </c>
      <c r="NL104" s="32">
        <v>113.05827382317074</v>
      </c>
      <c r="NM104" s="32">
        <v>1.527814511123929</v>
      </c>
      <c r="NN104" s="32">
        <v>640.1104725731708</v>
      </c>
      <c r="NO104" s="32">
        <v>8.650141521259064</v>
      </c>
      <c r="NP104" s="32">
        <v>215.48679875213676</v>
      </c>
      <c r="NQ104" s="32">
        <v>2.9119837669207671</v>
      </c>
      <c r="NR104" s="32">
        <v>1051.3971617435895</v>
      </c>
      <c r="NS104" s="32">
        <v>14.208069753291751</v>
      </c>
      <c r="NT104" s="32">
        <v>9.6000000000000002E-2</v>
      </c>
      <c r="NU104" s="32">
        <v>-141.92337334042551</v>
      </c>
      <c r="NV104" s="32">
        <v>0.29108004399079929</v>
      </c>
      <c r="NW104" s="32">
        <v>1455.3448972978724</v>
      </c>
      <c r="NX104" s="32">
        <v>0.29108004399079929</v>
      </c>
      <c r="NY104" s="32">
        <v>5.8999999999999997E-2</v>
      </c>
      <c r="NZ104" s="32">
        <v>67425.252901999993</v>
      </c>
      <c r="OA104" s="32">
        <v>123018.63458099999</v>
      </c>
      <c r="OB104" s="32">
        <v>0.16300000000000001</v>
      </c>
      <c r="OC104" s="32">
        <v>0.107</v>
      </c>
      <c r="OD104" s="32">
        <f t="shared" si="4"/>
        <v>58.895705521472394</v>
      </c>
      <c r="OE104" s="32">
        <v>8.3035393407569025</v>
      </c>
      <c r="OF104" s="32">
        <v>10.423530043881069</v>
      </c>
      <c r="OG104" s="32">
        <v>15.826379179030278</v>
      </c>
      <c r="OH104" s="32">
        <v>85.721998317018588</v>
      </c>
      <c r="OI104" s="32">
        <v>8.3035393407569025</v>
      </c>
      <c r="OJ104" s="32">
        <v>10.423530043881069</v>
      </c>
      <c r="OK104" s="32">
        <v>15.826379179030278</v>
      </c>
      <c r="OL104" s="32">
        <v>0.24221376680781412</v>
      </c>
      <c r="OM104" s="32">
        <v>8.1714417519894127</v>
      </c>
      <c r="ON104" s="69"/>
      <c r="OO104" s="32">
        <v>-3.5377023315930805</v>
      </c>
      <c r="OP104" s="32">
        <v>-7.7208691363669937</v>
      </c>
      <c r="OQ104" s="32">
        <v>-7.0718588883633871</v>
      </c>
      <c r="OR104" s="32">
        <v>0.11852193008562999</v>
      </c>
      <c r="OS104" s="32">
        <v>-16.21621621621621</v>
      </c>
      <c r="OT104" s="32">
        <v>-199.55532886566692</v>
      </c>
      <c r="OU104" s="32">
        <v>-1.2195121951219523</v>
      </c>
      <c r="OW104" s="32">
        <v>3.8830214786462416</v>
      </c>
      <c r="OX104" s="32">
        <v>-5.5870218328283379</v>
      </c>
      <c r="OY104" s="32">
        <v>-4.9375726673612617</v>
      </c>
    </row>
    <row r="105" spans="1:415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9"/>
      <c r="K105" s="32">
        <v>1097.441358</v>
      </c>
      <c r="L105" s="32">
        <v>16.1388435</v>
      </c>
      <c r="M105" s="32">
        <v>0.47099999999999997</v>
      </c>
      <c r="N105" s="32">
        <v>577.00430673070343</v>
      </c>
      <c r="O105" s="32">
        <v>8.4853574519221091</v>
      </c>
      <c r="P105" s="32">
        <v>236.00959836192109</v>
      </c>
      <c r="Q105" s="32">
        <v>3.47072938767531</v>
      </c>
      <c r="R105" s="32">
        <v>406.50695254631228</v>
      </c>
      <c r="S105" s="32">
        <v>5.97804341979871</v>
      </c>
      <c r="T105" s="32">
        <v>0.58199999999999996</v>
      </c>
      <c r="U105" s="32">
        <v>7.3999999999999996E-2</v>
      </c>
      <c r="V105" s="32">
        <v>30.107467895575581</v>
      </c>
      <c r="W105" s="32">
        <v>69.71735954654369</v>
      </c>
      <c r="X105" s="32">
        <v>54.410079128271015</v>
      </c>
      <c r="Y105" s="32">
        <v>86.516849382196057</v>
      </c>
      <c r="Z105" s="32">
        <v>1.2572059832213325</v>
      </c>
      <c r="AA105" s="32">
        <v>0.87292088380619348</v>
      </c>
      <c r="AB105" s="69"/>
      <c r="AC105" s="32">
        <v>1164.707132</v>
      </c>
      <c r="AD105" s="32">
        <v>17.128046058823529</v>
      </c>
      <c r="AE105" s="32">
        <v>0.1</v>
      </c>
      <c r="AF105" s="32">
        <v>1164.707132</v>
      </c>
      <c r="AG105" s="32">
        <v>17.128046058823529</v>
      </c>
      <c r="AH105" s="32">
        <v>0.1</v>
      </c>
      <c r="AI105" s="32">
        <v>687.44045077142846</v>
      </c>
      <c r="AJ105" s="32">
        <v>10.109418393697478</v>
      </c>
      <c r="AK105" s="32">
        <v>229.59642791428564</v>
      </c>
      <c r="AL105" s="32">
        <v>3.3764180575630243</v>
      </c>
      <c r="AM105" s="32">
        <v>458.51843934285705</v>
      </c>
      <c r="AN105" s="32">
        <v>6.7429182256302509</v>
      </c>
      <c r="AO105" s="32">
        <v>0.20899999999999999</v>
      </c>
      <c r="AP105" s="32">
        <v>7.3999999999999996E-2</v>
      </c>
      <c r="AQ105" s="32">
        <v>29.328793316504164</v>
      </c>
      <c r="AR105" s="32">
        <v>70.671206683495825</v>
      </c>
      <c r="AS105" s="32">
        <v>80.094756712875537</v>
      </c>
      <c r="AT105" s="32">
        <v>98.470910562171937</v>
      </c>
      <c r="AU105" s="32">
        <v>0.24377491492277553</v>
      </c>
      <c r="AV105" s="32">
        <v>4.7777973068679476</v>
      </c>
      <c r="AW105" s="69"/>
      <c r="AX105" s="32">
        <v>17.467927070042652</v>
      </c>
      <c r="AY105" s="32">
        <v>5.9470697257367009</v>
      </c>
      <c r="AZ105" s="32">
        <v>-129.94746059544659</v>
      </c>
      <c r="BA105" s="32">
        <v>-94.310998735777503</v>
      </c>
      <c r="BB105" s="32">
        <v>-2.6202004069299045</v>
      </c>
      <c r="BC105" s="69"/>
      <c r="BD105" s="32">
        <v>2070.6124829999999</v>
      </c>
      <c r="BE105" s="32">
        <v>30.450183573529412</v>
      </c>
      <c r="BF105" s="32">
        <v>3.5000000000000003E-2</v>
      </c>
      <c r="BG105" s="32">
        <v>2070.6124829999999</v>
      </c>
      <c r="BH105" s="32">
        <v>30.450183573529412</v>
      </c>
      <c r="BI105" s="32">
        <v>3.5000000000000003E-2</v>
      </c>
      <c r="BJ105" s="32">
        <v>1208.7368225541402</v>
      </c>
      <c r="BK105" s="32">
        <v>17.775541508149121</v>
      </c>
      <c r="BL105" s="32">
        <v>92.973420579617823</v>
      </c>
      <c r="BM105" s="32">
        <v>1.3672561849943798</v>
      </c>
      <c r="BN105" s="32">
        <v>650.85512156687901</v>
      </c>
      <c r="BO105" s="32">
        <v>9.5713988465717499</v>
      </c>
      <c r="BP105" s="32">
        <v>188.0614775137615</v>
      </c>
      <c r="BQ105" s="32">
        <v>2.7656099634376692</v>
      </c>
      <c r="BR105" s="32">
        <v>1089.6677004954129</v>
      </c>
      <c r="BS105" s="32">
        <v>16.024525007285483</v>
      </c>
      <c r="BT105" s="32">
        <v>0.1</v>
      </c>
      <c r="BU105" s="32">
        <v>-122.95570870833336</v>
      </c>
      <c r="BV105" s="32">
        <v>-1.8081721868872553</v>
      </c>
      <c r="BW105" s="32">
        <v>1479.1229538958335</v>
      </c>
      <c r="BX105" s="32">
        <v>21.751808145526962</v>
      </c>
      <c r="BY105" s="32">
        <v>5.6000000000000001E-2</v>
      </c>
      <c r="BZ105" s="32">
        <v>70000.962280000007</v>
      </c>
      <c r="CA105" s="32">
        <v>117996.12975599998</v>
      </c>
      <c r="CB105" s="32">
        <v>0.156</v>
      </c>
      <c r="CC105" s="32">
        <v>0.11600000000000001</v>
      </c>
      <c r="CD105" s="32">
        <f t="shared" si="0"/>
        <v>64.102564102564102</v>
      </c>
      <c r="CE105" s="32">
        <v>9.3751886490797567</v>
      </c>
      <c r="CF105" s="32">
        <v>7.0890840810962326</v>
      </c>
      <c r="CG105" s="32">
        <v>14.339406017320522</v>
      </c>
      <c r="CH105" s="32">
        <v>92.164372501122145</v>
      </c>
      <c r="CI105" s="32">
        <v>9.3751886490797567</v>
      </c>
      <c r="CJ105" s="32">
        <v>27.619121249888266</v>
      </c>
      <c r="CK105" s="32">
        <v>14.339406017320522</v>
      </c>
      <c r="CL105" s="32">
        <v>19.925822967843558</v>
      </c>
      <c r="CM105" s="32" t="s">
        <v>34</v>
      </c>
      <c r="CN105" s="32" t="s">
        <v>34</v>
      </c>
      <c r="CO105" s="32" t="s">
        <v>34</v>
      </c>
      <c r="CP105" s="32" t="s">
        <v>34</v>
      </c>
      <c r="CQ105" s="17" t="s">
        <v>34</v>
      </c>
      <c r="CR105" s="69"/>
      <c r="CS105" s="32">
        <v>1889.2474580000001</v>
      </c>
      <c r="CT105" s="32">
        <v>27.783050852941177</v>
      </c>
      <c r="CU105" s="32">
        <v>3.5000000000000003E-2</v>
      </c>
      <c r="CV105" s="32">
        <v>1914.8553499999998</v>
      </c>
      <c r="CW105" s="32">
        <v>28.159637499999999</v>
      </c>
      <c r="CX105" s="32">
        <v>5.8000000000000003E-2</v>
      </c>
      <c r="CY105" s="32">
        <v>1155.7849136645964</v>
      </c>
      <c r="CZ105" s="32">
        <v>16.996836965655831</v>
      </c>
      <c r="DA105" s="32">
        <v>85.286339732919245</v>
      </c>
      <c r="DB105" s="32">
        <v>1.254210878425283</v>
      </c>
      <c r="DC105" s="32">
        <v>620.53562669875782</v>
      </c>
      <c r="DD105" s="32">
        <v>9.1255239220405571</v>
      </c>
      <c r="DE105" s="32">
        <v>191.87309252727275</v>
      </c>
      <c r="DF105" s="32">
        <v>2.82166312540107</v>
      </c>
      <c r="DG105" s="32">
        <v>1048.0118087090909</v>
      </c>
      <c r="DH105" s="32">
        <v>15.411938363368984</v>
      </c>
      <c r="DI105" s="32">
        <v>0.10199999999999999</v>
      </c>
      <c r="DJ105" s="32">
        <v>-144.60665649019606</v>
      </c>
      <c r="DK105" s="32">
        <v>2.4736552768166165E-2</v>
      </c>
      <c r="DL105" s="32">
        <v>1388.2367086666666</v>
      </c>
      <c r="DM105" s="32">
        <v>2.4736552768166165E-2</v>
      </c>
      <c r="DN105" s="32">
        <v>0.159</v>
      </c>
      <c r="DO105" s="32">
        <v>70783.418011999995</v>
      </c>
      <c r="DP105" s="32">
        <v>115281.12763700001</v>
      </c>
      <c r="DQ105" s="32">
        <v>0.16</v>
      </c>
      <c r="DR105" s="32">
        <v>0.11600000000000001</v>
      </c>
      <c r="DS105" s="32">
        <f t="shared" si="5"/>
        <v>63.749999999999993</v>
      </c>
      <c r="DT105" s="32">
        <v>6.3995853179400504</v>
      </c>
      <c r="DU105" s="32">
        <v>10.850772100773598</v>
      </c>
      <c r="DV105" s="32">
        <v>14.397478302980019</v>
      </c>
      <c r="DW105" s="32">
        <v>86.726012481569811</v>
      </c>
      <c r="DX105" s="32">
        <v>6.3995853179400504</v>
      </c>
      <c r="DY105" s="32">
        <v>10.850772100773598</v>
      </c>
      <c r="DZ105" s="32">
        <v>14.397478302980019</v>
      </c>
      <c r="EA105" s="32">
        <v>0.26308119328724516</v>
      </c>
      <c r="EB105" s="32">
        <v>7.278571782625546</v>
      </c>
      <c r="EC105" s="69"/>
      <c r="ED105" s="32">
        <v>4.4788684390969236</v>
      </c>
      <c r="EE105" s="32">
        <v>-16.183851391654315</v>
      </c>
      <c r="EF105" s="32">
        <v>-2.0064586452870428</v>
      </c>
      <c r="EG105" s="32">
        <v>7.8162534250216877</v>
      </c>
      <c r="EH105" s="32">
        <v>-49.462365591397848</v>
      </c>
      <c r="EI105" s="32">
        <v>9.1601737284778295</v>
      </c>
      <c r="EJ105" s="32">
        <v>-2.5316455696202556</v>
      </c>
      <c r="EL105" s="32">
        <v>10.223377010121464</v>
      </c>
      <c r="EM105" s="32">
        <v>-14.590985021114905</v>
      </c>
      <c r="EN105" s="32">
        <v>-0.40416549694270909</v>
      </c>
      <c r="EO105" s="69"/>
      <c r="EP105" s="32">
        <v>1108.6403340000004</v>
      </c>
      <c r="EQ105" s="32">
        <v>16.303534323529419</v>
      </c>
      <c r="ER105" s="32">
        <v>0.372</v>
      </c>
      <c r="ES105" s="32">
        <v>575.71234743058358</v>
      </c>
      <c r="ET105" s="32">
        <v>8.4663580504497578</v>
      </c>
      <c r="EU105" s="32">
        <v>203.81331843058345</v>
      </c>
      <c r="EV105" s="32">
        <v>2.9972546828026978</v>
      </c>
      <c r="EW105" s="32">
        <v>389.7628329305835</v>
      </c>
      <c r="EX105" s="32">
        <v>5.7318063666262278</v>
      </c>
      <c r="EY105" s="32">
        <v>0.496</v>
      </c>
      <c r="EZ105" s="32">
        <v>6.6000000000000003E-2</v>
      </c>
      <c r="FA105" s="32">
        <v>28.433401038365449</v>
      </c>
      <c r="FB105" s="32">
        <v>71.347100365740673</v>
      </c>
      <c r="FC105" s="32">
        <v>75.964415469875078</v>
      </c>
      <c r="FD105" s="32">
        <v>96.946600429390926</v>
      </c>
      <c r="FE105" s="32">
        <v>0.87692329446340977</v>
      </c>
      <c r="FF105" s="32">
        <v>1.2642386637458167</v>
      </c>
      <c r="FG105" s="69"/>
      <c r="FH105" s="32">
        <v>1400.1371719999997</v>
      </c>
      <c r="FI105" s="32">
        <v>20.59025252941176</v>
      </c>
      <c r="FJ105" s="32">
        <v>0.123</v>
      </c>
      <c r="FK105" s="32">
        <v>1400.1371719999997</v>
      </c>
      <c r="FL105" s="32">
        <v>20.59025252941176</v>
      </c>
      <c r="FM105" s="32">
        <v>0.123</v>
      </c>
      <c r="FN105" s="32">
        <v>871.48544494537828</v>
      </c>
      <c r="FO105" s="32">
        <v>12.815962425667328</v>
      </c>
      <c r="FP105" s="32">
        <v>260.77577260504205</v>
      </c>
      <c r="FQ105" s="32">
        <v>3.8349378324270891</v>
      </c>
      <c r="FR105" s="32">
        <v>566.13060877521013</v>
      </c>
      <c r="FS105" s="32">
        <v>8.3254501290472085</v>
      </c>
      <c r="FT105" s="32">
        <v>0.23699999999999999</v>
      </c>
      <c r="FU105" s="32">
        <v>6.6000000000000003E-2</v>
      </c>
      <c r="FV105" s="32">
        <v>26.519590446507763</v>
      </c>
      <c r="FW105" s="32">
        <v>73.480409553492237</v>
      </c>
      <c r="FX105" s="32">
        <v>87.281805718691828</v>
      </c>
      <c r="FY105" s="32">
        <v>99.662789006360313</v>
      </c>
      <c r="FZ105" s="32">
        <v>0.3850816890151208</v>
      </c>
      <c r="GA105" s="32">
        <v>3.6359484544200731</v>
      </c>
      <c r="GB105" s="69"/>
      <c r="GC105" s="32">
        <v>40.875283126186105</v>
      </c>
      <c r="GD105" s="32">
        <v>23.238157812149907</v>
      </c>
      <c r="GE105" s="32">
        <v>-100.60606060606061</v>
      </c>
      <c r="GF105" s="32">
        <v>-70.668485675306954</v>
      </c>
      <c r="GG105" s="32">
        <v>-6.9652644565655608</v>
      </c>
      <c r="GH105" s="69"/>
      <c r="GI105" s="32">
        <v>1936.3334359999999</v>
      </c>
      <c r="GJ105" s="32">
        <v>28.475491705882352</v>
      </c>
      <c r="GK105" s="32">
        <v>3.3000000000000002E-2</v>
      </c>
      <c r="GL105" s="32">
        <v>1936.3334359999999</v>
      </c>
      <c r="GM105" s="32">
        <v>28.475491705882352</v>
      </c>
      <c r="GN105" s="32">
        <v>3.3000000000000002E-2</v>
      </c>
      <c r="GO105" s="32">
        <v>1183.0229348479531</v>
      </c>
      <c r="GP105" s="32">
        <v>17.397396100705194</v>
      </c>
      <c r="GQ105" s="32">
        <v>76.068928614035102</v>
      </c>
      <c r="GR105" s="32">
        <v>1.1186607149122809</v>
      </c>
      <c r="GS105" s="32">
        <v>629.54593173099408</v>
      </c>
      <c r="GT105" s="32">
        <v>9.2580284078087374</v>
      </c>
      <c r="GU105" s="32">
        <v>174.88516177586209</v>
      </c>
      <c r="GV105" s="32">
        <v>2.5718406143509132</v>
      </c>
      <c r="GW105" s="32">
        <v>1050.5150273965517</v>
      </c>
      <c r="GX105" s="32">
        <v>15.448750402890466</v>
      </c>
      <c r="GY105" s="32">
        <v>0.108</v>
      </c>
      <c r="GZ105" s="32">
        <v>-132.3434904181818</v>
      </c>
      <c r="HA105" s="32">
        <v>-1.9462278002673794</v>
      </c>
      <c r="HB105" s="32">
        <v>1462.4941578363635</v>
      </c>
      <c r="HC105" s="32">
        <v>21.507267027005344</v>
      </c>
      <c r="HD105" s="32">
        <v>6.2E-2</v>
      </c>
      <c r="HE105" s="32">
        <v>79472.979370500005</v>
      </c>
      <c r="HF105" s="32">
        <v>121092.77851650002</v>
      </c>
      <c r="HG105" s="32">
        <v>0.17</v>
      </c>
      <c r="HH105" s="32">
        <v>10.411174749029978</v>
      </c>
      <c r="HI105" s="32">
        <f t="shared" si="1"/>
        <v>63.529411764705877</v>
      </c>
      <c r="HJ105" s="32">
        <v>5.9841772819330394</v>
      </c>
      <c r="HK105" s="32">
        <v>13.757835572475848</v>
      </c>
      <c r="HL105" s="32">
        <v>93.065843041421289</v>
      </c>
      <c r="HM105" s="32">
        <v>10.411174749029978</v>
      </c>
      <c r="HN105" s="32">
        <v>27.68114250259941</v>
      </c>
      <c r="HO105" s="32">
        <v>13.757835572475848</v>
      </c>
      <c r="HQ105" s="32">
        <v>19.6069950567605</v>
      </c>
      <c r="HR105" s="32" t="s">
        <v>34</v>
      </c>
      <c r="HS105" s="32" t="s">
        <v>34</v>
      </c>
      <c r="HT105" s="32" t="s">
        <v>34</v>
      </c>
      <c r="HU105" s="32" t="s">
        <v>34</v>
      </c>
      <c r="HV105" s="32" t="s">
        <v>34</v>
      </c>
      <c r="HW105" s="17" t="s">
        <v>34</v>
      </c>
      <c r="HX105" s="69"/>
      <c r="JI105" s="69"/>
      <c r="JU105" s="69"/>
      <c r="JV105" s="32">
        <v>1088.0999270000004</v>
      </c>
      <c r="JW105" s="32">
        <v>16.001469514705889</v>
      </c>
      <c r="JX105" s="32">
        <v>0.44</v>
      </c>
      <c r="JY105" s="32">
        <v>526.47503376274176</v>
      </c>
      <c r="JZ105" s="32">
        <v>7.7422799082756137</v>
      </c>
      <c r="KA105" s="32">
        <v>182.69393153778563</v>
      </c>
      <c r="KB105" s="32">
        <v>2.6866754637909653</v>
      </c>
      <c r="KC105" s="32">
        <v>354.58448265026368</v>
      </c>
      <c r="KD105" s="32">
        <v>5.2144776860332893</v>
      </c>
      <c r="KE105" s="32">
        <v>0.56799999999999995</v>
      </c>
      <c r="KF105" s="32">
        <v>7.5999999999999998E-2</v>
      </c>
      <c r="KG105" s="32">
        <v>28.931064536590405</v>
      </c>
      <c r="KH105" s="32">
        <v>71.068935463409602</v>
      </c>
      <c r="KI105" s="32">
        <v>65.476178426024987</v>
      </c>
      <c r="KJ105" s="32">
        <v>81.749895476401576</v>
      </c>
      <c r="KK105" s="32">
        <v>0.99606249019694004</v>
      </c>
      <c r="KL105" s="32">
        <v>1.0924012677004462</v>
      </c>
      <c r="KM105" s="69"/>
      <c r="KN105" s="32">
        <v>1492.7583219999997</v>
      </c>
      <c r="KO105" s="32">
        <v>21.952328264705876</v>
      </c>
      <c r="KP105" s="32">
        <v>0.113</v>
      </c>
      <c r="KQ105" s="32">
        <v>1492.7583219999997</v>
      </c>
      <c r="KR105" s="32">
        <v>21.952328264705876</v>
      </c>
      <c r="KS105" s="32">
        <v>0.113</v>
      </c>
      <c r="KT105" s="32">
        <v>892.84187048178126</v>
      </c>
      <c r="KU105" s="32">
        <v>13.130027507085018</v>
      </c>
      <c r="KV105" s="32">
        <v>237.89594898785427</v>
      </c>
      <c r="KW105" s="32">
        <v>3.4984698380566805</v>
      </c>
      <c r="KX105" s="32">
        <v>565.36890973481775</v>
      </c>
      <c r="KY105" s="32">
        <v>8.3142486725708498</v>
      </c>
      <c r="KZ105" s="32">
        <v>0.246</v>
      </c>
      <c r="LA105" s="32">
        <v>7.5999999999999998E-2</v>
      </c>
      <c r="LB105" s="32">
        <v>24.807932575952606</v>
      </c>
      <c r="LC105" s="32">
        <v>75.192067424047366</v>
      </c>
      <c r="LD105" s="32">
        <v>54.314713239349722</v>
      </c>
      <c r="LE105" s="32">
        <v>98.706433553642952</v>
      </c>
      <c r="LF105" s="32">
        <v>0.44422757823081427</v>
      </c>
      <c r="LG105" s="32">
        <v>3.3603459018575021</v>
      </c>
      <c r="LH105" s="69"/>
      <c r="LI105" s="32">
        <v>51.625797681040098</v>
      </c>
      <c r="LJ105" s="32">
        <v>31.358436299769</v>
      </c>
      <c r="LK105" s="32">
        <v>-118.26401446654612</v>
      </c>
      <c r="LL105" s="32">
        <v>-79.115479115479104</v>
      </c>
      <c r="LM105" s="32">
        <v>-15.345027567235473</v>
      </c>
      <c r="LN105" s="69"/>
      <c r="LO105" s="32">
        <v>1879.2388109999999</v>
      </c>
      <c r="LP105" s="32">
        <v>27.635864867647058</v>
      </c>
      <c r="LQ105" s="32">
        <v>3.4000000000000002E-2</v>
      </c>
      <c r="LR105" s="32">
        <v>1879.2388109999999</v>
      </c>
      <c r="LS105" s="32">
        <v>27.635864867647058</v>
      </c>
      <c r="LT105" s="32">
        <v>3.4000000000000002E-2</v>
      </c>
      <c r="LU105" s="32">
        <v>1170.5128484772727</v>
      </c>
      <c r="LV105" s="32">
        <v>17.213424242312833</v>
      </c>
      <c r="LW105" s="32">
        <v>84.280848170454547</v>
      </c>
      <c r="LX105" s="32">
        <v>1.2394242378008022</v>
      </c>
      <c r="LY105" s="32">
        <v>627.39684832386365</v>
      </c>
      <c r="LZ105" s="32">
        <v>9.2264242400568186</v>
      </c>
      <c r="MA105" s="32">
        <v>182.28592655371901</v>
      </c>
      <c r="MB105" s="32">
        <v>2.6806753904958676</v>
      </c>
      <c r="MC105" s="32">
        <v>1024.6573347851238</v>
      </c>
      <c r="MD105" s="32">
        <v>15.068490217428291</v>
      </c>
      <c r="ME105" s="32">
        <v>0.113</v>
      </c>
      <c r="MF105" s="32">
        <v>-131.3303242727273</v>
      </c>
      <c r="MG105" s="32">
        <v>-1.9313282981283426</v>
      </c>
      <c r="MH105" s="32">
        <v>1491.3949786000001</v>
      </c>
      <c r="MI105" s="32">
        <v>21.932279097058824</v>
      </c>
      <c r="MJ105" s="32">
        <v>6.2E-2</v>
      </c>
      <c r="MK105" s="32">
        <v>81090.50381899999</v>
      </c>
      <c r="ML105" s="32">
        <v>123140.61487399999</v>
      </c>
      <c r="MM105" s="32">
        <v>0.17499999999999999</v>
      </c>
      <c r="MN105" s="32">
        <v>0.11600000000000001</v>
      </c>
      <c r="MO105" s="32">
        <f t="shared" si="3"/>
        <v>64.571428571428584</v>
      </c>
      <c r="MP105" s="32">
        <v>10.378392495539405</v>
      </c>
      <c r="MQ105" s="32">
        <v>6.6603027671925581</v>
      </c>
      <c r="MR105" s="32">
        <v>14.40516425025254</v>
      </c>
      <c r="MS105" s="32">
        <v>92.499899241410034</v>
      </c>
      <c r="MT105" s="32">
        <v>10.378392495539405</v>
      </c>
      <c r="MU105" s="32">
        <v>29.851900853702574</v>
      </c>
      <c r="MV105" s="32">
        <v>14.40516425025254</v>
      </c>
      <c r="MW105" s="32">
        <v>19.686968266140717</v>
      </c>
      <c r="MX105" s="32" t="s">
        <v>34</v>
      </c>
      <c r="MY105" s="32" t="s">
        <v>34</v>
      </c>
      <c r="MZ105" s="32" t="s">
        <v>34</v>
      </c>
      <c r="NA105" s="32" t="s">
        <v>34</v>
      </c>
      <c r="NB105" s="17" t="s">
        <v>34</v>
      </c>
      <c r="NC105" s="69"/>
      <c r="ND105" s="32">
        <v>1729.5228509999999</v>
      </c>
      <c r="NE105" s="32">
        <v>25.43415957352941</v>
      </c>
      <c r="NF105" s="32">
        <v>0.03</v>
      </c>
      <c r="NG105" s="32">
        <v>1849.2847749999999</v>
      </c>
      <c r="NH105" s="32">
        <v>27.195364338235294</v>
      </c>
      <c r="NI105" s="32">
        <v>6.0999999999999999E-2</v>
      </c>
      <c r="NJ105" s="32">
        <v>1082.2963567552085</v>
      </c>
      <c r="NK105" s="32">
        <v>15.916122893458949</v>
      </c>
      <c r="NL105" s="32">
        <v>40.248233458333338</v>
      </c>
      <c r="NM105" s="32">
        <v>0.59188578615196086</v>
      </c>
      <c r="NN105" s="32">
        <v>561.27229510677091</v>
      </c>
      <c r="NO105" s="32">
        <v>8.254004339805455</v>
      </c>
      <c r="NP105" s="32">
        <v>166.97949323684207</v>
      </c>
      <c r="NQ105" s="32">
        <v>2.4555807828947365</v>
      </c>
      <c r="NR105" s="32">
        <v>823.31539776315788</v>
      </c>
      <c r="NS105" s="32">
        <v>12.107579378869969</v>
      </c>
      <c r="NT105" s="32">
        <v>7.0000000000000001E-3</v>
      </c>
      <c r="NU105" s="32">
        <v>-144.97437698717951</v>
      </c>
      <c r="NV105" s="32">
        <v>0.35652276602564098</v>
      </c>
      <c r="NW105" s="32">
        <v>1460.806989128205</v>
      </c>
      <c r="NX105" s="32">
        <v>0.35652276602564098</v>
      </c>
      <c r="NY105" s="32">
        <v>0.183</v>
      </c>
      <c r="NZ105" s="32">
        <v>113922.51295700001</v>
      </c>
      <c r="OA105" s="32">
        <v>93859.154587499972</v>
      </c>
      <c r="OB105" s="32">
        <v>0.191</v>
      </c>
      <c r="OC105" s="32">
        <v>0.11600000000000001</v>
      </c>
      <c r="OD105" s="32">
        <f t="shared" si="4"/>
        <v>3.664921465968586</v>
      </c>
      <c r="OE105" s="32">
        <v>3.2449452928722406</v>
      </c>
      <c r="OF105" s="32">
        <v>11.688312300181991</v>
      </c>
      <c r="OG105" s="32">
        <v>13.462437330225132</v>
      </c>
      <c r="OH105" s="32">
        <v>87.258300963229885</v>
      </c>
      <c r="OI105" s="32">
        <v>3.2449452928722406</v>
      </c>
      <c r="OJ105" s="32">
        <v>11.688312300181991</v>
      </c>
      <c r="OK105" s="32">
        <v>13.462437330225132</v>
      </c>
      <c r="OL105" s="32">
        <v>0.37035652435669514</v>
      </c>
      <c r="OM105" s="32">
        <v>4.9932555615489296</v>
      </c>
      <c r="ON105" s="69"/>
      <c r="OO105" s="32">
        <v>-7.8316877893758896</v>
      </c>
      <c r="OP105" s="32">
        <v>9.8760916135248102</v>
      </c>
      <c r="OQ105" s="32">
        <v>-8.7649291625008416</v>
      </c>
      <c r="OR105" s="32">
        <v>-1.6067505171469278</v>
      </c>
      <c r="OS105" s="32">
        <v>56.842105263157883</v>
      </c>
      <c r="OT105" s="32">
        <v>-8.2973592618486425</v>
      </c>
      <c r="OU105" s="32">
        <v>8.7431693989071118</v>
      </c>
      <c r="OW105" s="32">
        <v>68.960564210200587</v>
      </c>
      <c r="OX105" s="32">
        <v>11.872364422046122</v>
      </c>
      <c r="OY105" s="32">
        <v>-6.765755691640317</v>
      </c>
    </row>
    <row r="106" spans="1:415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9"/>
      <c r="AB106" s="69"/>
      <c r="AW106" s="69"/>
      <c r="BC106" s="69"/>
      <c r="CL106" s="32">
        <v>24.038868057236485</v>
      </c>
      <c r="CM106" s="32" t="s">
        <v>34</v>
      </c>
      <c r="CN106" s="32" t="s">
        <v>34</v>
      </c>
      <c r="CO106" s="32" t="s">
        <v>34</v>
      </c>
      <c r="CP106" s="32" t="s">
        <v>34</v>
      </c>
      <c r="CQ106" s="17" t="s">
        <v>34</v>
      </c>
      <c r="CR106" s="69"/>
      <c r="EC106" s="69"/>
      <c r="EO106" s="69"/>
      <c r="FG106" s="69"/>
      <c r="GB106" s="69"/>
      <c r="GH106" s="69"/>
      <c r="HQ106" s="32">
        <v>23.237374391096594</v>
      </c>
      <c r="HR106" s="32" t="s">
        <v>34</v>
      </c>
      <c r="HS106" s="32" t="s">
        <v>34</v>
      </c>
      <c r="HT106" s="32" t="s">
        <v>34</v>
      </c>
      <c r="HU106" s="32" t="s">
        <v>34</v>
      </c>
      <c r="HV106" s="32" t="s">
        <v>34</v>
      </c>
      <c r="HW106" s="17" t="s">
        <v>34</v>
      </c>
      <c r="HX106" s="69"/>
      <c r="JI106" s="69"/>
      <c r="JU106" s="69"/>
      <c r="KM106" s="69"/>
      <c r="LH106" s="69"/>
      <c r="LN106" s="69"/>
      <c r="MW106" s="32">
        <v>22.956751887486384</v>
      </c>
      <c r="MX106" s="32" t="s">
        <v>34</v>
      </c>
      <c r="MY106" s="32" t="s">
        <v>34</v>
      </c>
      <c r="MZ106" s="32" t="s">
        <v>34</v>
      </c>
      <c r="NA106" s="32" t="s">
        <v>34</v>
      </c>
      <c r="NB106" s="17" t="s">
        <v>34</v>
      </c>
      <c r="NC106" s="69"/>
      <c r="ON106" s="69"/>
    </row>
    <row r="107" spans="1:415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9"/>
      <c r="K107" s="32">
        <v>1375.2687620000002</v>
      </c>
      <c r="L107" s="32">
        <v>17.408465341772153</v>
      </c>
      <c r="M107" s="32">
        <v>0.27600000000000002</v>
      </c>
      <c r="N107" s="32">
        <v>692.10057020159149</v>
      </c>
      <c r="O107" s="32">
        <v>8.7607667114125505</v>
      </c>
      <c r="P107" s="32">
        <v>376.9017520079575</v>
      </c>
      <c r="Q107" s="32">
        <v>4.7709082532652847</v>
      </c>
      <c r="R107" s="32">
        <v>534.5011611047745</v>
      </c>
      <c r="S107" s="32">
        <v>6.7658374823389176</v>
      </c>
      <c r="T107" s="32">
        <v>0.376</v>
      </c>
      <c r="U107" s="32">
        <v>2.8000000000000001E-2</v>
      </c>
      <c r="V107" s="32">
        <v>36.154664938762643</v>
      </c>
      <c r="W107" s="32">
        <v>63.845335061237357</v>
      </c>
      <c r="X107" s="32">
        <v>69.565185944186609</v>
      </c>
      <c r="Y107" s="32">
        <v>76.484228551126748</v>
      </c>
      <c r="Z107" s="32">
        <v>0.53372285515166307</v>
      </c>
      <c r="AA107" s="32">
        <v>2.5767469927987303</v>
      </c>
      <c r="AB107" s="69"/>
      <c r="AC107" s="32">
        <v>1463.165041</v>
      </c>
      <c r="AD107" s="32">
        <v>18.52107646835443</v>
      </c>
      <c r="AE107" s="32">
        <v>0.1</v>
      </c>
      <c r="AF107" s="32">
        <v>1463.165041</v>
      </c>
      <c r="AG107" s="32">
        <v>18.52107646835443</v>
      </c>
      <c r="AH107" s="32">
        <v>0.1</v>
      </c>
      <c r="AI107" s="32">
        <v>899.87263512707193</v>
      </c>
      <c r="AJ107" s="32">
        <v>11.390792849709772</v>
      </c>
      <c r="AK107" s="32">
        <v>395.73331355248621</v>
      </c>
      <c r="AL107" s="32">
        <v>5.0092824500314714</v>
      </c>
      <c r="AM107" s="32">
        <v>647.8029743397791</v>
      </c>
      <c r="AN107" s="32">
        <v>8.2000376498706213</v>
      </c>
      <c r="AO107" s="32">
        <v>0.18</v>
      </c>
      <c r="AP107" s="32">
        <v>2.8000000000000001E-2</v>
      </c>
      <c r="AQ107" s="32">
        <v>32.073328470111051</v>
      </c>
      <c r="AR107" s="32">
        <v>67.926671529888949</v>
      </c>
      <c r="AS107" s="32">
        <v>75.776384252126888</v>
      </c>
      <c r="AT107" s="32">
        <v>98.466669955323738</v>
      </c>
      <c r="AU107" s="32">
        <v>0.19640480379631575</v>
      </c>
      <c r="AV107" s="32">
        <v>7.4497416189341017</v>
      </c>
      <c r="AW107" s="69"/>
      <c r="AX107" s="32">
        <v>26.102457532579614</v>
      </c>
      <c r="AY107" s="32">
        <v>6.1932942672188034</v>
      </c>
      <c r="AZ107" s="32">
        <v>-93.617021276595764</v>
      </c>
      <c r="BA107" s="32">
        <v>-70.503597122302153</v>
      </c>
      <c r="BB107" s="32">
        <v>-11.963817971878905</v>
      </c>
      <c r="BC107" s="69"/>
      <c r="BD107" s="32">
        <v>1305.3339659999999</v>
      </c>
      <c r="BE107" s="32">
        <v>16.523214759493669</v>
      </c>
      <c r="BF107" s="32">
        <v>1.9E-2</v>
      </c>
      <c r="BG107" s="32">
        <v>2130.4844600000001</v>
      </c>
      <c r="BH107" s="32">
        <v>26.968157721518988</v>
      </c>
      <c r="BI107" s="32">
        <v>4.4999999999999998E-2</v>
      </c>
      <c r="BJ107" s="32">
        <v>1307.5845395797103</v>
      </c>
      <c r="BK107" s="32">
        <v>16.551703032654562</v>
      </c>
      <c r="BL107" s="32">
        <v>165.49077761594205</v>
      </c>
      <c r="BM107" s="32">
        <v>2.0948199698220513</v>
      </c>
      <c r="BN107" s="32">
        <v>736.53765859782618</v>
      </c>
      <c r="BO107" s="32">
        <v>9.3232615012383064</v>
      </c>
      <c r="BP107" s="32">
        <v>306.40890238317763</v>
      </c>
      <c r="BQ107" s="32">
        <v>3.8785937010528815</v>
      </c>
      <c r="BR107" s="32">
        <v>1302.9675232523368</v>
      </c>
      <c r="BS107" s="32">
        <v>16.493259788004263</v>
      </c>
      <c r="BT107" s="32">
        <v>9.0999999999999998E-2</v>
      </c>
      <c r="BU107" s="32">
        <v>-320.9040401290323</v>
      </c>
      <c r="BV107" s="32">
        <v>-4.0620764573295229</v>
      </c>
      <c r="BW107" s="32">
        <v>1323.5206927096774</v>
      </c>
      <c r="BX107" s="32">
        <v>16.753426489995917</v>
      </c>
      <c r="BY107" s="32">
        <v>4.5999999999999999E-2</v>
      </c>
      <c r="BZ107" s="32">
        <v>39956.027551500003</v>
      </c>
      <c r="CA107" s="32">
        <v>138779.64564649999</v>
      </c>
      <c r="CB107" s="32">
        <v>0.13700000000000001</v>
      </c>
      <c r="CC107" s="32">
        <v>0.09</v>
      </c>
      <c r="CD107" s="32">
        <f t="shared" si="0"/>
        <v>66.423357664233578</v>
      </c>
      <c r="CE107" s="32">
        <v>19.418900988086261</v>
      </c>
      <c r="CF107" s="32">
        <v>10.014361376295559</v>
      </c>
      <c r="CG107" s="32">
        <v>18.541755145415525</v>
      </c>
      <c r="CH107" s="32">
        <v>79.126005074417066</v>
      </c>
      <c r="CI107" s="32">
        <v>19.418900988086261</v>
      </c>
      <c r="CJ107" s="32">
        <v>35.85277552229595</v>
      </c>
      <c r="CK107" s="32">
        <v>18.541755145415525</v>
      </c>
      <c r="CL107" s="32">
        <v>24.051433396380798</v>
      </c>
      <c r="CM107" s="32" t="s">
        <v>34</v>
      </c>
      <c r="CN107" s="32" t="s">
        <v>34</v>
      </c>
      <c r="CO107" s="32" t="s">
        <v>34</v>
      </c>
      <c r="CP107" s="32" t="s">
        <v>34</v>
      </c>
      <c r="CQ107" s="17" t="s">
        <v>34</v>
      </c>
      <c r="CR107" s="69"/>
      <c r="CS107" s="32">
        <v>1242.12582</v>
      </c>
      <c r="CT107" s="32">
        <v>15.72311164556962</v>
      </c>
      <c r="CU107" s="32">
        <v>2.1999999999999999E-2</v>
      </c>
      <c r="CV107" s="32">
        <v>1967.3875010000002</v>
      </c>
      <c r="CW107" s="32">
        <v>24.90363925316456</v>
      </c>
      <c r="CX107" s="32">
        <v>4.5999999999999999E-2</v>
      </c>
      <c r="CY107" s="32">
        <v>1187.1077609076924</v>
      </c>
      <c r="CZ107" s="32">
        <v>15.026680517818891</v>
      </c>
      <c r="DA107" s="32">
        <v>173.45487573076923</v>
      </c>
      <c r="DB107" s="32">
        <v>2.1956313383641675</v>
      </c>
      <c r="DC107" s="32">
        <v>680.28131831923088</v>
      </c>
      <c r="DD107" s="32">
        <v>8.6111559280915309</v>
      </c>
      <c r="DE107" s="32">
        <v>306.09210251456312</v>
      </c>
      <c r="DF107" s="32">
        <v>3.8745835761337104</v>
      </c>
      <c r="DG107" s="32">
        <v>1202.5469176893203</v>
      </c>
      <c r="DH107" s="32">
        <v>15.222112882143294</v>
      </c>
      <c r="DI107" s="32">
        <v>8.3000000000000004E-2</v>
      </c>
      <c r="DJ107" s="32">
        <v>-332.53158200000007</v>
      </c>
      <c r="DK107" s="32">
        <v>-1.1235516802625412</v>
      </c>
      <c r="DL107" s="32">
        <v>1128.2102368888889</v>
      </c>
      <c r="DM107" s="32">
        <v>-1.1235516802625412</v>
      </c>
      <c r="DN107" s="32">
        <v>4.4999999999999998E-2</v>
      </c>
      <c r="DO107" s="32">
        <v>29453.195299999999</v>
      </c>
      <c r="DP107" s="32">
        <v>123867.15653849998</v>
      </c>
      <c r="DQ107" s="32">
        <v>0.129</v>
      </c>
      <c r="DR107" s="32">
        <v>0.09</v>
      </c>
      <c r="DS107" s="32">
        <f t="shared" si="5"/>
        <v>64.341085271317837</v>
      </c>
      <c r="DT107" s="32">
        <v>11.573757334602101</v>
      </c>
      <c r="DU107" s="32">
        <v>22.188132907448903</v>
      </c>
      <c r="DV107" s="32">
        <v>20.423961572809645</v>
      </c>
      <c r="DW107" s="32">
        <v>79.2096336115345</v>
      </c>
      <c r="DX107" s="32">
        <v>11.573757334602101</v>
      </c>
      <c r="DY107" s="32">
        <v>22.188132907448903</v>
      </c>
      <c r="DZ107" s="32">
        <v>20.423961572809645</v>
      </c>
      <c r="EA107" s="32">
        <v>0.14373230455000455</v>
      </c>
      <c r="EB107" s="32">
        <v>13.687858878764064</v>
      </c>
      <c r="EC107" s="69"/>
      <c r="ED107" s="32">
        <v>-9.6586483750705145</v>
      </c>
      <c r="EE107" s="32">
        <v>3.5588943966913735</v>
      </c>
      <c r="EF107" s="32">
        <v>-0.10344468534134096</v>
      </c>
      <c r="EG107" s="32">
        <v>-7.9600807712986494</v>
      </c>
      <c r="EH107" s="32">
        <v>2.1978021978021998</v>
      </c>
      <c r="EI107" s="32">
        <v>-4.9624450479941702</v>
      </c>
      <c r="EJ107" s="32">
        <v>-6.0150375939849674</v>
      </c>
      <c r="EL107" s="32">
        <v>-14.446798066932626</v>
      </c>
      <c r="EM107" s="32">
        <v>13.311364257858369</v>
      </c>
      <c r="EN107" s="32">
        <v>9.6608330908168245</v>
      </c>
      <c r="EO107" s="69"/>
      <c r="EP107" s="32">
        <v>1332.1862230000004</v>
      </c>
      <c r="EQ107" s="32">
        <v>16.863116746835448</v>
      </c>
      <c r="ER107" s="32">
        <v>0.33800000000000002</v>
      </c>
      <c r="ES107" s="32">
        <v>608.70348626984139</v>
      </c>
      <c r="ET107" s="32">
        <v>7.7051074211372326</v>
      </c>
      <c r="EU107" s="32">
        <v>291.39264244671199</v>
      </c>
      <c r="EV107" s="32">
        <v>3.6885144613507848</v>
      </c>
      <c r="EW107" s="32">
        <v>450.04806435827669</v>
      </c>
      <c r="EX107" s="32">
        <v>5.6968109412440091</v>
      </c>
      <c r="EY107" s="32">
        <v>0.44</v>
      </c>
      <c r="EZ107" s="32">
        <v>4.4999999999999998E-2</v>
      </c>
      <c r="FA107" s="32">
        <v>35.297304196526525</v>
      </c>
      <c r="FB107" s="32">
        <v>64.702695803473461</v>
      </c>
      <c r="FC107" s="32">
        <v>89.77272047015488</v>
      </c>
      <c r="FD107" s="32">
        <v>75.409334402576931</v>
      </c>
      <c r="FE107" s="32">
        <v>0.56511152102964168</v>
      </c>
      <c r="FF107" s="32">
        <v>2.3573864156454234</v>
      </c>
      <c r="FG107" s="69"/>
      <c r="FH107" s="32">
        <v>690.24023800000009</v>
      </c>
      <c r="FI107" s="32">
        <v>8.7372182025316469</v>
      </c>
      <c r="FJ107" s="32">
        <v>1.9E-2</v>
      </c>
      <c r="FK107" s="32">
        <v>1601.3753720000002</v>
      </c>
      <c r="FL107" s="32">
        <v>20.270574329113927</v>
      </c>
      <c r="FM107" s="32">
        <v>9.2999999999999999E-2</v>
      </c>
      <c r="FN107" s="32">
        <v>961.16630857142832</v>
      </c>
      <c r="FO107" s="32">
        <v>12.166662133815548</v>
      </c>
      <c r="FP107" s="32">
        <v>366.15530147428575</v>
      </c>
      <c r="FQ107" s="32">
        <v>4.6348772338517188</v>
      </c>
      <c r="FR107" s="32">
        <v>663.66080502285706</v>
      </c>
      <c r="FS107" s="32">
        <v>8.4007696838336336</v>
      </c>
      <c r="FT107" s="32">
        <v>0.17399999999999999</v>
      </c>
      <c r="FU107" s="32">
        <v>4.4999999999999998E-2</v>
      </c>
      <c r="FV107" s="32">
        <v>30.036472198497421</v>
      </c>
      <c r="FW107" s="32">
        <v>69.963527801502579</v>
      </c>
      <c r="FX107" s="32">
        <v>73.818180516670751</v>
      </c>
      <c r="FY107" s="32">
        <v>99.387990038121487</v>
      </c>
      <c r="FZ107" s="32">
        <v>0.19902907610055906</v>
      </c>
      <c r="GA107" s="32">
        <v>8.0459368217682332</v>
      </c>
      <c r="GB107" s="69"/>
      <c r="GC107" s="32">
        <v>44.903446573698126</v>
      </c>
      <c r="GD107" s="32">
        <v>18.352377496270009</v>
      </c>
      <c r="GE107" s="32">
        <v>-113.6890951276102</v>
      </c>
      <c r="GF107" s="32">
        <v>-86.644951140065146</v>
      </c>
      <c r="GG107" s="32">
        <v>-16.104478535637774</v>
      </c>
      <c r="GH107" s="69"/>
      <c r="GI107" s="32">
        <v>904.58888100000001</v>
      </c>
      <c r="GJ107" s="32">
        <v>11.450492164556962</v>
      </c>
      <c r="GK107" s="32">
        <v>1.2999999999999999E-2</v>
      </c>
      <c r="GL107" s="32">
        <v>1907.3352319999999</v>
      </c>
      <c r="GM107" s="32">
        <v>24.143483949367088</v>
      </c>
      <c r="GN107" s="32">
        <v>7.2999999999999995E-2</v>
      </c>
      <c r="GO107" s="32">
        <v>1130.3526592953024</v>
      </c>
      <c r="GP107" s="32">
        <v>14.308261510067119</v>
      </c>
      <c r="GQ107" s="32">
        <v>119.21879575167786</v>
      </c>
      <c r="GR107" s="32">
        <v>1.5090986804009856</v>
      </c>
      <c r="GS107" s="32">
        <v>624.7857275234901</v>
      </c>
      <c r="GT107" s="32">
        <v>7.9086800952340521</v>
      </c>
      <c r="GU107" s="32">
        <v>241.52083769724766</v>
      </c>
      <c r="GV107" s="32">
        <v>3.0572257936360461</v>
      </c>
      <c r="GW107" s="32">
        <v>1147.1159760458718</v>
      </c>
      <c r="GX107" s="32">
        <v>14.520455392985719</v>
      </c>
      <c r="GY107" s="32">
        <v>9.5000000000000001E-2</v>
      </c>
      <c r="GZ107" s="32">
        <v>-214.05426855000002</v>
      </c>
      <c r="HA107" s="32">
        <v>-2.7095477031645574</v>
      </c>
      <c r="HB107" s="32">
        <v>1084.6726211500004</v>
      </c>
      <c r="HC107" s="32">
        <v>13.73003317911393</v>
      </c>
      <c r="HD107" s="32">
        <v>5.2999999999999999E-2</v>
      </c>
      <c r="HE107" s="32">
        <v>42457.068787000004</v>
      </c>
      <c r="HF107" s="32">
        <v>124573.23904299999</v>
      </c>
      <c r="HG107" s="32">
        <v>0.14799999999999999</v>
      </c>
      <c r="HH107" s="32">
        <v>8.3000000000000004E-2</v>
      </c>
      <c r="HI107" s="32">
        <f t="shared" si="1"/>
        <v>64.189189189189193</v>
      </c>
      <c r="HJ107" s="32">
        <v>15.858091393258272</v>
      </c>
      <c r="HK107" s="32">
        <v>8.8322581541170511</v>
      </c>
      <c r="HL107" s="32">
        <v>17.892936887098816</v>
      </c>
      <c r="HM107" s="32">
        <v>83.741547875418092</v>
      </c>
      <c r="HN107" s="32">
        <v>15.858091393258272</v>
      </c>
      <c r="HO107" s="32">
        <v>38.413170301120545</v>
      </c>
      <c r="HP107" s="32">
        <v>17.892936887098816</v>
      </c>
      <c r="HQ107" s="32">
        <v>23.539312747479521</v>
      </c>
      <c r="HR107" s="32" t="s">
        <v>34</v>
      </c>
      <c r="HS107" s="32" t="s">
        <v>34</v>
      </c>
      <c r="HT107" s="32" t="s">
        <v>34</v>
      </c>
      <c r="HU107" s="32" t="s">
        <v>34</v>
      </c>
      <c r="HV107" s="32" t="s">
        <v>34</v>
      </c>
      <c r="HW107" s="17" t="s">
        <v>34</v>
      </c>
      <c r="HX107" s="69"/>
      <c r="HY107" s="32">
        <v>302.24498400000004</v>
      </c>
      <c r="HZ107" s="32">
        <v>3.8258858734177221</v>
      </c>
      <c r="IA107" s="32">
        <v>0.01</v>
      </c>
      <c r="IB107" s="32">
        <v>834.38368800000001</v>
      </c>
      <c r="IC107" s="32">
        <v>10.561818835443038</v>
      </c>
      <c r="ID107" s="32">
        <v>5.5E-2</v>
      </c>
      <c r="IE107" s="32">
        <v>500.66723513008128</v>
      </c>
      <c r="IF107" s="32">
        <v>6.3375599383554588</v>
      </c>
      <c r="IG107" s="32">
        <v>201.37818035772358</v>
      </c>
      <c r="IH107" s="32">
        <v>2.5490908906040959</v>
      </c>
      <c r="II107" s="32">
        <v>351.0227077439024</v>
      </c>
      <c r="IJ107" s="32">
        <v>4.4433254144797774</v>
      </c>
      <c r="IK107" s="32">
        <v>252.02704099029128</v>
      </c>
      <c r="IL107" s="32">
        <v>3.1902157087378642</v>
      </c>
      <c r="IM107" s="32">
        <v>563.83740591262131</v>
      </c>
      <c r="IN107" s="32">
        <v>7.1371823533243202</v>
      </c>
      <c r="IO107" s="32">
        <v>0.10299999999999999</v>
      </c>
      <c r="IP107" s="32">
        <v>-59.46345190000001</v>
      </c>
      <c r="IQ107" s="32">
        <v>0.3714601784810127</v>
      </c>
      <c r="IR107" s="32">
        <v>175.34085560000003</v>
      </c>
      <c r="IS107" s="32">
        <v>0.3714601784810127</v>
      </c>
      <c r="IT107" s="32">
        <v>1.9E-2</v>
      </c>
      <c r="IU107" s="32">
        <v>3356.1725170000004</v>
      </c>
      <c r="IV107" s="32">
        <v>57891.020430500001</v>
      </c>
      <c r="IW107" s="32">
        <v>0.122</v>
      </c>
      <c r="IX107" s="32">
        <v>8.3000000000000004E-2</v>
      </c>
      <c r="IY107" s="32">
        <f t="shared" si="2"/>
        <v>84.426229508196712</v>
      </c>
      <c r="IZ107" s="32">
        <v>27.915565781777591</v>
      </c>
      <c r="JA107" s="32">
        <v>8.2429779640341891</v>
      </c>
      <c r="JB107" s="32">
        <v>34.936642237275031</v>
      </c>
      <c r="JC107" s="32">
        <v>69.403790977886075</v>
      </c>
      <c r="JD107" s="32">
        <v>27.915565781777591</v>
      </c>
      <c r="JE107" s="32">
        <v>8.2429779640341891</v>
      </c>
      <c r="JF107" s="32">
        <v>34.936642237275031</v>
      </c>
      <c r="JG107" s="32">
        <v>5.0271315316344919E-2</v>
      </c>
      <c r="JH107" s="32">
        <v>16.597610043608974</v>
      </c>
      <c r="JI107" s="69"/>
      <c r="JJ107" s="32">
        <v>-77.213702459106102</v>
      </c>
      <c r="JK107" s="32">
        <v>-113.03897706931917</v>
      </c>
      <c r="JL107" s="32">
        <v>4.2574200991328812</v>
      </c>
      <c r="JM107" s="32">
        <v>-78.268529729517283</v>
      </c>
      <c r="JN107" s="32">
        <v>-28.124999999999993</v>
      </c>
      <c r="JO107" s="32">
        <v>-99.822173452184316</v>
      </c>
      <c r="JP107" s="32">
        <v>-19.259259259259252</v>
      </c>
      <c r="JR107" s="32">
        <v>-103.86088526466619</v>
      </c>
      <c r="JS107" s="32">
        <v>-63.193158082173774</v>
      </c>
      <c r="JU107" s="69"/>
      <c r="JV107" s="32">
        <v>1539.91653</v>
      </c>
      <c r="JW107" s="32">
        <v>19.492614303797467</v>
      </c>
      <c r="JX107" s="32">
        <v>0.13700000000000001</v>
      </c>
      <c r="JY107" s="32">
        <v>907.17727309328382</v>
      </c>
      <c r="JZ107" s="32">
        <v>11.483256621433972</v>
      </c>
      <c r="KA107" s="32">
        <v>434.10610665858206</v>
      </c>
      <c r="KB107" s="32">
        <v>5.495014008336482</v>
      </c>
      <c r="KC107" s="32">
        <v>670.64168987593291</v>
      </c>
      <c r="KD107" s="32">
        <v>8.4891353148852264</v>
      </c>
      <c r="KE107" s="32">
        <v>0.53500000000000003</v>
      </c>
      <c r="KF107" s="32">
        <v>5.1999999999999998E-2</v>
      </c>
      <c r="KG107" s="32">
        <v>32.327949723329695</v>
      </c>
      <c r="KH107" s="32">
        <v>67.672050276670319</v>
      </c>
      <c r="KI107" s="32">
        <v>96.540360993417053</v>
      </c>
      <c r="KJ107" s="32">
        <v>82.166600318254652</v>
      </c>
      <c r="KK107" s="32">
        <v>1.742030714537756</v>
      </c>
      <c r="KL107" s="32">
        <v>0.88397782952329484</v>
      </c>
      <c r="KM107" s="69"/>
      <c r="KN107" s="32">
        <v>624.32703100000003</v>
      </c>
      <c r="KO107" s="32">
        <v>7.9028738101265823</v>
      </c>
      <c r="KP107" s="32">
        <v>0.02</v>
      </c>
      <c r="KQ107" s="32">
        <v>1689.8847760000001</v>
      </c>
      <c r="KR107" s="32">
        <v>21.390946531645572</v>
      </c>
      <c r="KS107" s="32">
        <v>9.5000000000000001E-2</v>
      </c>
      <c r="KT107" s="32">
        <v>996.93990962365569</v>
      </c>
      <c r="KU107" s="32">
        <v>12.619492526881718</v>
      </c>
      <c r="KV107" s="32">
        <v>346.05815703763443</v>
      </c>
      <c r="KW107" s="32">
        <v>4.3804830004763851</v>
      </c>
      <c r="KX107" s="32">
        <v>671.49903333064503</v>
      </c>
      <c r="KY107" s="32">
        <v>8.4999877636790515</v>
      </c>
      <c r="KZ107" s="32">
        <v>0.185</v>
      </c>
      <c r="LA107" s="32">
        <v>5.1999999999999998E-2</v>
      </c>
      <c r="LB107" s="32">
        <v>29.277788398612316</v>
      </c>
      <c r="LC107" s="32">
        <v>70.72221160138767</v>
      </c>
      <c r="LD107" s="32">
        <v>81.164378228748419</v>
      </c>
      <c r="LE107" s="32">
        <v>99.429385322969409</v>
      </c>
      <c r="LF107" s="32">
        <v>0.23089029496099958</v>
      </c>
      <c r="LG107" s="32">
        <v>7.3189944007193715</v>
      </c>
      <c r="LH107" s="69"/>
      <c r="LI107" s="32">
        <v>9.4282681071436691</v>
      </c>
      <c r="LJ107" s="32">
        <v>9.2865307671654094</v>
      </c>
      <c r="LK107" s="32">
        <v>-36.206896551724142</v>
      </c>
      <c r="LL107" s="32">
        <v>-97.222222222222229</v>
      </c>
      <c r="LM107" s="32">
        <v>-9.9021987811586936</v>
      </c>
      <c r="LN107" s="69"/>
      <c r="LO107" s="32">
        <v>1027.8132309999999</v>
      </c>
      <c r="LP107" s="32">
        <v>13.010294063291138</v>
      </c>
      <c r="LQ107" s="32">
        <v>1.2999999999999999E-2</v>
      </c>
      <c r="LR107" s="32">
        <v>1925.4230849999999</v>
      </c>
      <c r="LS107" s="32">
        <v>24.37244411392405</v>
      </c>
      <c r="LT107" s="32">
        <v>4.2999999999999997E-2</v>
      </c>
      <c r="LU107" s="32">
        <v>1237.1458281</v>
      </c>
      <c r="LV107" s="32">
        <v>15.660073773417722</v>
      </c>
      <c r="LW107" s="32">
        <v>90.53124973125</v>
      </c>
      <c r="LX107" s="32">
        <v>1.145965186471519</v>
      </c>
      <c r="LY107" s="32">
        <v>663.83853891562501</v>
      </c>
      <c r="LZ107" s="32">
        <v>8.4030194799446196</v>
      </c>
      <c r="MA107" s="32">
        <v>257.39566406862753</v>
      </c>
      <c r="MB107" s="32">
        <v>3.2581729628940193</v>
      </c>
      <c r="MC107" s="32">
        <v>1125.5851128823529</v>
      </c>
      <c r="MD107" s="32">
        <v>14.247912821295605</v>
      </c>
      <c r="ME107" s="32">
        <v>8.8999999999999996E-2</v>
      </c>
      <c r="MF107" s="32">
        <v>-202.9199616896552</v>
      </c>
      <c r="MG107" s="32">
        <v>-2.5686071099956354</v>
      </c>
      <c r="MH107" s="32">
        <v>1433.3388100344825</v>
      </c>
      <c r="MI107" s="32">
        <v>18.143529240942819</v>
      </c>
      <c r="MJ107" s="32">
        <v>7.0000000000000007E-2</v>
      </c>
      <c r="MK107" s="32">
        <v>82172.634572499999</v>
      </c>
      <c r="ML107" s="32">
        <v>114188.483339</v>
      </c>
      <c r="MM107" s="32">
        <v>0.159</v>
      </c>
      <c r="MN107" s="32">
        <v>8.4000000000000005E-2</v>
      </c>
      <c r="MO107" s="32">
        <f t="shared" si="3"/>
        <v>55.974842767295598</v>
      </c>
      <c r="MP107" s="32">
        <v>13.837056139781117</v>
      </c>
      <c r="MQ107" s="32">
        <v>6.1733009138435699</v>
      </c>
      <c r="MR107" s="32">
        <v>17.551739238453688</v>
      </c>
      <c r="MS107" s="32">
        <v>84.360632310273061</v>
      </c>
      <c r="MT107" s="32">
        <v>13.837056139781117</v>
      </c>
      <c r="MU107" s="32">
        <v>32.273835070440477</v>
      </c>
      <c r="MV107" s="32">
        <v>17.551739238453688</v>
      </c>
      <c r="MW107" s="32">
        <v>23.234603811005229</v>
      </c>
      <c r="MX107" s="32" t="s">
        <v>34</v>
      </c>
      <c r="MY107" s="32" t="s">
        <v>34</v>
      </c>
      <c r="MZ107" s="32" t="s">
        <v>34</v>
      </c>
      <c r="NA107" s="32" t="s">
        <v>34</v>
      </c>
      <c r="NB107" s="17" t="s">
        <v>34</v>
      </c>
      <c r="NC107" s="69"/>
      <c r="ND107" s="32">
        <v>962.92793400000005</v>
      </c>
      <c r="NE107" s="32">
        <v>12.188961189873419</v>
      </c>
      <c r="NF107" s="32">
        <v>2.1000000000000001E-2</v>
      </c>
      <c r="NG107" s="32">
        <v>1930.634834</v>
      </c>
      <c r="NH107" s="32">
        <v>24.438415620253163</v>
      </c>
      <c r="NI107" s="32">
        <v>7.2999999999999995E-2</v>
      </c>
      <c r="NJ107" s="32">
        <v>1159.699558598684</v>
      </c>
      <c r="NK107" s="32">
        <v>14.679741248084607</v>
      </c>
      <c r="NL107" s="32">
        <v>117.41890568421054</v>
      </c>
      <c r="NM107" s="32">
        <v>1.4863152618254498</v>
      </c>
      <c r="NN107" s="32">
        <v>638.5592321414473</v>
      </c>
      <c r="NO107" s="32">
        <v>8.0830282549550283</v>
      </c>
      <c r="NP107" s="32">
        <v>234.88459722123889</v>
      </c>
      <c r="NQ107" s="32">
        <v>2.9732227496359354</v>
      </c>
      <c r="NR107" s="32">
        <v>1170.1467531946903</v>
      </c>
      <c r="NS107" s="32">
        <v>14.811984217654308</v>
      </c>
      <c r="NT107" s="32">
        <v>9.9000000000000005E-2</v>
      </c>
      <c r="NU107" s="32">
        <v>-222.93040569230769</v>
      </c>
      <c r="NV107" s="32">
        <v>0.20260851476793254</v>
      </c>
      <c r="NW107" s="32">
        <v>1129.4294819487181</v>
      </c>
      <c r="NX107" s="32">
        <v>0.20260851476793254</v>
      </c>
      <c r="NY107" s="32">
        <v>5.1999999999999998E-2</v>
      </c>
      <c r="NZ107" s="32">
        <v>43097.517590500007</v>
      </c>
      <c r="OA107" s="32">
        <v>131765.7587145</v>
      </c>
      <c r="OB107" s="32">
        <v>0.151</v>
      </c>
      <c r="OC107" s="32">
        <v>8.4000000000000005E-2</v>
      </c>
      <c r="OD107" s="32">
        <f t="shared" si="4"/>
        <v>65.562913907284766</v>
      </c>
      <c r="OE107" s="32">
        <v>8.4381943516119975</v>
      </c>
      <c r="OF107" s="32">
        <v>16.020674687384346</v>
      </c>
      <c r="OG107" s="32">
        <v>16.879750922593033</v>
      </c>
      <c r="OH107" s="32">
        <v>83.340669953546055</v>
      </c>
      <c r="OI107" s="32">
        <v>8.4381943516119975</v>
      </c>
      <c r="OJ107" s="32">
        <v>16.020674687384346</v>
      </c>
      <c r="OK107" s="32">
        <v>16.879750922593033</v>
      </c>
      <c r="OL107" s="32">
        <v>0.18969086388688167</v>
      </c>
      <c r="OM107" s="32">
        <v>10.177795569275784</v>
      </c>
      <c r="ON107" s="69"/>
      <c r="OO107" s="32">
        <v>6.4623500482012579</v>
      </c>
      <c r="OP107" s="32">
        <v>-9.3978756555606271</v>
      </c>
      <c r="OQ107" s="32">
        <v>9.1456304944689126</v>
      </c>
      <c r="OR107" s="32">
        <v>-0.27031487127411347</v>
      </c>
      <c r="OS107" s="32">
        <v>-51.724137931034484</v>
      </c>
      <c r="OT107" s="32">
        <v>6.5187075186642671</v>
      </c>
      <c r="OU107" s="32">
        <v>5.1612903225806503</v>
      </c>
      <c r="OW107" s="32">
        <v>-31.001528544762678</v>
      </c>
      <c r="OX107" s="32">
        <v>-14.626821845526905</v>
      </c>
      <c r="OY107" s="32">
        <v>3.9033356541791164</v>
      </c>
    </row>
    <row r="108" spans="1:415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9"/>
      <c r="K108" s="32">
        <v>1274.6405880000002</v>
      </c>
      <c r="L108" s="32">
        <v>19.312736181818185</v>
      </c>
      <c r="M108" s="32">
        <v>0.38300000000000001</v>
      </c>
      <c r="N108" s="32">
        <v>430.72846364439664</v>
      </c>
      <c r="O108" s="32">
        <v>6.5261888430969188</v>
      </c>
      <c r="P108" s="32">
        <v>209.12025448706896</v>
      </c>
      <c r="Q108" s="32">
        <v>3.1684887043495298</v>
      </c>
      <c r="R108" s="32">
        <v>319.9243590657328</v>
      </c>
      <c r="S108" s="32">
        <v>4.8473387737232239</v>
      </c>
      <c r="T108" s="32">
        <v>0.46300000000000002</v>
      </c>
      <c r="U108" s="32">
        <v>7.4999999999999997E-2</v>
      </c>
      <c r="V108" s="32">
        <v>32.096737964811965</v>
      </c>
      <c r="W108" s="32">
        <v>67.903262035188021</v>
      </c>
      <c r="X108" s="32">
        <v>95.652802858431002</v>
      </c>
      <c r="Y108" s="32">
        <v>82.824947991884386</v>
      </c>
      <c r="Z108" s="32">
        <v>0.4776988283515774</v>
      </c>
      <c r="AA108" s="32">
        <v>2.6682933102400002</v>
      </c>
      <c r="AB108" s="69"/>
      <c r="AC108" s="32">
        <v>398.83352600000001</v>
      </c>
      <c r="AD108" s="32">
        <v>6.0429322121212126</v>
      </c>
      <c r="AE108" s="32">
        <v>1.6E-2</v>
      </c>
      <c r="AF108" s="32">
        <v>1478.1690580000002</v>
      </c>
      <c r="AG108" s="32">
        <v>22.396500878787883</v>
      </c>
      <c r="AH108" s="32">
        <v>8.8999999999999996E-2</v>
      </c>
      <c r="AI108" s="32">
        <v>864.15532696511639</v>
      </c>
      <c r="AJ108" s="32">
        <v>13.09326252977449</v>
      </c>
      <c r="AK108" s="32">
        <v>302.62608861627905</v>
      </c>
      <c r="AL108" s="32">
        <v>4.5852437669133188</v>
      </c>
      <c r="AM108" s="32">
        <v>583.39070779069766</v>
      </c>
      <c r="AN108" s="32">
        <v>8.8392531483439036</v>
      </c>
      <c r="AO108" s="32">
        <v>0.17100000000000001</v>
      </c>
      <c r="AP108" s="32">
        <v>7.4999999999999997E-2</v>
      </c>
      <c r="AQ108" s="32">
        <v>27.716952648876727</v>
      </c>
      <c r="AR108" s="32">
        <v>72.283047351123273</v>
      </c>
      <c r="AS108" s="32">
        <v>65.476258061960735</v>
      </c>
      <c r="AT108" s="32">
        <v>99.661996043010419</v>
      </c>
      <c r="AU108" s="32">
        <v>0.20231428222568282</v>
      </c>
      <c r="AV108" s="32">
        <v>7.3063010764168075</v>
      </c>
      <c r="AW108" s="69"/>
      <c r="AX108" s="32">
        <v>-66.944519108807739</v>
      </c>
      <c r="AY108" s="32">
        <v>-14.786962861434258</v>
      </c>
      <c r="AZ108" s="32">
        <v>124.57627118644071</v>
      </c>
      <c r="BA108" s="32">
        <v>92.113564668769726</v>
      </c>
      <c r="BB108" s="32">
        <v>14.644758653072978</v>
      </c>
      <c r="BC108" s="69"/>
      <c r="BD108" s="32">
        <v>1245.4801069999999</v>
      </c>
      <c r="BE108" s="32">
        <v>18.870910712121209</v>
      </c>
      <c r="BF108" s="32">
        <v>1.7000000000000001E-2</v>
      </c>
      <c r="BG108" s="32">
        <v>1947.3881529999999</v>
      </c>
      <c r="BH108" s="32">
        <v>29.505881106060603</v>
      </c>
      <c r="BI108" s="32">
        <v>3.9E-2</v>
      </c>
      <c r="BJ108" s="32">
        <v>1164.5968322396693</v>
      </c>
      <c r="BK108" s="32">
        <v>17.645406549085898</v>
      </c>
      <c r="BL108" s="32">
        <v>172.40777640495867</v>
      </c>
      <c r="BM108" s="32">
        <v>2.6122390364387678</v>
      </c>
      <c r="BN108" s="32">
        <v>668.50230432231399</v>
      </c>
      <c r="BO108" s="32">
        <v>10.128822792762334</v>
      </c>
      <c r="BP108" s="32">
        <v>259.38126944230766</v>
      </c>
      <c r="BQ108" s="32">
        <v>3.9300192339743583</v>
      </c>
      <c r="BR108" s="32">
        <v>1229.5662239519233</v>
      </c>
      <c r="BS108" s="32">
        <v>18.62979127199884</v>
      </c>
      <c r="BT108" s="32">
        <v>0.104</v>
      </c>
      <c r="BU108" s="32">
        <v>-359.66535747058828</v>
      </c>
      <c r="BV108" s="32">
        <v>-5.4494751131907311</v>
      </c>
      <c r="BW108" s="32">
        <v>767.13702411764712</v>
      </c>
      <c r="BX108" s="32">
        <v>11.623288244206774</v>
      </c>
      <c r="BY108" s="32">
        <v>1.6E-2</v>
      </c>
      <c r="BZ108" s="32">
        <v>12393.9823595</v>
      </c>
      <c r="CA108" s="32">
        <v>127258.64838500001</v>
      </c>
      <c r="CB108" s="32">
        <v>0.12</v>
      </c>
      <c r="CC108" s="32">
        <v>23.842573618163769</v>
      </c>
      <c r="CD108" s="32">
        <f t="shared" si="0"/>
        <v>86.666666666666671</v>
      </c>
      <c r="CE108" s="32">
        <v>11.429082662250268</v>
      </c>
      <c r="CF108" s="32">
        <v>17.194641861933331</v>
      </c>
      <c r="CG108" s="32">
        <v>77.202280206887295</v>
      </c>
      <c r="CH108" s="32">
        <v>23.842573618163769</v>
      </c>
      <c r="CI108" s="32">
        <v>29.694341303492234</v>
      </c>
      <c r="CJ108" s="32">
        <v>17.194641861933331</v>
      </c>
      <c r="CL108" s="32">
        <v>24.692970306980918</v>
      </c>
      <c r="CM108" s="32" t="s">
        <v>34</v>
      </c>
      <c r="CN108" s="32" t="s">
        <v>34</v>
      </c>
      <c r="CO108" s="32" t="s">
        <v>34</v>
      </c>
      <c r="CP108" s="32" t="s">
        <v>34</v>
      </c>
      <c r="CQ108" s="17" t="s">
        <v>34</v>
      </c>
      <c r="CR108" s="69"/>
      <c r="EC108" s="69"/>
      <c r="EO108" s="69"/>
      <c r="EP108" s="32">
        <v>1107.414006</v>
      </c>
      <c r="EQ108" s="32">
        <v>16.77900009090909</v>
      </c>
      <c r="ER108" s="32">
        <v>0.28899999999999998</v>
      </c>
      <c r="ES108" s="32">
        <v>518.21681660372349</v>
      </c>
      <c r="ET108" s="32">
        <v>7.8517699485412651</v>
      </c>
      <c r="EU108" s="32">
        <v>245.11259507978727</v>
      </c>
      <c r="EV108" s="32">
        <v>3.7138271981785951</v>
      </c>
      <c r="EW108" s="32">
        <v>381.66470584175539</v>
      </c>
      <c r="EX108" s="32">
        <v>5.7827985733599299</v>
      </c>
      <c r="EY108" s="32">
        <v>0.375</v>
      </c>
      <c r="EZ108" s="32">
        <v>6.3E-2</v>
      </c>
      <c r="FA108" s="32">
        <v>33.479663182762955</v>
      </c>
      <c r="FB108" s="32">
        <v>66.470469799160924</v>
      </c>
      <c r="FC108" s="32">
        <v>51.330846875947636</v>
      </c>
      <c r="FD108" s="32">
        <v>90.625000601689692</v>
      </c>
      <c r="FE108" s="32">
        <v>0.43893868350983029</v>
      </c>
      <c r="FF108" s="32">
        <v>2.5229355433996483</v>
      </c>
      <c r="FG108" s="69"/>
      <c r="FH108" s="32">
        <v>528.35162300000002</v>
      </c>
      <c r="FI108" s="32">
        <v>8.0053276212121212</v>
      </c>
      <c r="FJ108" s="32">
        <v>2.7E-2</v>
      </c>
      <c r="FK108" s="32">
        <v>1241.02576</v>
      </c>
      <c r="FL108" s="32">
        <v>18.803420606060605</v>
      </c>
      <c r="FM108" s="32">
        <v>8.7999999999999995E-2</v>
      </c>
      <c r="FN108" s="32">
        <v>791.39562019148946</v>
      </c>
      <c r="FO108" s="32">
        <v>11.990842730174082</v>
      </c>
      <c r="FP108" s="32">
        <v>285.73462811702132</v>
      </c>
      <c r="FQ108" s="32">
        <v>4.3293125472275955</v>
      </c>
      <c r="FR108" s="32">
        <v>538.56512415425539</v>
      </c>
      <c r="FS108" s="32">
        <v>8.1600776387008391</v>
      </c>
      <c r="FT108" s="32">
        <v>0.187</v>
      </c>
      <c r="FU108" s="32">
        <v>6.3E-2</v>
      </c>
      <c r="FV108" s="32">
        <v>29.369120178190933</v>
      </c>
      <c r="FW108" s="32">
        <v>70.630879821809089</v>
      </c>
      <c r="FX108" s="32">
        <v>49.690839016821116</v>
      </c>
      <c r="FY108" s="32">
        <v>97.835319284581672</v>
      </c>
      <c r="FZ108" s="32">
        <v>0.22671617788235823</v>
      </c>
      <c r="GA108" s="32">
        <v>5.4739179691180277</v>
      </c>
      <c r="GB108" s="69"/>
      <c r="GC108" s="32">
        <v>-41.719030136315602</v>
      </c>
      <c r="GD108" s="32">
        <v>-11.378767804428332</v>
      </c>
      <c r="GE108" s="32">
        <v>106.63129973474801</v>
      </c>
      <c r="GF108" s="32">
        <v>66.90391459074732</v>
      </c>
      <c r="GG108" s="32">
        <v>13.080740102682029</v>
      </c>
      <c r="GH108" s="69"/>
      <c r="GI108" s="32">
        <v>1060.742806</v>
      </c>
      <c r="GJ108" s="32">
        <v>16.071860696969697</v>
      </c>
      <c r="GK108" s="32">
        <v>2.1999999999999999E-2</v>
      </c>
      <c r="GL108" s="32">
        <v>1845.5878629999997</v>
      </c>
      <c r="GM108" s="32">
        <v>27.963452469696964</v>
      </c>
      <c r="GN108" s="32">
        <v>4.3999999999999997E-2</v>
      </c>
      <c r="GO108" s="32">
        <v>1091.9842798380282</v>
      </c>
      <c r="GP108" s="32">
        <v>16.545216361182245</v>
      </c>
      <c r="GQ108" s="32">
        <v>141.47927635915494</v>
      </c>
      <c r="GR108" s="32">
        <v>2.1436253993811354</v>
      </c>
      <c r="GS108" s="32">
        <v>616.73177809859158</v>
      </c>
      <c r="GT108" s="32">
        <v>9.3444208802816906</v>
      </c>
      <c r="GU108" s="32">
        <v>212.20638461983472</v>
      </c>
      <c r="GV108" s="32">
        <v>3.2152482518156775</v>
      </c>
      <c r="GW108" s="32">
        <v>1163.1314784132232</v>
      </c>
      <c r="GX108" s="32">
        <v>17.62320421838217</v>
      </c>
      <c r="GY108" s="32">
        <v>0.10199999999999999</v>
      </c>
      <c r="GZ108" s="32">
        <v>-266.0435855238095</v>
      </c>
      <c r="HA108" s="32">
        <v>-4.0309634170274169</v>
      </c>
      <c r="HB108" s="32">
        <v>682.04089757142856</v>
      </c>
      <c r="HC108" s="32">
        <v>10.333952993506493</v>
      </c>
      <c r="HD108" s="32">
        <v>3.9E-2</v>
      </c>
      <c r="HE108" s="32">
        <v>13403.265934999999</v>
      </c>
      <c r="HF108" s="32">
        <v>140213.17215250002</v>
      </c>
      <c r="HG108" s="32">
        <v>0.14099999999999999</v>
      </c>
      <c r="HH108" s="32">
        <v>0.10299999999999999</v>
      </c>
      <c r="HI108" s="32">
        <f t="shared" si="1"/>
        <v>72.340425531914903</v>
      </c>
      <c r="HJ108" s="32">
        <v>21.65440533026392</v>
      </c>
      <c r="HK108" s="32">
        <v>11.515592793119179</v>
      </c>
      <c r="HL108" s="32">
        <v>17.272369326929471</v>
      </c>
      <c r="HM108" s="32">
        <v>88.881189010184897</v>
      </c>
      <c r="HN108" s="32">
        <v>21.65440533026392</v>
      </c>
      <c r="HO108" s="32">
        <v>31.319287942723999</v>
      </c>
      <c r="HP108" s="32">
        <v>17.272369326929471</v>
      </c>
      <c r="HQ108" s="32">
        <v>24.743018466294949</v>
      </c>
      <c r="HR108" s="32" t="s">
        <v>34</v>
      </c>
      <c r="HS108" s="32" t="s">
        <v>34</v>
      </c>
      <c r="HT108" s="32" t="s">
        <v>34</v>
      </c>
      <c r="HU108" s="32" t="s">
        <v>34</v>
      </c>
      <c r="HV108" s="32" t="s">
        <v>34</v>
      </c>
      <c r="HW108" s="17" t="s">
        <v>34</v>
      </c>
      <c r="HX108" s="69"/>
      <c r="HY108" s="32">
        <v>895.31956600000001</v>
      </c>
      <c r="HZ108" s="32">
        <v>13.565447969696971</v>
      </c>
      <c r="IA108" s="32">
        <v>1.2E-2</v>
      </c>
      <c r="IB108" s="32">
        <v>2078.5112100000001</v>
      </c>
      <c r="IC108" s="32">
        <v>31.492594090909094</v>
      </c>
      <c r="ID108" s="32">
        <v>3.6999999999999998E-2</v>
      </c>
      <c r="IE108" s="32">
        <v>1174.344772522727</v>
      </c>
      <c r="IF108" s="32">
        <v>17.793102613980711</v>
      </c>
      <c r="IG108" s="32">
        <v>111.56404143939396</v>
      </c>
      <c r="IH108" s="32">
        <v>1.6903642642332419</v>
      </c>
      <c r="II108" s="32">
        <v>642.95440698106052</v>
      </c>
      <c r="IJ108" s="32">
        <v>9.7417334391069783</v>
      </c>
      <c r="IK108" s="32">
        <v>203.8874628469388</v>
      </c>
      <c r="IL108" s="32">
        <v>3.089203982529376</v>
      </c>
      <c r="IM108" s="32">
        <v>1191.0869409693878</v>
      </c>
      <c r="IN108" s="32">
        <v>18.046771832869513</v>
      </c>
      <c r="IO108" s="32">
        <v>8.3000000000000004E-2</v>
      </c>
      <c r="IP108" s="32">
        <v>-154.5446437941176</v>
      </c>
      <c r="IQ108" s="32">
        <v>1.2035572201426026</v>
      </c>
      <c r="IR108" s="32">
        <v>1126.0879340588235</v>
      </c>
      <c r="IS108" s="32">
        <v>1.2035572201426026</v>
      </c>
      <c r="IT108" s="32">
        <v>0.13100000000000001</v>
      </c>
      <c r="IU108" s="32">
        <v>38295.645937499998</v>
      </c>
      <c r="IV108" s="32">
        <v>115974.6768575</v>
      </c>
      <c r="IW108" s="32">
        <v>0.13100000000000001</v>
      </c>
      <c r="IX108" s="32">
        <v>0.10299999999999999</v>
      </c>
      <c r="IY108" s="32">
        <f t="shared" si="2"/>
        <v>63.358778625954201</v>
      </c>
      <c r="IZ108" s="32">
        <v>8.1700611563141994</v>
      </c>
      <c r="JA108" s="32">
        <v>11.317617889135457</v>
      </c>
      <c r="JB108" s="32">
        <v>14.931092661878367</v>
      </c>
      <c r="JC108" s="32">
        <v>85.999650840191791</v>
      </c>
      <c r="JD108" s="32">
        <v>8.1700611563141994</v>
      </c>
      <c r="JE108" s="32">
        <v>11.317617889135457</v>
      </c>
      <c r="JF108" s="32">
        <v>14.931092661878367</v>
      </c>
      <c r="JG108" s="32">
        <v>0.17973859105384363</v>
      </c>
      <c r="JH108" s="32">
        <v>11.564078686793245</v>
      </c>
      <c r="JI108" s="69"/>
      <c r="JJ108" s="32">
        <v>-7.268184873587245</v>
      </c>
      <c r="JK108" s="32">
        <v>53.020476540920335</v>
      </c>
      <c r="JL108" s="32">
        <v>3.9985795625397764</v>
      </c>
      <c r="JM108" s="32">
        <v>-11.871430494843697</v>
      </c>
      <c r="JN108" s="32">
        <v>17.283950617283953</v>
      </c>
      <c r="JO108" s="32">
        <v>16.913902375297056</v>
      </c>
      <c r="JP108" s="32">
        <v>7.3529411764705728</v>
      </c>
      <c r="JR108" s="32">
        <v>33.989540255037099</v>
      </c>
      <c r="JS108" s="32">
        <v>62.700352795134052</v>
      </c>
      <c r="JU108" s="69"/>
      <c r="JV108" s="32">
        <v>1153.6164029999998</v>
      </c>
      <c r="JW108" s="32">
        <v>17.479036409090906</v>
      </c>
      <c r="JX108" s="32">
        <v>0.28899999999999998</v>
      </c>
      <c r="JY108" s="32">
        <v>518.98794975797864</v>
      </c>
      <c r="JZ108" s="32">
        <v>7.8634537842117975</v>
      </c>
      <c r="KA108" s="32">
        <v>226.6948538537234</v>
      </c>
      <c r="KB108" s="32">
        <v>3.4347705129352031</v>
      </c>
      <c r="KC108" s="32">
        <v>372.84140180585104</v>
      </c>
      <c r="KD108" s="32">
        <v>5.6491121485735007</v>
      </c>
      <c r="KE108" s="32">
        <v>0.375</v>
      </c>
      <c r="KF108" s="32">
        <v>0.09</v>
      </c>
      <c r="KG108" s="32">
        <v>33.382340738960444</v>
      </c>
      <c r="KH108" s="32">
        <v>66.617659261039577</v>
      </c>
      <c r="KI108" s="32">
        <v>92.857126353657165</v>
      </c>
      <c r="KJ108" s="32">
        <v>79.826876898587756</v>
      </c>
      <c r="KK108" s="32">
        <v>0.43183490597742763</v>
      </c>
      <c r="KL108" s="32">
        <v>2.6714292592648827</v>
      </c>
      <c r="KM108" s="69"/>
      <c r="KN108" s="32">
        <v>634.19147199999986</v>
      </c>
      <c r="KO108" s="32">
        <v>9.6089616969696952</v>
      </c>
      <c r="KP108" s="32">
        <v>1.4E-2</v>
      </c>
      <c r="KQ108" s="32">
        <v>1410.145919</v>
      </c>
      <c r="KR108" s="32">
        <v>21.365847257575759</v>
      </c>
      <c r="KS108" s="32">
        <v>6.8000000000000005E-2</v>
      </c>
      <c r="KT108" s="32">
        <v>850.67387230813961</v>
      </c>
      <c r="KU108" s="32">
        <v>12.888998065274842</v>
      </c>
      <c r="KV108" s="32">
        <v>321.44048935465122</v>
      </c>
      <c r="KW108" s="32">
        <v>4.8703104447674423</v>
      </c>
      <c r="KX108" s="32">
        <v>586.05718083139539</v>
      </c>
      <c r="KY108" s="32">
        <v>8.8796542550211424</v>
      </c>
      <c r="KZ108" s="32">
        <v>0.17100000000000001</v>
      </c>
      <c r="LA108" s="32">
        <v>0.09</v>
      </c>
      <c r="LB108" s="32">
        <v>29.677490403070792</v>
      </c>
      <c r="LC108" s="32">
        <v>70.322509596929208</v>
      </c>
      <c r="LD108" s="32">
        <v>81.362005245055812</v>
      </c>
      <c r="LE108" s="32">
        <v>98.344932284825433</v>
      </c>
      <c r="LF108" s="32">
        <v>0.20849907732789522</v>
      </c>
      <c r="LG108" s="32">
        <v>6.7633197089996706</v>
      </c>
      <c r="LH108" s="69"/>
      <c r="LI108" s="32">
        <v>-48.433258079693978</v>
      </c>
      <c r="LJ108" s="32">
        <v>-20.01195772312316</v>
      </c>
      <c r="LK108" s="32">
        <v>123.8095238095238</v>
      </c>
      <c r="LL108" s="32">
        <v>74.725274725274716</v>
      </c>
      <c r="LM108" s="32">
        <v>11.750270398108507</v>
      </c>
      <c r="LN108" s="69"/>
      <c r="LO108" s="32">
        <v>1000.6364340000001</v>
      </c>
      <c r="LP108" s="32">
        <v>15.161158090909092</v>
      </c>
      <c r="LQ108" s="32">
        <v>2.1000000000000001E-2</v>
      </c>
      <c r="LR108" s="32">
        <v>1861.7640610000001</v>
      </c>
      <c r="LS108" s="32">
        <v>28.208546378787879</v>
      </c>
      <c r="LT108" s="32">
        <v>4.3999999999999997E-2</v>
      </c>
      <c r="LU108" s="32">
        <v>1052.4266178958335</v>
      </c>
      <c r="LV108" s="32">
        <v>15.945857846906568</v>
      </c>
      <c r="LW108" s="32">
        <v>118.43237932638888</v>
      </c>
      <c r="LX108" s="32">
        <v>1.794429989793771</v>
      </c>
      <c r="LY108" s="32">
        <v>585.42949861111117</v>
      </c>
      <c r="LZ108" s="32">
        <v>8.8701439183501698</v>
      </c>
      <c r="MA108" s="32">
        <v>191.58639760344826</v>
      </c>
      <c r="MB108" s="32">
        <v>2.9028242061128524</v>
      </c>
      <c r="MC108" s="32">
        <v>1123.8317000431034</v>
      </c>
      <c r="MD108" s="32">
        <v>17.027753030956113</v>
      </c>
      <c r="ME108" s="32">
        <v>0.10299999999999999</v>
      </c>
      <c r="MF108" s="32">
        <v>-184.63426782142864</v>
      </c>
      <c r="MG108" s="32">
        <v>-2.7974889063852824</v>
      </c>
      <c r="MH108" s="32">
        <v>756.60556328571431</v>
      </c>
      <c r="MI108" s="32">
        <v>11.463720655844156</v>
      </c>
      <c r="MJ108" s="32">
        <v>0.04</v>
      </c>
      <c r="MK108" s="32">
        <v>20265.389890500006</v>
      </c>
      <c r="ML108" s="32">
        <v>129841.70702999999</v>
      </c>
      <c r="MM108" s="32">
        <v>0.14299999999999999</v>
      </c>
      <c r="MN108" s="32">
        <v>0.1</v>
      </c>
      <c r="MO108" s="32">
        <f t="shared" si="3"/>
        <v>72.027972027972027</v>
      </c>
      <c r="MP108" s="32">
        <v>15.358025157554597</v>
      </c>
      <c r="MQ108" s="32">
        <v>9.8512994506680069</v>
      </c>
      <c r="MR108" s="32">
        <v>15.936308838859667</v>
      </c>
      <c r="MS108" s="32">
        <v>87.541682618509086</v>
      </c>
      <c r="MT108" s="32">
        <v>15.358025157554597</v>
      </c>
      <c r="MU108" s="32">
        <v>29.087630570796037</v>
      </c>
      <c r="MV108" s="32">
        <v>15.936308838859667</v>
      </c>
      <c r="MW108" s="32">
        <v>23.847225264263646</v>
      </c>
      <c r="MX108" s="32" t="s">
        <v>34</v>
      </c>
      <c r="MY108" s="32" t="s">
        <v>34</v>
      </c>
      <c r="MZ108" s="32" t="s">
        <v>34</v>
      </c>
      <c r="NA108" s="32" t="s">
        <v>34</v>
      </c>
      <c r="NB108" s="17" t="s">
        <v>34</v>
      </c>
      <c r="NC108" s="69"/>
      <c r="ND108" s="32">
        <v>926.87857800000006</v>
      </c>
      <c r="NE108" s="32">
        <v>14.043614818181819</v>
      </c>
      <c r="NF108" s="32">
        <v>1.2999999999999999E-2</v>
      </c>
      <c r="NG108" s="32">
        <v>2100.476345</v>
      </c>
      <c r="NH108" s="32">
        <v>31.825399166666667</v>
      </c>
      <c r="NI108" s="32">
        <v>3.6999999999999998E-2</v>
      </c>
      <c r="NJ108" s="32">
        <v>1180.3579961544117</v>
      </c>
      <c r="NK108" s="32">
        <v>17.884212062945632</v>
      </c>
      <c r="NL108" s="32">
        <v>100.7608316102941</v>
      </c>
      <c r="NM108" s="32">
        <v>1.5266792668226379</v>
      </c>
      <c r="NN108" s="32">
        <v>640.55941388235294</v>
      </c>
      <c r="NO108" s="32">
        <v>9.7054456648841363</v>
      </c>
      <c r="NP108" s="32">
        <v>207.13890349484541</v>
      </c>
      <c r="NQ108" s="32">
        <v>3.1384682347703849</v>
      </c>
      <c r="NR108" s="32">
        <v>1141.7645257010311</v>
      </c>
      <c r="NS108" s="32">
        <v>17.299462510621684</v>
      </c>
      <c r="NT108" s="32">
        <v>8.1000000000000003E-2</v>
      </c>
      <c r="NU108" s="32">
        <v>-163.82052666666672</v>
      </c>
      <c r="NV108" s="32">
        <v>0.45683995299145341</v>
      </c>
      <c r="NW108" s="32">
        <v>1276.3468842051282</v>
      </c>
      <c r="NX108" s="32">
        <v>0.45683995299145341</v>
      </c>
      <c r="NY108" s="32">
        <v>0.13400000000000001</v>
      </c>
      <c r="NZ108" s="32">
        <v>49753.39938100001</v>
      </c>
      <c r="OA108" s="32">
        <v>110748.30065</v>
      </c>
      <c r="OB108" s="32">
        <v>0.13500000000000001</v>
      </c>
      <c r="OC108" s="32">
        <v>0.1</v>
      </c>
      <c r="OD108" s="32">
        <f t="shared" si="4"/>
        <v>60</v>
      </c>
      <c r="OE108" s="32">
        <v>7.3276622926015955</v>
      </c>
      <c r="OF108" s="32">
        <v>11.913572732827944</v>
      </c>
      <c r="OG108" s="32">
        <v>15.063828952310383</v>
      </c>
      <c r="OH108" s="32">
        <v>85.839553345923548</v>
      </c>
      <c r="OI108" s="32">
        <v>7.3276622926015955</v>
      </c>
      <c r="OJ108" s="32">
        <v>11.913572732827944</v>
      </c>
      <c r="OK108" s="32">
        <v>15.063828952310383</v>
      </c>
      <c r="OL108" s="32">
        <v>0.19229448093667445</v>
      </c>
      <c r="OM108" s="32">
        <v>10.923227410212149</v>
      </c>
      <c r="ON108" s="69"/>
      <c r="OO108" s="32">
        <v>-11.459356845576984</v>
      </c>
      <c r="OP108" s="32">
        <v>11.946307804625715</v>
      </c>
      <c r="OQ108" s="32">
        <v>-7.8011131215187897</v>
      </c>
      <c r="OR108" s="32">
        <v>-12.049358925244375</v>
      </c>
      <c r="OS108" s="32">
        <v>17.283950617283953</v>
      </c>
      <c r="OT108" s="32">
        <v>7.6531550250774449</v>
      </c>
      <c r="OU108" s="32">
        <v>5.7553956834532221</v>
      </c>
      <c r="OW108" s="32">
        <v>29.380555074058829</v>
      </c>
      <c r="OX108" s="32">
        <v>25.260363830322934</v>
      </c>
      <c r="OY108" s="32">
        <v>5.6288774742014054</v>
      </c>
    </row>
    <row r="109" spans="1:415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9"/>
      <c r="K109" s="32">
        <v>995.33453399999996</v>
      </c>
      <c r="L109" s="32">
        <v>14.855739313432835</v>
      </c>
      <c r="M109" s="32">
        <v>0.28699999999999998</v>
      </c>
      <c r="N109" s="32">
        <v>539.34292589210531</v>
      </c>
      <c r="O109" s="32">
        <v>8.049894416300079</v>
      </c>
      <c r="P109" s="32">
        <v>363.61192543421055</v>
      </c>
      <c r="Q109" s="32">
        <v>5.4270436631971721</v>
      </c>
      <c r="R109" s="32">
        <v>451.47742566315793</v>
      </c>
      <c r="S109" s="32">
        <v>6.738469039748626</v>
      </c>
      <c r="T109" s="32">
        <v>0.379</v>
      </c>
      <c r="U109" s="32">
        <v>0.03</v>
      </c>
      <c r="V109" s="32">
        <v>41.543872045251405</v>
      </c>
      <c r="W109" s="32">
        <v>58.456127954748588</v>
      </c>
      <c r="X109" s="32">
        <v>56.451627328748124</v>
      </c>
      <c r="Y109" s="32">
        <v>73.797948042594342</v>
      </c>
      <c r="Z109" s="32">
        <v>0.49335246269535665</v>
      </c>
      <c r="AA109" s="32">
        <v>2.0174917716274083</v>
      </c>
      <c r="AB109" s="69"/>
      <c r="AC109" s="32">
        <v>474.32263499999999</v>
      </c>
      <c r="AD109" s="32">
        <v>7.0794423134328355</v>
      </c>
      <c r="AE109" s="32">
        <v>1.6E-2</v>
      </c>
      <c r="AF109" s="32">
        <v>1377.1622660000003</v>
      </c>
      <c r="AG109" s="32">
        <v>20.554660686567168</v>
      </c>
      <c r="AH109" s="32">
        <v>0.124</v>
      </c>
      <c r="AI109" s="32">
        <v>822.71140843378987</v>
      </c>
      <c r="AJ109" s="32">
        <v>12.279274752743133</v>
      </c>
      <c r="AK109" s="32">
        <v>315.22273385844744</v>
      </c>
      <c r="AL109" s="32">
        <v>4.7048169232604096</v>
      </c>
      <c r="AM109" s="32">
        <v>568.96707114611866</v>
      </c>
      <c r="AN109" s="32">
        <v>8.4920458380017703</v>
      </c>
      <c r="AO109" s="32">
        <v>0.218</v>
      </c>
      <c r="AP109" s="32">
        <v>0.03</v>
      </c>
      <c r="AQ109" s="32">
        <v>32.659084424045957</v>
      </c>
      <c r="AR109" s="32">
        <v>67.340915575954043</v>
      </c>
      <c r="AS109" s="32">
        <v>65.605082343433992</v>
      </c>
      <c r="AT109" s="32">
        <v>99.381470990912121</v>
      </c>
      <c r="AU109" s="32">
        <v>0.30274136103704752</v>
      </c>
      <c r="AV109" s="32">
        <v>4.548972962539704</v>
      </c>
      <c r="AW109" s="69"/>
      <c r="AX109" s="32">
        <v>41.608983636020461</v>
      </c>
      <c r="AY109" s="32">
        <v>32.187839578961729</v>
      </c>
      <c r="AZ109" s="32">
        <v>-79.318734793187346</v>
      </c>
      <c r="BA109" s="32">
        <v>-53.936348408710224</v>
      </c>
      <c r="BB109" s="32">
        <v>-23.947260443407448</v>
      </c>
      <c r="BC109" s="69"/>
      <c r="BD109" s="32">
        <v>974.70393400000012</v>
      </c>
      <c r="BE109" s="32">
        <v>14.547819910447762</v>
      </c>
      <c r="BF109" s="32">
        <v>1.2999999999999999E-2</v>
      </c>
      <c r="BG109" s="32">
        <v>1630.2654150000001</v>
      </c>
      <c r="BH109" s="32">
        <v>24.332319626865672</v>
      </c>
      <c r="BI109" s="32">
        <v>3.5000000000000003E-2</v>
      </c>
      <c r="BJ109" s="32">
        <v>1073.2476069655172</v>
      </c>
      <c r="BK109" s="32">
        <v>16.018620999485332</v>
      </c>
      <c r="BL109" s="32">
        <v>172.03337912413789</v>
      </c>
      <c r="BM109" s="32">
        <v>2.5676623749871328</v>
      </c>
      <c r="BN109" s="32">
        <v>622.64049304482751</v>
      </c>
      <c r="BO109" s="32">
        <v>9.2931416872362309</v>
      </c>
      <c r="BP109" s="32">
        <v>261.64010530909093</v>
      </c>
      <c r="BQ109" s="32">
        <v>3.9050761986431484</v>
      </c>
      <c r="BR109" s="32">
        <v>1086.9882251181816</v>
      </c>
      <c r="BS109" s="32">
        <v>16.223704852510174</v>
      </c>
      <c r="BT109" s="32">
        <v>9.9000000000000005E-2</v>
      </c>
      <c r="BU109" s="32">
        <v>-109.58776031428572</v>
      </c>
      <c r="BV109" s="32">
        <v>-1.6356382136460554</v>
      </c>
      <c r="BW109" s="32">
        <v>1030.0628070571429</v>
      </c>
      <c r="BX109" s="32">
        <v>15.374071747121535</v>
      </c>
      <c r="BY109" s="32">
        <v>4.4999999999999998E-2</v>
      </c>
      <c r="BZ109" s="32">
        <v>35275.504392000003</v>
      </c>
      <c r="CA109" s="32">
        <v>118948.77797299999</v>
      </c>
      <c r="CB109" s="32">
        <v>0.14399999999999999</v>
      </c>
      <c r="CC109" s="32">
        <v>9.5000000000000001E-2</v>
      </c>
      <c r="CD109" s="32">
        <f t="shared" si="0"/>
        <v>68.750000000000014</v>
      </c>
      <c r="CE109" s="32">
        <v>8.114391433801913</v>
      </c>
      <c r="CF109" s="32">
        <v>12.738157745805561</v>
      </c>
      <c r="CG109" s="32">
        <v>19.373059757498851</v>
      </c>
      <c r="CH109" s="32">
        <v>79.468283349651912</v>
      </c>
      <c r="CI109" s="32">
        <v>8.114391433801913</v>
      </c>
      <c r="CJ109" s="32">
        <v>38.224309602268292</v>
      </c>
      <c r="CK109" s="32">
        <v>19.373059757498851</v>
      </c>
      <c r="CL109" s="32">
        <v>25.689605817853757</v>
      </c>
      <c r="CM109" s="32" t="s">
        <v>34</v>
      </c>
      <c r="CN109" s="32" t="s">
        <v>34</v>
      </c>
      <c r="CO109" s="32" t="s">
        <v>34</v>
      </c>
      <c r="CP109" s="32" t="s">
        <v>34</v>
      </c>
      <c r="CQ109" s="17" t="s">
        <v>34</v>
      </c>
      <c r="CR109" s="69"/>
      <c r="CS109" s="32">
        <v>1056.4146899999998</v>
      </c>
      <c r="CT109" s="32">
        <v>15.767383432835819</v>
      </c>
      <c r="CU109" s="32">
        <v>1.2E-2</v>
      </c>
      <c r="CV109" s="32">
        <v>1572.1968120000001</v>
      </c>
      <c r="CW109" s="32">
        <v>23.465624059701494</v>
      </c>
      <c r="CX109" s="32">
        <v>6.0999999999999999E-2</v>
      </c>
      <c r="CY109" s="32">
        <v>898.94493040909094</v>
      </c>
      <c r="CZ109" s="32">
        <v>13.417088513568521</v>
      </c>
      <c r="DA109" s="32">
        <v>141.27760148051948</v>
      </c>
      <c r="DB109" s="32">
        <v>2.1086209176196937</v>
      </c>
      <c r="DC109" s="32">
        <v>520.11126594480515</v>
      </c>
      <c r="DD109" s="32">
        <v>7.7628547155941066</v>
      </c>
      <c r="DE109" s="32">
        <v>257.75093424324319</v>
      </c>
      <c r="DF109" s="32">
        <v>3.8470288693021373</v>
      </c>
      <c r="DG109" s="32">
        <v>934.95230137837837</v>
      </c>
      <c r="DH109" s="32">
        <v>13.954511960871319</v>
      </c>
      <c r="DI109" s="32">
        <v>2E-3</v>
      </c>
      <c r="DJ109" s="32">
        <v>-159.3861179767442</v>
      </c>
      <c r="DK109" s="32">
        <v>-0.70272627178063207</v>
      </c>
      <c r="DL109" s="32">
        <v>805.9956704651164</v>
      </c>
      <c r="DM109" s="32">
        <v>-0.70272627178063207</v>
      </c>
      <c r="DN109" s="32">
        <v>0.15</v>
      </c>
      <c r="DO109" s="32">
        <v>34652.043043499987</v>
      </c>
      <c r="DP109" s="32">
        <v>103786.1254525</v>
      </c>
      <c r="DQ109" s="32">
        <v>0.153</v>
      </c>
      <c r="DR109" s="32">
        <v>9.5000000000000001E-2</v>
      </c>
      <c r="DS109" s="32">
        <f t="shared" si="5"/>
        <v>1.3071895424836601</v>
      </c>
      <c r="DT109" s="32">
        <v>12.510963748731349</v>
      </c>
      <c r="DU109" s="32">
        <v>14.114579545243938</v>
      </c>
      <c r="DV109" s="32">
        <v>22.825363403154206</v>
      </c>
      <c r="DW109" s="32">
        <v>79.606868453275283</v>
      </c>
      <c r="DX109" s="32">
        <v>12.510963748731349</v>
      </c>
      <c r="DY109" s="32">
        <v>14.114579545243938</v>
      </c>
      <c r="DZ109" s="32">
        <v>22.825363403154206</v>
      </c>
      <c r="EA109" s="32">
        <v>0.19276481699219042</v>
      </c>
      <c r="EB109" s="32">
        <v>8.1560361300978244</v>
      </c>
      <c r="EC109" s="69"/>
      <c r="ED109" s="32">
        <v>-17.676030433464554</v>
      </c>
      <c r="EE109" s="32">
        <v>37.028396942380134</v>
      </c>
      <c r="EF109" s="32">
        <v>-1.4975888183207129</v>
      </c>
      <c r="EG109" s="32">
        <v>-3.6264972938898579</v>
      </c>
      <c r="EH109" s="32">
        <v>54.16666666666665</v>
      </c>
      <c r="EI109" s="32">
        <v>8.0458871317995193</v>
      </c>
      <c r="EJ109" s="32">
        <v>6.0606060606060659</v>
      </c>
      <c r="EL109" s="32">
        <v>1.7996190253460407</v>
      </c>
      <c r="EM109" s="32">
        <v>53.985297988810231</v>
      </c>
      <c r="EN109" s="32">
        <v>16.362240041587032</v>
      </c>
      <c r="EO109" s="69"/>
      <c r="EP109" s="32">
        <v>1081.012657</v>
      </c>
      <c r="EQ109" s="32">
        <v>16.134517268656715</v>
      </c>
      <c r="ER109" s="32">
        <v>0.34399999999999997</v>
      </c>
      <c r="ES109" s="32">
        <v>689.5891308140591</v>
      </c>
      <c r="ET109" s="32">
        <v>10.292375086777001</v>
      </c>
      <c r="EU109" s="32">
        <v>384.55515320861679</v>
      </c>
      <c r="EV109" s="32">
        <v>5.7396291523674146</v>
      </c>
      <c r="EW109" s="32">
        <v>537.07214201133797</v>
      </c>
      <c r="EX109" s="32">
        <v>8.0160021195722084</v>
      </c>
      <c r="EY109" s="32">
        <v>0.44</v>
      </c>
      <c r="EZ109" s="32">
        <v>4.2999999999999997E-2</v>
      </c>
      <c r="FA109" s="32">
        <v>36.253612892408128</v>
      </c>
      <c r="FB109" s="32">
        <v>63.7463871075919</v>
      </c>
      <c r="FC109" s="32">
        <v>85.632155336043454</v>
      </c>
      <c r="FD109" s="32">
        <v>78.315087120268728</v>
      </c>
      <c r="FE109" s="32">
        <v>0.96986771067382216</v>
      </c>
      <c r="FF109" s="32">
        <v>1.1145980478605264</v>
      </c>
      <c r="FG109" s="69"/>
      <c r="FH109" s="32">
        <v>1400.3896900000002</v>
      </c>
      <c r="FI109" s="32">
        <v>20.901338656716423</v>
      </c>
      <c r="FJ109" s="32">
        <v>0.105</v>
      </c>
      <c r="FK109" s="32">
        <v>1400.3896900000002</v>
      </c>
      <c r="FL109" s="32">
        <v>20.901338656716423</v>
      </c>
      <c r="FM109" s="32">
        <v>0.105</v>
      </c>
      <c r="FN109" s="32">
        <v>826.7160820048781</v>
      </c>
      <c r="FO109" s="32">
        <v>12.339046000072807</v>
      </c>
      <c r="FP109" s="32">
        <v>329.51959136097571</v>
      </c>
      <c r="FQ109" s="32">
        <v>4.9182028561339655</v>
      </c>
      <c r="FR109" s="32">
        <v>578.11783668292696</v>
      </c>
      <c r="FS109" s="32">
        <v>8.6286244281033877</v>
      </c>
      <c r="FT109" s="32">
        <v>0.20399999999999999</v>
      </c>
      <c r="FU109" s="32">
        <v>4.2999999999999997E-2</v>
      </c>
      <c r="FV109" s="32">
        <v>30.185740606240497</v>
      </c>
      <c r="FW109" s="32">
        <v>69.8142593937595</v>
      </c>
      <c r="FX109" s="32">
        <v>51.282058904961978</v>
      </c>
      <c r="FY109" s="32">
        <v>99.999946163445628</v>
      </c>
      <c r="FZ109" s="32">
        <v>0.27338028991703894</v>
      </c>
      <c r="GA109" s="32">
        <v>5.1224969087016774</v>
      </c>
      <c r="GB109" s="69"/>
      <c r="GC109" s="32">
        <v>18.086985394700136</v>
      </c>
      <c r="GD109" s="32">
        <v>25.741656397329116</v>
      </c>
      <c r="GE109" s="32">
        <v>-106.45879732739421</v>
      </c>
      <c r="GF109" s="32">
        <v>-73.291925465838517</v>
      </c>
      <c r="GG109" s="32">
        <v>-18.265898045775089</v>
      </c>
      <c r="GH109" s="69"/>
      <c r="GI109" s="32">
        <v>1865.9479410000001</v>
      </c>
      <c r="GJ109" s="32">
        <v>27.849969268656718</v>
      </c>
      <c r="GK109" s="32">
        <v>3.5000000000000003E-2</v>
      </c>
      <c r="GL109" s="32">
        <v>1865.9479410000001</v>
      </c>
      <c r="GM109" s="32">
        <v>27.849969268656718</v>
      </c>
      <c r="GN109" s="32">
        <v>3.5000000000000003E-2</v>
      </c>
      <c r="GO109" s="32">
        <v>1146.3578825793104</v>
      </c>
      <c r="GP109" s="32">
        <v>17.109819142974782</v>
      </c>
      <c r="GQ109" s="32">
        <v>132.37625715862072</v>
      </c>
      <c r="GR109" s="32">
        <v>1.9757650322182196</v>
      </c>
      <c r="GS109" s="32">
        <v>639.36706986896559</v>
      </c>
      <c r="GT109" s="32">
        <v>9.5427920875965011</v>
      </c>
      <c r="GU109" s="32">
        <v>249.80083214893617</v>
      </c>
      <c r="GV109" s="32">
        <v>3.7283706290885994</v>
      </c>
      <c r="GW109" s="32">
        <v>1059.3050779468085</v>
      </c>
      <c r="GX109" s="32">
        <v>15.810523551444904</v>
      </c>
      <c r="GY109" s="32">
        <v>9.4E-2</v>
      </c>
      <c r="GZ109" s="32">
        <v>-84.053351647058804</v>
      </c>
      <c r="HA109" s="32">
        <v>-1.2545276365232658</v>
      </c>
      <c r="HB109" s="32">
        <v>1306.8081499411765</v>
      </c>
      <c r="HC109" s="32">
        <v>19.504599252853382</v>
      </c>
      <c r="HD109" s="32">
        <v>0.05</v>
      </c>
      <c r="HE109" s="32">
        <v>65739.065064499999</v>
      </c>
      <c r="HF109" s="32">
        <v>98681.657036500008</v>
      </c>
      <c r="HG109" s="32">
        <v>0.14399999999999999</v>
      </c>
      <c r="HH109" s="32">
        <v>0.114</v>
      </c>
      <c r="HI109" s="32">
        <f t="shared" si="1"/>
        <v>65.277777777777786</v>
      </c>
      <c r="HJ109" s="32">
        <v>6.0361587360645386</v>
      </c>
      <c r="HK109" s="32">
        <v>9.5063918979784585</v>
      </c>
      <c r="HL109" s="32">
        <v>17.939052348363489</v>
      </c>
      <c r="HM109" s="32">
        <v>82.323881344351875</v>
      </c>
      <c r="HN109" s="32">
        <v>6.0361587360645386</v>
      </c>
      <c r="HO109" s="32">
        <v>33.549886418044373</v>
      </c>
      <c r="HP109" s="32">
        <v>17.939052348363489</v>
      </c>
      <c r="HQ109" s="32">
        <v>25.566323926730412</v>
      </c>
      <c r="HR109" s="32" t="s">
        <v>34</v>
      </c>
      <c r="HS109" s="32" t="s">
        <v>34</v>
      </c>
      <c r="HT109" s="32" t="s">
        <v>34</v>
      </c>
      <c r="HU109" s="32" t="s">
        <v>34</v>
      </c>
      <c r="HV109" s="32" t="s">
        <v>34</v>
      </c>
      <c r="HW109" s="17" t="s">
        <v>34</v>
      </c>
      <c r="HX109" s="69"/>
      <c r="HY109" s="32">
        <v>1486.9515119999999</v>
      </c>
      <c r="HZ109" s="32">
        <v>22.193306149253729</v>
      </c>
      <c r="IA109" s="32">
        <v>3.2000000000000001E-2</v>
      </c>
      <c r="IB109" s="32">
        <v>1486.9515119999999</v>
      </c>
      <c r="IC109" s="32">
        <v>22.193306149253729</v>
      </c>
      <c r="ID109" s="32">
        <v>3.2000000000000001E-2</v>
      </c>
      <c r="IE109" s="32">
        <v>763.74020019512193</v>
      </c>
      <c r="IF109" s="32">
        <v>11.399107465598835</v>
      </c>
      <c r="IG109" s="32">
        <v>119.21704003252032</v>
      </c>
      <c r="IH109" s="32">
        <v>1.779358806455527</v>
      </c>
      <c r="II109" s="32">
        <v>441.47862011382114</v>
      </c>
      <c r="IJ109" s="32">
        <v>6.5892331360271807</v>
      </c>
      <c r="IK109" s="32">
        <v>184.3120083960396</v>
      </c>
      <c r="IL109" s="32">
        <v>2.7509254984483524</v>
      </c>
      <c r="IM109" s="32">
        <v>745.05431034653463</v>
      </c>
      <c r="IN109" s="32">
        <v>11.120213587261711</v>
      </c>
      <c r="IO109" s="32">
        <v>8.5999999999999993E-2</v>
      </c>
      <c r="IP109" s="32">
        <v>-179.62804199999999</v>
      </c>
      <c r="IQ109" s="32">
        <v>-0.90250519199457291</v>
      </c>
      <c r="IR109" s="32">
        <v>849.5254217727271</v>
      </c>
      <c r="IS109" s="32">
        <v>-0.90250519199457291</v>
      </c>
      <c r="IT109" s="32">
        <v>3.5000000000000003E-2</v>
      </c>
      <c r="IU109" s="32">
        <v>17978.895852500002</v>
      </c>
      <c r="IV109" s="32">
        <v>75257.040598499996</v>
      </c>
      <c r="IW109" s="32">
        <v>0.122</v>
      </c>
      <c r="IX109" s="32">
        <v>0.114</v>
      </c>
      <c r="IY109" s="32">
        <f t="shared" si="2"/>
        <v>70.491803278688522</v>
      </c>
      <c r="IZ109" s="32">
        <v>12.586066761885109</v>
      </c>
      <c r="JA109" s="32">
        <v>18.963820342310068</v>
      </c>
      <c r="JB109" s="32">
        <v>19.458319398442477</v>
      </c>
      <c r="JC109" s="32">
        <v>80.630127587207241</v>
      </c>
      <c r="JD109" s="32">
        <v>12.586066761885109</v>
      </c>
      <c r="JE109" s="32">
        <v>18.963820342310068</v>
      </c>
      <c r="JF109" s="32">
        <v>19.458319398442477</v>
      </c>
      <c r="JG109" s="32">
        <v>0.1070708704133588</v>
      </c>
      <c r="JH109" s="32">
        <v>13.887544822036665</v>
      </c>
      <c r="JI109" s="69"/>
      <c r="JJ109" s="32">
        <v>40.062621478414691</v>
      </c>
      <c r="JK109" s="32">
        <v>-72.49255552772847</v>
      </c>
      <c r="JL109" s="32">
        <v>30.171336867475894</v>
      </c>
      <c r="JM109" s="32">
        <v>22.607085855848972</v>
      </c>
      <c r="JN109" s="32">
        <v>8.955223880597023</v>
      </c>
      <c r="JO109" s="32">
        <v>22.607085855848972</v>
      </c>
      <c r="JP109" s="32">
        <v>16.541353383458642</v>
      </c>
      <c r="JR109" s="32">
        <v>-27.879874407112897</v>
      </c>
      <c r="JS109" s="32">
        <v>-103.42137939969854</v>
      </c>
      <c r="JU109" s="69"/>
      <c r="JV109" s="32">
        <v>1034.125059</v>
      </c>
      <c r="JW109" s="32">
        <v>15.434702373134328</v>
      </c>
      <c r="JX109" s="32">
        <v>0.28499999999999998</v>
      </c>
      <c r="JY109" s="32">
        <v>488.60395384554965</v>
      </c>
      <c r="JZ109" s="32">
        <v>7.2925963260529798</v>
      </c>
      <c r="KA109" s="32">
        <v>289.88795990575915</v>
      </c>
      <c r="KB109" s="32">
        <v>4.326685968742674</v>
      </c>
      <c r="KC109" s="32">
        <v>389.24595687565443</v>
      </c>
      <c r="KD109" s="32">
        <v>5.8096411473978273</v>
      </c>
      <c r="KE109" s="32">
        <v>0.38100000000000001</v>
      </c>
      <c r="KF109" s="32">
        <v>4.9000000000000002E-2</v>
      </c>
      <c r="KG109" s="32">
        <v>40.133961006267612</v>
      </c>
      <c r="KH109" s="32">
        <v>59.866038993732381</v>
      </c>
      <c r="KI109" s="32">
        <v>89.788049462070333</v>
      </c>
      <c r="KJ109" s="32">
        <v>72.464936726042481</v>
      </c>
      <c r="KK109" s="32">
        <v>0.42483889840665034</v>
      </c>
      <c r="KL109" s="32">
        <v>2.4341581311844678</v>
      </c>
      <c r="KM109" s="69"/>
      <c r="KN109" s="32">
        <v>427.56121399999995</v>
      </c>
      <c r="KO109" s="32">
        <v>6.3815106567164168</v>
      </c>
      <c r="KP109" s="32">
        <v>2.4E-2</v>
      </c>
      <c r="KQ109" s="32">
        <v>1416.2593169999998</v>
      </c>
      <c r="KR109" s="32">
        <v>21.138198761194026</v>
      </c>
      <c r="KS109" s="32">
        <v>0.10100000000000001</v>
      </c>
      <c r="KT109" s="32">
        <v>818.92783121904779</v>
      </c>
      <c r="KU109" s="32">
        <v>12.222803451030565</v>
      </c>
      <c r="KV109" s="32">
        <v>331.28696934761905</v>
      </c>
      <c r="KW109" s="32">
        <v>4.9445816320540157</v>
      </c>
      <c r="KX109" s="32">
        <v>575.10740028333339</v>
      </c>
      <c r="KY109" s="32">
        <v>8.5836925415422893</v>
      </c>
      <c r="KZ109" s="32">
        <v>0.20899999999999999</v>
      </c>
      <c r="LA109" s="32">
        <v>4.9000000000000002E-2</v>
      </c>
      <c r="LB109" s="32">
        <v>33.440276564610954</v>
      </c>
      <c r="LC109" s="32">
        <v>66.559723435389031</v>
      </c>
      <c r="LD109" s="32">
        <v>96.685030063398756</v>
      </c>
      <c r="LE109" s="32">
        <v>97.990055016038397</v>
      </c>
      <c r="LF109" s="32">
        <v>0.28429856417965721</v>
      </c>
      <c r="LG109" s="32">
        <v>4.9815915218798672</v>
      </c>
      <c r="LH109" s="69"/>
      <c r="LI109" s="32">
        <v>50.526324659431324</v>
      </c>
      <c r="LJ109" s="32">
        <v>31.189740005100315</v>
      </c>
      <c r="LK109" s="32">
        <v>-95.336787564766823</v>
      </c>
      <c r="LL109" s="32">
        <v>-58.305084745762713</v>
      </c>
      <c r="LM109" s="32">
        <v>-18.195729001495181</v>
      </c>
      <c r="LN109" s="69"/>
      <c r="LO109" s="32">
        <v>952.19792099999995</v>
      </c>
      <c r="LP109" s="32">
        <v>14.211909268656715</v>
      </c>
      <c r="LQ109" s="32">
        <v>2.1000000000000001E-2</v>
      </c>
      <c r="LR109" s="32">
        <v>1631.5457349999999</v>
      </c>
      <c r="LS109" s="32">
        <v>24.351428880597012</v>
      </c>
      <c r="LT109" s="32">
        <v>8.2000000000000003E-2</v>
      </c>
      <c r="LU109" s="32">
        <v>1028.5504563712575</v>
      </c>
      <c r="LV109" s="32">
        <v>15.351499348824738</v>
      </c>
      <c r="LW109" s="32">
        <v>105.05758707784432</v>
      </c>
      <c r="LX109" s="32">
        <v>1.5680236877290197</v>
      </c>
      <c r="LY109" s="32">
        <v>566.80402172455092</v>
      </c>
      <c r="LZ109" s="32">
        <v>8.4597615182768795</v>
      </c>
      <c r="MA109" s="32">
        <v>243.995910245098</v>
      </c>
      <c r="MB109" s="32">
        <v>3.641730003658179</v>
      </c>
      <c r="MC109" s="32">
        <v>1023.9678096470589</v>
      </c>
      <c r="MD109" s="32">
        <v>15.283101636523266</v>
      </c>
      <c r="ME109" s="32">
        <v>0.10199999999999999</v>
      </c>
      <c r="MF109" s="32">
        <v>-112.96870466153847</v>
      </c>
      <c r="MG109" s="32">
        <v>-1.6861000695752011</v>
      </c>
      <c r="MH109" s="32">
        <v>1035.7416866153847</v>
      </c>
      <c r="MI109" s="32">
        <v>15.458831143513203</v>
      </c>
      <c r="MJ109" s="32">
        <v>6.4000000000000001E-2</v>
      </c>
      <c r="MK109" s="32">
        <v>66561.600971500011</v>
      </c>
      <c r="ML109" s="32">
        <v>103687.99508199998</v>
      </c>
      <c r="MM109" s="32">
        <v>0.16600000000000001</v>
      </c>
      <c r="MN109" s="32">
        <v>9.1753252234436768</v>
      </c>
      <c r="MO109" s="32">
        <f t="shared" si="3"/>
        <v>61.445783132530117</v>
      </c>
      <c r="MP109" s="32">
        <v>8.532783760931796</v>
      </c>
      <c r="MQ109" s="32">
        <v>19.817363015680868</v>
      </c>
      <c r="MR109" s="32">
        <v>83.538932080370571</v>
      </c>
      <c r="MS109" s="32">
        <v>9.1753252234436768</v>
      </c>
      <c r="MT109" s="32">
        <v>33.783281999765599</v>
      </c>
      <c r="MU109" s="32">
        <v>19.817363015680868</v>
      </c>
      <c r="MW109" s="32">
        <v>23.511910791123874</v>
      </c>
      <c r="MX109" s="32" t="s">
        <v>34</v>
      </c>
      <c r="MY109" s="32" t="s">
        <v>34</v>
      </c>
      <c r="MZ109" s="32" t="s">
        <v>34</v>
      </c>
      <c r="NA109" s="32" t="s">
        <v>34</v>
      </c>
      <c r="NB109" s="17" t="s">
        <v>34</v>
      </c>
      <c r="NC109" s="69"/>
      <c r="ON109" s="69"/>
    </row>
    <row r="110" spans="1:415" x14ac:dyDescent="0.25">
      <c r="J110" s="69"/>
      <c r="AB110" s="69"/>
      <c r="AW110" s="69"/>
      <c r="BC110" s="69"/>
      <c r="CR110" s="69"/>
      <c r="DS110" s="74"/>
      <c r="EC110" s="69"/>
      <c r="EO110" s="69"/>
      <c r="FG110" s="69"/>
      <c r="GB110" s="69"/>
      <c r="GH110" s="69"/>
      <c r="HX110" s="69"/>
      <c r="JI110" s="69"/>
      <c r="JU110" s="69"/>
      <c r="KM110" s="69"/>
      <c r="LH110" s="69"/>
      <c r="LN110" s="69"/>
      <c r="MO110" s="74"/>
      <c r="NC110" s="69"/>
      <c r="ON110" s="69"/>
    </row>
    <row r="111" spans="1:415" x14ac:dyDescent="0.25">
      <c r="J111" s="69"/>
      <c r="AB111" s="69"/>
      <c r="AW111" s="69"/>
      <c r="BC111" s="69"/>
      <c r="CR111" s="69"/>
      <c r="EC111" s="69"/>
      <c r="EO111" s="69"/>
      <c r="FG111" s="69"/>
      <c r="GB111" s="69"/>
      <c r="GH111" s="69"/>
      <c r="HX111" s="69"/>
      <c r="JI111" s="69"/>
      <c r="JU111" s="69"/>
      <c r="KM111" s="69"/>
      <c r="LH111" s="69"/>
      <c r="LN111" s="69"/>
      <c r="NC111" s="69"/>
      <c r="ON111" s="69"/>
    </row>
    <row r="112" spans="1:415" x14ac:dyDescent="0.25">
      <c r="J112" s="69"/>
      <c r="AB112" s="69"/>
      <c r="AW112" s="69"/>
      <c r="BC112" s="69"/>
      <c r="CR112" s="69"/>
      <c r="EC112" s="69"/>
      <c r="EO112" s="69"/>
      <c r="FG112" s="69"/>
      <c r="GB112" s="69"/>
      <c r="GH112" s="69"/>
      <c r="HX112" s="69"/>
      <c r="JI112" s="69"/>
      <c r="JU112" s="69"/>
      <c r="KM112" s="69"/>
      <c r="LH112" s="69"/>
      <c r="LN112" s="69"/>
      <c r="NC112" s="69"/>
      <c r="ON112" s="69"/>
    </row>
    <row r="113" spans="10:404" x14ac:dyDescent="0.25">
      <c r="J113" s="69"/>
      <c r="AB113" s="69"/>
      <c r="AW113" s="69"/>
      <c r="BC113" s="69"/>
      <c r="CR113" s="69"/>
      <c r="EC113" s="69"/>
      <c r="EO113" s="69"/>
      <c r="FG113" s="69"/>
      <c r="GB113" s="69"/>
      <c r="GH113" s="69"/>
      <c r="HX113" s="69"/>
      <c r="JI113" s="69"/>
      <c r="JU113" s="69"/>
      <c r="KM113" s="69"/>
      <c r="LH113" s="69"/>
      <c r="LN113" s="69"/>
      <c r="NC113" s="69"/>
      <c r="ON113" s="69"/>
    </row>
    <row r="114" spans="10:404" x14ac:dyDescent="0.25">
      <c r="J114" s="69"/>
      <c r="AB114" s="69"/>
      <c r="AW114" s="69"/>
      <c r="BC114" s="69"/>
      <c r="CR114" s="69"/>
      <c r="EC114" s="69"/>
      <c r="EO114" s="69"/>
      <c r="FG114" s="69"/>
      <c r="GB114" s="69"/>
      <c r="GH114" s="69"/>
      <c r="HX114" s="69"/>
      <c r="JI114" s="69"/>
      <c r="JU114" s="69"/>
      <c r="KM114" s="69"/>
      <c r="LH114" s="69"/>
      <c r="LN114" s="69"/>
      <c r="NC114" s="69"/>
      <c r="ON114" s="69"/>
    </row>
    <row r="115" spans="10:404" x14ac:dyDescent="0.25">
      <c r="J115" s="69"/>
      <c r="AB115" s="69"/>
      <c r="AW115" s="69"/>
      <c r="BC115" s="69"/>
      <c r="CR115" s="69"/>
      <c r="EC115" s="69"/>
      <c r="EO115" s="69"/>
      <c r="FG115" s="69"/>
      <c r="GB115" s="69"/>
      <c r="GH115" s="69"/>
      <c r="HX115" s="69"/>
      <c r="JI115" s="69"/>
      <c r="JU115" s="69"/>
      <c r="KM115" s="69"/>
      <c r="LH115" s="69"/>
      <c r="LN115" s="69"/>
      <c r="NC115" s="69"/>
      <c r="ON115" s="69"/>
    </row>
    <row r="116" spans="10:404" x14ac:dyDescent="0.25">
      <c r="J116" s="69"/>
      <c r="AB116" s="69"/>
      <c r="AW116" s="69"/>
      <c r="BC116" s="69"/>
      <c r="CR116" s="69"/>
      <c r="EC116" s="69"/>
      <c r="EO116" s="69"/>
      <c r="FG116" s="69"/>
      <c r="GB116" s="69"/>
      <c r="GH116" s="69"/>
      <c r="HX116" s="69"/>
      <c r="JI116" s="69"/>
      <c r="JU116" s="69"/>
      <c r="KM116" s="69"/>
      <c r="LH116" s="69"/>
      <c r="LN116" s="69"/>
      <c r="NC116" s="69"/>
      <c r="ON116" s="69"/>
    </row>
    <row r="117" spans="10:404" x14ac:dyDescent="0.25">
      <c r="J117" s="69"/>
      <c r="AB117" s="69"/>
      <c r="AW117" s="69"/>
      <c r="BC117" s="69"/>
      <c r="CR117" s="69"/>
      <c r="EC117" s="69"/>
      <c r="EO117" s="69"/>
      <c r="FG117" s="69"/>
      <c r="GB117" s="69"/>
      <c r="GH117" s="69"/>
      <c r="HX117" s="69"/>
      <c r="JI117" s="69"/>
      <c r="JU117" s="69"/>
      <c r="KM117" s="69"/>
      <c r="LH117" s="69"/>
      <c r="LN117" s="69"/>
      <c r="NC117" s="69"/>
      <c r="ON117" s="69"/>
    </row>
    <row r="118" spans="10:404" x14ac:dyDescent="0.25">
      <c r="J118" s="69"/>
      <c r="AB118" s="69"/>
      <c r="AW118" s="69"/>
      <c r="BC118" s="69"/>
      <c r="CR118" s="69"/>
      <c r="EC118" s="69"/>
      <c r="EO118" s="69"/>
      <c r="FG118" s="69"/>
      <c r="GB118" s="69"/>
      <c r="GH118" s="69"/>
      <c r="HX118" s="69"/>
      <c r="JI118" s="69"/>
      <c r="JU118" s="69"/>
      <c r="KM118" s="69"/>
      <c r="LH118" s="69"/>
      <c r="LN118" s="69"/>
      <c r="NC118" s="69"/>
      <c r="ON118" s="69"/>
    </row>
    <row r="119" spans="10:404" x14ac:dyDescent="0.25">
      <c r="J119" s="69"/>
      <c r="AB119" s="69"/>
      <c r="AW119" s="69"/>
      <c r="BC119" s="69"/>
      <c r="CR119" s="69"/>
      <c r="EC119" s="69"/>
      <c r="EO119" s="69"/>
      <c r="FG119" s="69"/>
      <c r="GB119" s="69"/>
      <c r="GH119" s="69"/>
      <c r="HX119" s="69"/>
      <c r="JI119" s="69"/>
      <c r="JU119" s="69"/>
      <c r="KM119" s="69"/>
      <c r="LH119" s="69"/>
      <c r="LN119" s="69"/>
      <c r="NC119" s="69"/>
      <c r="ON119" s="69"/>
    </row>
    <row r="120" spans="10:404" x14ac:dyDescent="0.25">
      <c r="J120" s="69"/>
      <c r="AB120" s="69"/>
      <c r="AW120" s="69"/>
      <c r="BC120" s="69"/>
      <c r="CR120" s="69"/>
      <c r="EC120" s="69"/>
      <c r="EO120" s="69"/>
      <c r="FG120" s="69"/>
      <c r="GB120" s="69"/>
      <c r="GH120" s="69"/>
      <c r="HX120" s="69"/>
      <c r="JI120" s="69"/>
      <c r="JU120" s="69"/>
      <c r="KM120" s="69"/>
      <c r="LH120" s="69"/>
      <c r="LN120" s="69"/>
      <c r="NC120" s="69"/>
      <c r="ON120" s="69"/>
    </row>
    <row r="121" spans="10:404" x14ac:dyDescent="0.25">
      <c r="J121" s="69"/>
      <c r="AB121" s="69"/>
      <c r="AW121" s="69"/>
      <c r="BC121" s="69"/>
      <c r="CR121" s="69"/>
      <c r="EC121" s="69"/>
      <c r="EO121" s="69"/>
      <c r="FG121" s="69"/>
      <c r="GB121" s="69"/>
      <c r="GH121" s="69"/>
      <c r="HX121" s="69"/>
      <c r="JI121" s="69"/>
      <c r="JU121" s="69"/>
      <c r="KM121" s="69"/>
      <c r="LH121" s="69"/>
      <c r="LN121" s="69"/>
      <c r="NC121" s="69"/>
      <c r="ON121" s="69"/>
    </row>
    <row r="122" spans="10:404" x14ac:dyDescent="0.25">
      <c r="J122" s="69"/>
      <c r="AB122" s="69"/>
      <c r="AW122" s="69"/>
      <c r="BC122" s="69"/>
      <c r="CR122" s="69"/>
      <c r="EC122" s="69"/>
      <c r="EO122" s="69"/>
      <c r="FG122" s="69"/>
      <c r="GB122" s="69"/>
      <c r="GH122" s="69"/>
      <c r="HX122" s="69"/>
      <c r="JI122" s="69"/>
      <c r="JU122" s="69"/>
      <c r="KM122" s="69"/>
      <c r="LH122" s="69"/>
      <c r="LN122" s="69"/>
      <c r="NC122" s="69"/>
      <c r="ON122" s="69"/>
    </row>
    <row r="123" spans="10:404" x14ac:dyDescent="0.25">
      <c r="J123" s="69"/>
      <c r="AB123" s="69"/>
      <c r="AW123" s="69"/>
      <c r="BC123" s="69"/>
      <c r="CR123" s="69"/>
      <c r="EC123" s="69"/>
      <c r="EO123" s="69"/>
      <c r="FG123" s="69"/>
      <c r="GB123" s="69"/>
      <c r="GH123" s="69"/>
      <c r="HX123" s="69"/>
      <c r="JI123" s="69"/>
      <c r="JU123" s="69"/>
      <c r="KM123" s="69"/>
      <c r="LH123" s="69"/>
      <c r="LN123" s="69"/>
      <c r="NC123" s="69"/>
      <c r="ON123" s="69"/>
    </row>
    <row r="124" spans="10:404" x14ac:dyDescent="0.25">
      <c r="J124" s="69"/>
      <c r="AB124" s="69"/>
      <c r="AW124" s="69"/>
      <c r="BC124" s="69"/>
      <c r="CR124" s="69"/>
      <c r="EC124" s="69"/>
      <c r="EO124" s="69"/>
      <c r="FG124" s="69"/>
      <c r="GB124" s="69"/>
      <c r="GH124" s="69"/>
      <c r="HX124" s="69"/>
      <c r="JI124" s="69"/>
      <c r="JU124" s="69"/>
      <c r="KM124" s="69"/>
      <c r="LH124" s="69"/>
      <c r="LN124" s="69"/>
      <c r="NC124" s="69"/>
      <c r="ON124" s="69"/>
    </row>
    <row r="125" spans="10:404" x14ac:dyDescent="0.25">
      <c r="J125" s="69"/>
      <c r="AB125" s="69"/>
      <c r="AW125" s="69"/>
      <c r="BC125" s="69"/>
      <c r="CR125" s="69"/>
      <c r="EC125" s="69"/>
      <c r="EO125" s="69"/>
      <c r="FG125" s="69"/>
      <c r="GB125" s="69"/>
      <c r="GH125" s="69"/>
      <c r="HX125" s="69"/>
      <c r="JI125" s="69"/>
      <c r="JU125" s="69"/>
      <c r="KM125" s="69"/>
      <c r="LH125" s="69"/>
      <c r="LN125" s="69"/>
      <c r="NC125" s="69"/>
      <c r="ON125" s="69"/>
    </row>
    <row r="126" spans="10:404" x14ac:dyDescent="0.25">
      <c r="J126" s="69"/>
      <c r="AB126" s="69"/>
      <c r="AW126" s="69"/>
      <c r="BC126" s="69"/>
      <c r="CR126" s="69"/>
      <c r="EC126" s="69"/>
      <c r="EO126" s="69"/>
      <c r="FG126" s="69"/>
      <c r="GB126" s="69"/>
      <c r="GH126" s="69"/>
      <c r="HX126" s="69"/>
      <c r="JI126" s="69"/>
      <c r="JU126" s="69"/>
      <c r="KM126" s="69"/>
      <c r="LH126" s="69"/>
      <c r="LN126" s="69"/>
      <c r="NC126" s="69"/>
      <c r="ON126" s="69"/>
    </row>
    <row r="127" spans="10:404" x14ac:dyDescent="0.25">
      <c r="J127" s="69"/>
      <c r="AB127" s="69"/>
      <c r="AW127" s="69"/>
      <c r="BC127" s="69"/>
      <c r="CR127" s="69"/>
      <c r="EC127" s="69"/>
      <c r="EO127" s="69"/>
      <c r="FG127" s="69"/>
      <c r="GB127" s="69"/>
      <c r="GH127" s="69"/>
      <c r="HX127" s="69"/>
      <c r="JI127" s="69"/>
      <c r="JU127" s="69"/>
      <c r="KM127" s="69"/>
      <c r="LH127" s="69"/>
      <c r="LN127" s="69"/>
      <c r="NC127" s="69"/>
      <c r="ON127" s="69"/>
    </row>
    <row r="128" spans="10:404" x14ac:dyDescent="0.25">
      <c r="J128" s="69"/>
      <c r="AB128" s="69"/>
      <c r="AW128" s="69"/>
      <c r="BC128" s="69"/>
      <c r="CR128" s="69"/>
      <c r="EC128" s="69"/>
      <c r="EO128" s="69"/>
      <c r="FG128" s="69"/>
      <c r="GB128" s="69"/>
      <c r="GH128" s="69"/>
      <c r="HX128" s="69"/>
      <c r="JI128" s="69"/>
      <c r="JU128" s="69"/>
      <c r="KM128" s="69"/>
      <c r="LH128" s="69"/>
      <c r="LN128" s="69"/>
      <c r="NC128" s="69"/>
      <c r="ON128" s="69"/>
    </row>
    <row r="129" spans="10:404" x14ac:dyDescent="0.25">
      <c r="J129" s="69"/>
      <c r="AB129" s="69"/>
      <c r="AW129" s="69"/>
      <c r="BC129" s="69"/>
      <c r="CR129" s="69"/>
      <c r="EC129" s="69"/>
      <c r="EO129" s="69"/>
      <c r="FG129" s="69"/>
      <c r="GB129" s="69"/>
      <c r="GH129" s="69"/>
      <c r="HX129" s="69"/>
      <c r="JI129" s="69"/>
      <c r="JU129" s="69"/>
      <c r="KM129" s="69"/>
      <c r="LH129" s="69"/>
      <c r="LN129" s="69"/>
      <c r="NC129" s="69"/>
      <c r="ON129" s="69"/>
    </row>
    <row r="130" spans="10:404" x14ac:dyDescent="0.25">
      <c r="J130" s="69"/>
      <c r="AB130" s="69"/>
      <c r="AW130" s="69"/>
      <c r="BC130" s="69"/>
      <c r="CR130" s="69"/>
      <c r="EC130" s="69"/>
      <c r="EO130" s="69"/>
      <c r="FG130" s="69"/>
      <c r="GB130" s="69"/>
      <c r="GH130" s="69"/>
      <c r="HX130" s="69"/>
      <c r="JI130" s="69"/>
      <c r="JU130" s="69"/>
      <c r="KM130" s="69"/>
      <c r="LH130" s="69"/>
      <c r="LN130" s="69"/>
      <c r="NC130" s="69"/>
      <c r="ON130" s="69"/>
    </row>
    <row r="131" spans="10:404" x14ac:dyDescent="0.25">
      <c r="J131" s="69"/>
      <c r="AB131" s="69"/>
      <c r="AW131" s="69"/>
      <c r="BC131" s="69"/>
      <c r="CR131" s="69"/>
      <c r="EC131" s="69"/>
      <c r="EO131" s="69"/>
      <c r="FG131" s="69"/>
      <c r="GB131" s="69"/>
      <c r="GH131" s="69"/>
      <c r="HX131" s="69"/>
      <c r="JI131" s="69"/>
      <c r="JU131" s="69"/>
      <c r="KM131" s="69"/>
      <c r="LH131" s="69"/>
      <c r="LN131" s="69"/>
      <c r="NC131" s="69"/>
      <c r="ON131" s="69"/>
    </row>
    <row r="132" spans="10:404" x14ac:dyDescent="0.25">
      <c r="J132" s="69"/>
      <c r="AB132" s="69"/>
      <c r="AW132" s="69"/>
      <c r="BC132" s="69"/>
      <c r="CR132" s="69"/>
      <c r="EC132" s="69"/>
      <c r="EO132" s="69"/>
      <c r="FG132" s="69"/>
      <c r="GB132" s="69"/>
      <c r="GH132" s="69"/>
      <c r="HX132" s="69"/>
      <c r="JI132" s="69"/>
      <c r="JU132" s="69"/>
      <c r="KM132" s="69"/>
      <c r="LH132" s="69"/>
      <c r="LN132" s="69"/>
      <c r="NC132" s="69"/>
      <c r="ON132" s="69"/>
    </row>
    <row r="133" spans="10:404" x14ac:dyDescent="0.25">
      <c r="J133" s="69"/>
      <c r="AB133" s="69"/>
      <c r="AW133" s="69"/>
      <c r="BC133" s="69"/>
      <c r="CR133" s="69"/>
      <c r="EC133" s="69"/>
      <c r="EO133" s="69"/>
      <c r="FG133" s="69"/>
      <c r="GB133" s="69"/>
      <c r="GH133" s="69"/>
      <c r="HX133" s="69"/>
      <c r="JI133" s="69"/>
      <c r="JU133" s="69"/>
      <c r="KM133" s="69"/>
      <c r="LH133" s="69"/>
      <c r="LN133" s="69"/>
      <c r="NC133" s="69"/>
      <c r="ON133" s="69"/>
    </row>
    <row r="134" spans="10:404" x14ac:dyDescent="0.25">
      <c r="J134" s="69"/>
      <c r="AB134" s="69"/>
      <c r="AW134" s="69"/>
      <c r="BC134" s="69"/>
      <c r="CR134" s="69"/>
      <c r="EC134" s="69"/>
      <c r="EO134" s="69"/>
      <c r="FG134" s="69"/>
      <c r="GB134" s="69"/>
      <c r="GH134" s="69"/>
      <c r="HX134" s="69"/>
      <c r="JI134" s="69"/>
      <c r="JU134" s="69"/>
      <c r="KM134" s="69"/>
      <c r="LH134" s="69"/>
      <c r="LN134" s="69"/>
      <c r="NC134" s="69"/>
      <c r="ON134" s="69"/>
    </row>
    <row r="135" spans="10:404" x14ac:dyDescent="0.25">
      <c r="J135" s="69"/>
      <c r="AB135" s="69"/>
      <c r="AW135" s="69"/>
      <c r="BC135" s="69"/>
      <c r="CR135" s="69"/>
      <c r="EC135" s="69"/>
      <c r="EO135" s="69"/>
      <c r="FG135" s="69"/>
      <c r="GB135" s="69"/>
      <c r="GH135" s="69"/>
      <c r="HX135" s="69"/>
      <c r="JI135" s="69"/>
      <c r="JU135" s="69"/>
      <c r="KM135" s="69"/>
      <c r="LH135" s="69"/>
      <c r="LN135" s="69"/>
      <c r="NC135" s="69"/>
      <c r="ON135" s="69"/>
    </row>
    <row r="136" spans="10:404" x14ac:dyDescent="0.25">
      <c r="J136" s="69"/>
      <c r="AB136" s="69"/>
      <c r="AW136" s="69"/>
      <c r="BC136" s="69"/>
      <c r="CR136" s="69"/>
      <c r="EC136" s="69"/>
      <c r="EO136" s="69"/>
      <c r="FG136" s="69"/>
      <c r="GB136" s="69"/>
      <c r="GH136" s="69"/>
      <c r="HX136" s="69"/>
      <c r="JI136" s="69"/>
      <c r="JU136" s="69"/>
      <c r="KM136" s="69"/>
      <c r="LH136" s="69"/>
      <c r="LN136" s="69"/>
      <c r="NC136" s="69"/>
      <c r="ON136" s="69"/>
    </row>
    <row r="137" spans="10:404" x14ac:dyDescent="0.25">
      <c r="J137" s="69"/>
      <c r="AB137" s="69"/>
      <c r="AW137" s="69"/>
      <c r="BC137" s="69"/>
      <c r="CR137" s="69"/>
      <c r="EC137" s="69"/>
      <c r="EO137" s="69"/>
      <c r="FG137" s="69"/>
      <c r="GB137" s="69"/>
      <c r="GH137" s="69"/>
      <c r="HX137" s="69"/>
      <c r="JI137" s="69"/>
      <c r="JU137" s="69"/>
      <c r="KM137" s="69"/>
      <c r="LH137" s="69"/>
      <c r="LN137" s="69"/>
      <c r="NC137" s="69"/>
      <c r="ON137" s="69"/>
    </row>
    <row r="138" spans="10:404" x14ac:dyDescent="0.25">
      <c r="J138" s="69"/>
      <c r="AB138" s="69"/>
      <c r="AW138" s="69"/>
      <c r="BC138" s="69"/>
      <c r="CR138" s="69"/>
      <c r="EC138" s="69"/>
      <c r="EO138" s="69"/>
      <c r="FG138" s="69"/>
      <c r="GB138" s="69"/>
      <c r="GH138" s="69"/>
      <c r="HX138" s="69"/>
      <c r="JI138" s="69"/>
      <c r="JU138" s="69"/>
      <c r="KM138" s="69"/>
      <c r="LH138" s="69"/>
      <c r="LN138" s="69"/>
      <c r="NC138" s="69"/>
      <c r="ON138" s="69"/>
    </row>
    <row r="139" spans="10:404" x14ac:dyDescent="0.25">
      <c r="J139" s="69"/>
      <c r="AB139" s="69"/>
      <c r="AW139" s="69"/>
      <c r="BC139" s="69"/>
      <c r="CR139" s="69"/>
      <c r="EC139" s="69"/>
      <c r="EO139" s="69"/>
      <c r="FG139" s="69"/>
      <c r="GB139" s="69"/>
      <c r="GH139" s="69"/>
      <c r="HX139" s="69"/>
      <c r="JI139" s="69"/>
      <c r="JU139" s="69"/>
      <c r="KM139" s="69"/>
      <c r="LH139" s="69"/>
      <c r="LN139" s="69"/>
      <c r="NC139" s="69"/>
      <c r="ON139" s="69"/>
    </row>
    <row r="140" spans="10:404" x14ac:dyDescent="0.25">
      <c r="J140" s="69"/>
      <c r="AB140" s="69"/>
      <c r="AW140" s="69"/>
      <c r="BC140" s="69"/>
      <c r="CR140" s="69"/>
      <c r="EC140" s="69"/>
      <c r="EO140" s="69"/>
      <c r="FG140" s="69"/>
      <c r="GB140" s="69"/>
      <c r="GH140" s="69"/>
      <c r="HX140" s="69"/>
      <c r="JI140" s="69"/>
      <c r="JU140" s="69"/>
      <c r="KM140" s="69"/>
      <c r="LH140" s="69"/>
      <c r="LN140" s="69"/>
      <c r="NC140" s="69"/>
      <c r="ON140" s="69"/>
    </row>
    <row r="141" spans="10:404" x14ac:dyDescent="0.25">
      <c r="J141" s="69"/>
      <c r="AB141" s="69"/>
      <c r="AW141" s="69"/>
      <c r="BC141" s="69"/>
      <c r="CR141" s="69"/>
      <c r="EC141" s="69"/>
      <c r="EO141" s="69"/>
      <c r="FG141" s="69"/>
      <c r="GB141" s="69"/>
      <c r="GH141" s="69"/>
      <c r="HX141" s="69"/>
      <c r="JI141" s="69"/>
      <c r="JU141" s="69"/>
      <c r="KM141" s="69"/>
      <c r="LH141" s="69"/>
      <c r="LN141" s="69"/>
      <c r="NC141" s="69"/>
      <c r="ON141" s="69"/>
    </row>
    <row r="142" spans="10:404" x14ac:dyDescent="0.25">
      <c r="J142" s="69"/>
      <c r="AB142" s="69"/>
      <c r="AW142" s="69"/>
      <c r="BC142" s="69"/>
      <c r="CR142" s="69"/>
      <c r="EC142" s="69"/>
      <c r="EO142" s="69"/>
      <c r="FG142" s="69"/>
      <c r="GB142" s="69"/>
      <c r="GH142" s="69"/>
      <c r="HX142" s="69"/>
      <c r="JI142" s="69"/>
      <c r="JU142" s="69"/>
      <c r="KM142" s="69"/>
      <c r="LH142" s="69"/>
      <c r="LN142" s="69"/>
      <c r="NC142" s="69"/>
      <c r="ON142" s="69"/>
    </row>
    <row r="143" spans="10:404" x14ac:dyDescent="0.25">
      <c r="J143" s="69"/>
      <c r="AB143" s="69"/>
      <c r="AW143" s="69"/>
      <c r="BC143" s="69"/>
      <c r="CR143" s="69"/>
      <c r="EC143" s="69"/>
      <c r="EO143" s="69"/>
      <c r="FG143" s="69"/>
      <c r="GB143" s="69"/>
      <c r="GH143" s="69"/>
      <c r="HX143" s="69"/>
      <c r="JI143" s="69"/>
      <c r="JU143" s="69"/>
      <c r="KM143" s="69"/>
      <c r="LH143" s="69"/>
      <c r="LN143" s="69"/>
      <c r="NC143" s="69"/>
      <c r="ON143" s="69"/>
    </row>
    <row r="144" spans="10:404" x14ac:dyDescent="0.25">
      <c r="J144" s="69"/>
      <c r="AB144" s="69"/>
      <c r="AW144" s="69"/>
      <c r="BC144" s="69"/>
      <c r="CR144" s="69"/>
      <c r="EC144" s="69"/>
      <c r="EO144" s="69"/>
      <c r="FG144" s="69"/>
      <c r="GB144" s="69"/>
      <c r="GH144" s="69"/>
      <c r="HX144" s="69"/>
      <c r="JI144" s="69"/>
      <c r="JU144" s="69"/>
      <c r="KM144" s="69"/>
      <c r="LH144" s="69"/>
      <c r="LN144" s="69"/>
      <c r="NC144" s="69"/>
      <c r="ON144" s="69"/>
    </row>
    <row r="145" spans="10:404" x14ac:dyDescent="0.25">
      <c r="J145" s="69"/>
      <c r="AB145" s="69"/>
      <c r="AW145" s="69"/>
      <c r="BC145" s="69"/>
      <c r="CR145" s="69"/>
      <c r="EC145" s="69"/>
      <c r="EO145" s="69"/>
      <c r="FG145" s="69"/>
      <c r="GB145" s="69"/>
      <c r="GH145" s="69"/>
      <c r="HX145" s="69"/>
      <c r="JI145" s="69"/>
      <c r="JU145" s="69"/>
      <c r="KM145" s="69"/>
      <c r="LH145" s="69"/>
      <c r="LN145" s="69"/>
      <c r="NC145" s="69"/>
      <c r="ON145" s="69"/>
    </row>
    <row r="146" spans="10:404" x14ac:dyDescent="0.25">
      <c r="J146" s="69"/>
      <c r="AB146" s="69"/>
      <c r="AW146" s="69"/>
      <c r="BC146" s="69"/>
      <c r="CR146" s="69"/>
      <c r="EC146" s="69"/>
      <c r="EO146" s="69"/>
      <c r="FG146" s="69"/>
      <c r="GB146" s="69"/>
      <c r="GH146" s="69"/>
      <c r="HX146" s="69"/>
      <c r="JI146" s="69"/>
      <c r="JU146" s="69"/>
      <c r="KM146" s="69"/>
      <c r="LH146" s="69"/>
      <c r="LN146" s="69"/>
      <c r="NC146" s="69"/>
      <c r="ON146" s="69"/>
    </row>
    <row r="147" spans="10:404" x14ac:dyDescent="0.25">
      <c r="J147" s="69"/>
      <c r="AB147" s="69"/>
      <c r="AW147" s="69"/>
      <c r="BC147" s="69"/>
      <c r="CR147" s="69"/>
      <c r="EC147" s="69"/>
      <c r="EO147" s="69"/>
      <c r="FG147" s="69"/>
      <c r="GB147" s="69"/>
      <c r="GH147" s="69"/>
      <c r="HX147" s="69"/>
      <c r="JI147" s="69"/>
      <c r="JU147" s="69"/>
      <c r="KM147" s="69"/>
      <c r="LH147" s="69"/>
      <c r="LN147" s="69"/>
      <c r="NC147" s="69"/>
      <c r="ON147" s="69"/>
    </row>
    <row r="148" spans="10:404" x14ac:dyDescent="0.25">
      <c r="J148" s="69"/>
      <c r="AB148" s="69"/>
      <c r="AW148" s="69"/>
      <c r="BC148" s="69"/>
      <c r="CR148" s="69"/>
      <c r="EC148" s="69"/>
      <c r="EO148" s="69"/>
      <c r="FG148" s="69"/>
      <c r="GB148" s="69"/>
      <c r="GH148" s="69"/>
      <c r="HX148" s="69"/>
      <c r="JI148" s="69"/>
      <c r="JU148" s="69"/>
      <c r="KM148" s="69"/>
      <c r="LH148" s="69"/>
      <c r="LN148" s="69"/>
      <c r="NC148" s="69"/>
      <c r="ON148" s="69"/>
    </row>
    <row r="149" spans="10:404" x14ac:dyDescent="0.25">
      <c r="J149" s="69"/>
      <c r="AB149" s="69"/>
      <c r="AW149" s="69"/>
      <c r="BC149" s="69"/>
      <c r="CR149" s="69"/>
      <c r="EC149" s="69"/>
      <c r="EO149" s="69"/>
      <c r="FG149" s="69"/>
      <c r="GB149" s="69"/>
      <c r="GH149" s="69"/>
      <c r="HX149" s="69"/>
      <c r="JI149" s="69"/>
      <c r="JU149" s="69"/>
      <c r="KM149" s="69"/>
      <c r="LH149" s="69"/>
      <c r="LN149" s="69"/>
      <c r="NC149" s="69"/>
      <c r="ON149" s="69"/>
    </row>
    <row r="150" spans="10:404" x14ac:dyDescent="0.25">
      <c r="J150" s="69"/>
      <c r="AB150" s="69"/>
      <c r="AW150" s="69"/>
      <c r="BC150" s="69"/>
      <c r="CR150" s="69"/>
      <c r="EC150" s="69"/>
      <c r="EO150" s="69"/>
      <c r="FG150" s="69"/>
      <c r="GB150" s="69"/>
      <c r="GH150" s="69"/>
      <c r="HX150" s="69"/>
      <c r="JI150" s="69"/>
      <c r="JU150" s="69"/>
      <c r="KM150" s="69"/>
      <c r="LH150" s="69"/>
      <c r="LN150" s="69"/>
      <c r="NC150" s="69"/>
      <c r="ON150" s="69"/>
    </row>
    <row r="151" spans="10:404" x14ac:dyDescent="0.25">
      <c r="J151" s="69"/>
      <c r="AB151" s="69"/>
      <c r="AW151" s="69"/>
      <c r="BC151" s="69"/>
      <c r="CR151" s="69"/>
      <c r="EC151" s="69"/>
      <c r="EO151" s="69"/>
      <c r="FG151" s="69"/>
      <c r="GB151" s="69"/>
      <c r="GH151" s="69"/>
      <c r="HX151" s="69"/>
      <c r="JI151" s="69"/>
      <c r="JU151" s="69"/>
      <c r="KM151" s="69"/>
      <c r="LH151" s="69"/>
      <c r="LN151" s="69"/>
      <c r="NC151" s="69"/>
      <c r="ON151" s="69"/>
    </row>
    <row r="152" spans="10:404" x14ac:dyDescent="0.25">
      <c r="J152" s="69"/>
      <c r="AB152" s="69"/>
      <c r="AW152" s="69"/>
      <c r="BC152" s="69"/>
      <c r="CR152" s="69"/>
      <c r="EC152" s="69"/>
      <c r="EO152" s="69"/>
      <c r="FG152" s="69"/>
      <c r="GB152" s="69"/>
      <c r="GH152" s="69"/>
      <c r="HX152" s="69"/>
      <c r="JI152" s="69"/>
      <c r="JU152" s="69"/>
      <c r="KM152" s="69"/>
      <c r="LH152" s="69"/>
      <c r="LN152" s="69"/>
      <c r="NC152" s="69"/>
      <c r="ON152" s="69"/>
    </row>
    <row r="153" spans="10:404" x14ac:dyDescent="0.25">
      <c r="J153" s="69"/>
      <c r="AB153" s="69"/>
      <c r="AW153" s="69"/>
      <c r="BC153" s="69"/>
      <c r="CR153" s="69"/>
      <c r="EC153" s="69"/>
      <c r="EO153" s="69"/>
      <c r="FG153" s="69"/>
      <c r="GB153" s="69"/>
      <c r="GH153" s="69"/>
      <c r="HX153" s="69"/>
      <c r="JI153" s="69"/>
      <c r="JU153" s="69"/>
      <c r="KM153" s="69"/>
      <c r="LH153" s="69"/>
      <c r="LN153" s="69"/>
      <c r="NC153" s="69"/>
      <c r="ON153" s="69"/>
    </row>
    <row r="154" spans="10:404" x14ac:dyDescent="0.25">
      <c r="J154" s="69"/>
      <c r="AB154" s="69"/>
      <c r="AW154" s="69"/>
      <c r="BC154" s="69"/>
      <c r="CR154" s="69"/>
      <c r="EC154" s="69"/>
      <c r="EO154" s="69"/>
      <c r="FG154" s="69"/>
      <c r="GB154" s="69"/>
      <c r="GH154" s="69"/>
      <c r="HX154" s="69"/>
      <c r="JI154" s="69"/>
      <c r="JU154" s="69"/>
      <c r="KM154" s="69"/>
      <c r="LH154" s="69"/>
      <c r="LN154" s="69"/>
      <c r="NC154" s="69"/>
      <c r="ON154" s="69"/>
    </row>
    <row r="155" spans="10:404" x14ac:dyDescent="0.25">
      <c r="J155" s="69"/>
      <c r="AB155" s="69"/>
      <c r="AW155" s="69"/>
      <c r="BC155" s="69"/>
      <c r="CR155" s="69"/>
      <c r="EC155" s="69"/>
      <c r="EO155" s="69"/>
      <c r="FG155" s="69"/>
      <c r="GB155" s="69"/>
      <c r="GH155" s="69"/>
      <c r="HX155" s="69"/>
      <c r="JI155" s="69"/>
      <c r="JU155" s="69"/>
      <c r="KM155" s="69"/>
      <c r="LH155" s="69"/>
      <c r="LN155" s="69"/>
      <c r="NC155" s="69"/>
      <c r="ON155" s="69"/>
    </row>
    <row r="156" spans="10:404" x14ac:dyDescent="0.25">
      <c r="J156" s="69"/>
      <c r="AB156" s="69"/>
      <c r="AW156" s="69"/>
      <c r="BC156" s="69"/>
      <c r="CR156" s="69"/>
      <c r="EC156" s="69"/>
      <c r="EO156" s="69"/>
      <c r="FG156" s="69"/>
      <c r="GB156" s="69"/>
      <c r="GH156" s="69"/>
      <c r="HX156" s="69"/>
      <c r="JI156" s="69"/>
      <c r="JU156" s="69"/>
      <c r="KM156" s="69"/>
      <c r="LH156" s="69"/>
      <c r="LN156" s="69"/>
      <c r="NC156" s="69"/>
      <c r="ON156" s="69"/>
    </row>
    <row r="157" spans="10:404" x14ac:dyDescent="0.25">
      <c r="J157" s="69"/>
      <c r="AB157" s="69"/>
      <c r="AW157" s="69"/>
      <c r="BC157" s="69"/>
      <c r="CR157" s="69"/>
      <c r="EC157" s="69"/>
      <c r="EO157" s="69"/>
      <c r="FG157" s="69"/>
      <c r="GB157" s="69"/>
      <c r="GH157" s="69"/>
      <c r="HX157" s="69"/>
      <c r="JI157" s="69"/>
      <c r="JU157" s="69"/>
      <c r="KM157" s="69"/>
      <c r="LH157" s="69"/>
      <c r="LN157" s="69"/>
      <c r="NC157" s="69"/>
      <c r="ON157" s="69"/>
    </row>
    <row r="158" spans="10:404" x14ac:dyDescent="0.25">
      <c r="J158" s="69"/>
      <c r="AB158" s="69"/>
      <c r="AW158" s="69"/>
      <c r="BC158" s="69"/>
      <c r="CR158" s="69"/>
      <c r="EC158" s="69"/>
      <c r="EO158" s="69"/>
      <c r="FG158" s="69"/>
      <c r="GB158" s="69"/>
      <c r="GH158" s="69"/>
      <c r="HX158" s="69"/>
      <c r="JI158" s="69"/>
      <c r="JU158" s="69"/>
      <c r="KM158" s="69"/>
      <c r="LH158" s="69"/>
      <c r="LN158" s="69"/>
      <c r="NC158" s="69"/>
      <c r="ON158" s="69"/>
    </row>
    <row r="159" spans="10:404" x14ac:dyDescent="0.25">
      <c r="J159" s="69"/>
      <c r="AB159" s="69"/>
      <c r="AW159" s="69"/>
      <c r="BC159" s="69"/>
      <c r="CR159" s="69"/>
      <c r="EC159" s="69"/>
      <c r="EO159" s="69"/>
      <c r="FG159" s="69"/>
      <c r="GB159" s="69"/>
      <c r="GH159" s="69"/>
      <c r="HX159" s="69"/>
      <c r="JI159" s="69"/>
      <c r="JU159" s="69"/>
      <c r="KM159" s="69"/>
      <c r="LH159" s="69"/>
      <c r="LN159" s="69"/>
      <c r="NC159" s="69"/>
      <c r="ON159" s="69"/>
    </row>
    <row r="160" spans="10:404" x14ac:dyDescent="0.25">
      <c r="J160" s="69"/>
      <c r="AB160" s="69"/>
      <c r="AW160" s="69"/>
      <c r="BC160" s="69"/>
      <c r="CR160" s="69"/>
      <c r="EC160" s="69"/>
      <c r="EO160" s="69"/>
      <c r="FG160" s="69"/>
      <c r="GB160" s="69"/>
      <c r="GH160" s="69"/>
      <c r="HX160" s="69"/>
      <c r="JI160" s="69"/>
      <c r="JU160" s="69"/>
      <c r="KM160" s="69"/>
      <c r="LH160" s="69"/>
      <c r="LN160" s="69"/>
      <c r="NC160" s="69"/>
      <c r="ON160" s="69"/>
    </row>
    <row r="161" spans="10:404" x14ac:dyDescent="0.25">
      <c r="J161" s="69"/>
      <c r="AB161" s="69"/>
      <c r="AW161" s="69"/>
      <c r="BC161" s="69"/>
      <c r="CR161" s="69"/>
      <c r="EC161" s="69"/>
      <c r="EO161" s="69"/>
      <c r="FG161" s="69"/>
      <c r="GB161" s="69"/>
      <c r="GH161" s="69"/>
      <c r="HX161" s="69"/>
      <c r="JI161" s="69"/>
      <c r="JU161" s="69"/>
      <c r="KM161" s="69"/>
      <c r="LH161" s="69"/>
      <c r="LN161" s="69"/>
      <c r="NC161" s="69"/>
      <c r="ON161" s="69"/>
    </row>
    <row r="162" spans="10:404" x14ac:dyDescent="0.25">
      <c r="J162" s="69"/>
      <c r="AB162" s="69"/>
      <c r="AW162" s="69"/>
      <c r="BC162" s="69"/>
      <c r="CR162" s="69"/>
      <c r="EC162" s="69"/>
      <c r="EO162" s="69"/>
      <c r="FG162" s="69"/>
      <c r="GB162" s="69"/>
      <c r="GH162" s="69"/>
      <c r="HX162" s="69"/>
      <c r="JI162" s="69"/>
      <c r="JU162" s="69"/>
      <c r="KM162" s="69"/>
      <c r="LH162" s="69"/>
      <c r="LN162" s="69"/>
      <c r="NC162" s="69"/>
      <c r="ON162" s="69"/>
    </row>
    <row r="163" spans="10:404" x14ac:dyDescent="0.25">
      <c r="J163" s="69"/>
      <c r="AB163" s="69"/>
      <c r="AW163" s="69"/>
      <c r="BC163" s="69"/>
      <c r="CR163" s="69"/>
      <c r="EC163" s="69"/>
      <c r="EO163" s="69"/>
      <c r="FG163" s="69"/>
      <c r="GB163" s="69"/>
      <c r="GH163" s="69"/>
      <c r="HX163" s="69"/>
      <c r="JI163" s="69"/>
      <c r="JU163" s="69"/>
      <c r="KM163" s="69"/>
      <c r="LH163" s="69"/>
      <c r="LN163" s="69"/>
      <c r="NC163" s="69"/>
      <c r="ON163" s="69"/>
    </row>
    <row r="164" spans="10:404" x14ac:dyDescent="0.25">
      <c r="J164" s="69"/>
      <c r="AB164" s="69"/>
      <c r="AW164" s="69"/>
      <c r="BC164" s="69"/>
      <c r="CR164" s="69"/>
      <c r="EC164" s="69"/>
      <c r="EO164" s="69"/>
      <c r="FG164" s="69"/>
      <c r="GB164" s="69"/>
      <c r="GH164" s="69"/>
      <c r="HX164" s="69"/>
      <c r="JI164" s="69"/>
      <c r="JU164" s="69"/>
      <c r="KM164" s="69"/>
      <c r="LH164" s="69"/>
      <c r="LN164" s="69"/>
      <c r="NC164" s="69"/>
      <c r="ON164" s="69"/>
    </row>
    <row r="165" spans="10:404" x14ac:dyDescent="0.25">
      <c r="J165" s="69"/>
      <c r="AB165" s="69"/>
      <c r="AW165" s="69"/>
      <c r="BC165" s="69"/>
      <c r="CR165" s="69"/>
      <c r="EC165" s="69"/>
      <c r="EO165" s="69"/>
      <c r="FG165" s="69"/>
      <c r="GB165" s="69"/>
      <c r="GH165" s="69"/>
      <c r="HX165" s="69"/>
      <c r="JI165" s="69"/>
      <c r="JU165" s="69"/>
      <c r="KM165" s="69"/>
      <c r="LH165" s="69"/>
      <c r="LN165" s="69"/>
      <c r="NC165" s="69"/>
      <c r="ON165" s="69"/>
    </row>
    <row r="166" spans="10:404" x14ac:dyDescent="0.25">
      <c r="J166" s="69"/>
      <c r="AB166" s="69"/>
      <c r="AW166" s="69"/>
      <c r="BC166" s="69"/>
      <c r="CR166" s="69"/>
      <c r="EC166" s="69"/>
      <c r="EO166" s="69"/>
      <c r="FG166" s="69"/>
      <c r="GB166" s="69"/>
      <c r="GH166" s="69"/>
      <c r="HX166" s="69"/>
      <c r="JI166" s="69"/>
      <c r="JU166" s="69"/>
      <c r="KM166" s="69"/>
      <c r="LH166" s="69"/>
      <c r="LN166" s="69"/>
      <c r="NC166" s="69"/>
      <c r="ON166" s="69"/>
    </row>
    <row r="167" spans="10:404" x14ac:dyDescent="0.25">
      <c r="J167" s="69"/>
      <c r="AB167" s="69"/>
      <c r="AW167" s="69"/>
      <c r="BC167" s="69"/>
      <c r="CR167" s="69"/>
      <c r="EC167" s="69"/>
      <c r="EO167" s="69"/>
      <c r="FG167" s="69"/>
      <c r="GB167" s="69"/>
      <c r="GH167" s="69"/>
      <c r="HX167" s="69"/>
      <c r="JI167" s="69"/>
      <c r="JU167" s="69"/>
      <c r="KM167" s="69"/>
      <c r="LH167" s="69"/>
      <c r="LN167" s="69"/>
      <c r="NC167" s="69"/>
      <c r="ON167" s="69"/>
    </row>
    <row r="168" spans="10:404" x14ac:dyDescent="0.25">
      <c r="J168" s="69"/>
      <c r="AB168" s="69"/>
      <c r="AW168" s="69"/>
      <c r="BC168" s="69"/>
      <c r="CR168" s="69"/>
      <c r="EC168" s="69"/>
      <c r="EO168" s="69"/>
      <c r="FG168" s="69"/>
      <c r="GB168" s="69"/>
      <c r="GH168" s="69"/>
      <c r="HX168" s="69"/>
      <c r="JI168" s="69"/>
      <c r="JU168" s="69"/>
      <c r="KM168" s="69"/>
      <c r="LH168" s="69"/>
      <c r="LN168" s="69"/>
      <c r="NC168" s="69"/>
      <c r="ON168" s="69"/>
    </row>
    <row r="169" spans="10:404" x14ac:dyDescent="0.25">
      <c r="J169" s="69"/>
      <c r="AB169" s="69"/>
      <c r="AW169" s="69"/>
      <c r="BC169" s="69"/>
      <c r="CR169" s="69"/>
      <c r="EC169" s="69"/>
      <c r="EO169" s="69"/>
      <c r="FG169" s="69"/>
      <c r="GB169" s="69"/>
      <c r="GH169" s="69"/>
      <c r="HX169" s="69"/>
      <c r="JI169" s="69"/>
      <c r="JU169" s="69"/>
      <c r="KM169" s="69"/>
      <c r="LH169" s="69"/>
      <c r="LN169" s="69"/>
      <c r="NC169" s="69"/>
      <c r="ON169" s="69"/>
    </row>
    <row r="170" spans="10:404" x14ac:dyDescent="0.25">
      <c r="J170" s="69"/>
      <c r="AB170" s="69"/>
      <c r="AW170" s="69"/>
      <c r="BC170" s="69"/>
      <c r="CR170" s="69"/>
      <c r="EC170" s="69"/>
      <c r="EO170" s="69"/>
      <c r="FG170" s="69"/>
      <c r="GB170" s="69"/>
      <c r="GH170" s="69"/>
      <c r="HX170" s="69"/>
      <c r="JI170" s="69"/>
      <c r="JU170" s="69"/>
      <c r="KM170" s="69"/>
      <c r="LH170" s="69"/>
      <c r="LN170" s="69"/>
      <c r="NC170" s="69"/>
      <c r="ON170" s="69"/>
    </row>
    <row r="171" spans="10:404" x14ac:dyDescent="0.25">
      <c r="J171" s="69"/>
      <c r="AB171" s="69"/>
      <c r="AW171" s="69"/>
      <c r="BC171" s="69"/>
      <c r="CR171" s="69"/>
      <c r="EC171" s="69"/>
      <c r="EO171" s="69"/>
      <c r="FG171" s="69"/>
      <c r="GB171" s="69"/>
      <c r="GH171" s="69"/>
      <c r="HX171" s="69"/>
      <c r="JI171" s="69"/>
      <c r="JU171" s="69"/>
      <c r="KM171" s="69"/>
      <c r="LH171" s="69"/>
      <c r="LN171" s="69"/>
      <c r="NC171" s="69"/>
      <c r="ON171" s="69"/>
    </row>
    <row r="172" spans="10:404" x14ac:dyDescent="0.25">
      <c r="J172" s="69"/>
      <c r="AB172" s="69"/>
      <c r="AW172" s="69"/>
      <c r="BC172" s="69"/>
      <c r="CR172" s="69"/>
      <c r="EC172" s="69"/>
      <c r="EO172" s="69"/>
      <c r="FG172" s="69"/>
      <c r="GB172" s="69"/>
      <c r="GH172" s="69"/>
      <c r="HX172" s="69"/>
      <c r="JI172" s="69"/>
      <c r="JU172" s="69"/>
      <c r="KM172" s="69"/>
      <c r="LH172" s="69"/>
      <c r="LN172" s="69"/>
      <c r="NC172" s="69"/>
      <c r="ON172" s="69"/>
    </row>
    <row r="173" spans="10:404" x14ac:dyDescent="0.25">
      <c r="J173" s="69"/>
      <c r="AB173" s="69"/>
      <c r="AW173" s="69"/>
      <c r="BC173" s="69"/>
      <c r="CR173" s="69"/>
      <c r="EC173" s="69"/>
      <c r="EO173" s="69"/>
      <c r="FG173" s="69"/>
      <c r="GB173" s="69"/>
      <c r="GH173" s="69"/>
      <c r="HX173" s="69"/>
      <c r="JI173" s="69"/>
      <c r="JU173" s="69"/>
      <c r="KM173" s="69"/>
      <c r="LH173" s="69"/>
      <c r="LN173" s="69"/>
      <c r="NC173" s="69"/>
      <c r="ON173" s="69"/>
    </row>
    <row r="174" spans="10:404" x14ac:dyDescent="0.25">
      <c r="J174" s="69"/>
      <c r="AB174" s="69"/>
      <c r="AW174" s="69"/>
      <c r="BC174" s="69"/>
      <c r="CR174" s="69"/>
      <c r="EC174" s="69"/>
      <c r="EO174" s="69"/>
      <c r="FG174" s="69"/>
      <c r="GB174" s="69"/>
      <c r="GH174" s="69"/>
      <c r="HX174" s="69"/>
      <c r="JI174" s="69"/>
      <c r="JU174" s="69"/>
      <c r="KM174" s="69"/>
      <c r="LH174" s="69"/>
      <c r="LN174" s="69"/>
      <c r="NC174" s="69"/>
      <c r="ON174" s="69"/>
    </row>
    <row r="175" spans="10:404" x14ac:dyDescent="0.25">
      <c r="J175" s="69"/>
      <c r="AB175" s="69"/>
      <c r="AW175" s="69"/>
      <c r="BC175" s="69"/>
      <c r="CR175" s="69"/>
      <c r="EC175" s="69"/>
      <c r="EO175" s="69"/>
      <c r="FG175" s="69"/>
      <c r="GB175" s="69"/>
      <c r="GH175" s="69"/>
      <c r="HX175" s="69"/>
      <c r="JI175" s="69"/>
      <c r="JU175" s="69"/>
      <c r="KM175" s="69"/>
      <c r="LH175" s="69"/>
      <c r="LN175" s="69"/>
      <c r="NC175" s="69"/>
      <c r="ON175" s="69"/>
    </row>
    <row r="176" spans="10:404" x14ac:dyDescent="0.25">
      <c r="J176" s="69"/>
      <c r="AB176" s="69"/>
      <c r="AW176" s="69"/>
      <c r="BC176" s="69"/>
      <c r="CR176" s="69"/>
      <c r="EC176" s="69"/>
      <c r="EO176" s="69"/>
      <c r="FG176" s="69"/>
      <c r="GB176" s="69"/>
      <c r="GH176" s="69"/>
      <c r="HX176" s="69"/>
      <c r="JI176" s="69"/>
      <c r="JU176" s="69"/>
      <c r="KM176" s="69"/>
      <c r="LH176" s="69"/>
      <c r="LN176" s="69"/>
      <c r="NC176" s="69"/>
      <c r="ON176" s="69"/>
    </row>
    <row r="177" spans="10:404" x14ac:dyDescent="0.25">
      <c r="J177" s="69"/>
      <c r="AB177" s="69"/>
      <c r="AW177" s="69"/>
      <c r="BC177" s="69"/>
      <c r="CR177" s="69"/>
      <c r="EC177" s="69"/>
      <c r="EO177" s="69"/>
      <c r="FG177" s="69"/>
      <c r="GB177" s="69"/>
      <c r="GH177" s="69"/>
      <c r="HX177" s="69"/>
      <c r="JI177" s="69"/>
      <c r="JU177" s="69"/>
      <c r="KM177" s="69"/>
      <c r="LH177" s="69"/>
      <c r="LN177" s="69"/>
      <c r="NC177" s="69"/>
      <c r="ON177" s="69"/>
    </row>
    <row r="178" spans="10:404" x14ac:dyDescent="0.25">
      <c r="J178" s="69"/>
      <c r="AB178" s="69"/>
      <c r="AW178" s="69"/>
      <c r="BC178" s="69"/>
      <c r="CR178" s="69"/>
      <c r="EC178" s="69"/>
      <c r="EO178" s="69"/>
      <c r="FG178" s="69"/>
      <c r="GB178" s="69"/>
      <c r="GH178" s="69"/>
      <c r="HX178" s="69"/>
      <c r="JI178" s="69"/>
      <c r="JU178" s="69"/>
      <c r="KM178" s="69"/>
      <c r="LH178" s="69"/>
      <c r="LN178" s="69"/>
      <c r="NC178" s="69"/>
      <c r="ON178" s="69"/>
    </row>
    <row r="179" spans="10:404" x14ac:dyDescent="0.25">
      <c r="J179" s="69"/>
      <c r="AB179" s="69"/>
      <c r="AW179" s="69"/>
      <c r="BC179" s="69"/>
      <c r="CR179" s="69"/>
      <c r="EC179" s="69"/>
      <c r="EO179" s="69"/>
      <c r="FG179" s="69"/>
      <c r="GB179" s="69"/>
      <c r="GH179" s="69"/>
      <c r="HX179" s="69"/>
      <c r="JI179" s="69"/>
      <c r="JU179" s="69"/>
      <c r="KM179" s="69"/>
      <c r="LH179" s="69"/>
      <c r="LN179" s="69"/>
      <c r="NC179" s="69"/>
      <c r="ON179" s="69"/>
    </row>
    <row r="180" spans="10:404" x14ac:dyDescent="0.25">
      <c r="J180" s="69"/>
      <c r="AB180" s="69"/>
      <c r="AW180" s="69"/>
      <c r="BC180" s="69"/>
      <c r="CR180" s="69"/>
      <c r="EC180" s="69"/>
      <c r="EO180" s="69"/>
      <c r="FG180" s="69"/>
      <c r="GB180" s="69"/>
      <c r="GH180" s="69"/>
      <c r="HX180" s="69"/>
      <c r="JI180" s="69"/>
      <c r="JU180" s="69"/>
      <c r="KM180" s="69"/>
      <c r="LH180" s="69"/>
      <c r="LN180" s="69"/>
      <c r="NC180" s="69"/>
      <c r="ON180" s="69"/>
    </row>
    <row r="181" spans="10:404" x14ac:dyDescent="0.25">
      <c r="J181" s="69"/>
      <c r="AB181" s="69"/>
      <c r="AW181" s="69"/>
      <c r="BC181" s="69"/>
      <c r="CR181" s="69"/>
      <c r="EC181" s="69"/>
      <c r="EO181" s="69"/>
      <c r="FG181" s="69"/>
      <c r="GB181" s="69"/>
      <c r="GH181" s="69"/>
      <c r="HX181" s="69"/>
      <c r="JI181" s="69"/>
      <c r="JU181" s="69"/>
      <c r="KM181" s="69"/>
      <c r="LH181" s="69"/>
      <c r="LN181" s="69"/>
      <c r="NC181" s="69"/>
      <c r="ON181" s="69"/>
    </row>
    <row r="182" spans="10:404" x14ac:dyDescent="0.25">
      <c r="J182" s="69"/>
      <c r="AB182" s="69"/>
      <c r="AW182" s="69"/>
      <c r="BC182" s="69"/>
      <c r="CR182" s="69"/>
      <c r="EC182" s="69"/>
      <c r="EO182" s="69"/>
      <c r="FG182" s="69"/>
      <c r="GB182" s="69"/>
      <c r="GH182" s="69"/>
      <c r="HX182" s="69"/>
      <c r="JI182" s="69"/>
      <c r="JU182" s="69"/>
      <c r="KM182" s="69"/>
      <c r="LH182" s="69"/>
      <c r="LN182" s="69"/>
      <c r="NC182" s="69"/>
      <c r="ON182" s="69"/>
    </row>
    <row r="183" spans="10:404" x14ac:dyDescent="0.25">
      <c r="J183" s="69"/>
      <c r="AB183" s="69"/>
      <c r="AW183" s="69"/>
      <c r="BC183" s="69"/>
      <c r="CR183" s="69"/>
      <c r="EC183" s="69"/>
      <c r="EO183" s="69"/>
      <c r="FG183" s="69"/>
      <c r="GB183" s="69"/>
      <c r="GH183" s="69"/>
      <c r="HX183" s="69"/>
      <c r="JI183" s="69"/>
      <c r="JU183" s="69"/>
      <c r="KM183" s="69"/>
      <c r="LH183" s="69"/>
      <c r="LN183" s="69"/>
      <c r="NC183" s="69"/>
      <c r="ON183" s="69"/>
    </row>
    <row r="184" spans="10:404" x14ac:dyDescent="0.25">
      <c r="J184" s="69"/>
      <c r="AB184" s="69"/>
      <c r="AW184" s="69"/>
      <c r="BC184" s="69"/>
      <c r="CR184" s="69"/>
      <c r="EC184" s="69"/>
      <c r="EO184" s="69"/>
      <c r="FG184" s="69"/>
      <c r="GB184" s="69"/>
      <c r="GH184" s="69"/>
      <c r="HX184" s="69"/>
      <c r="JI184" s="69"/>
      <c r="JU184" s="69"/>
      <c r="KM184" s="69"/>
      <c r="LH184" s="69"/>
      <c r="LN184" s="69"/>
      <c r="NC184" s="69"/>
      <c r="ON184" s="69"/>
    </row>
    <row r="185" spans="10:404" x14ac:dyDescent="0.25">
      <c r="J185" s="69"/>
      <c r="AB185" s="69"/>
      <c r="AW185" s="69"/>
      <c r="BC185" s="69"/>
      <c r="CR185" s="69"/>
      <c r="EC185" s="69"/>
      <c r="EO185" s="69"/>
      <c r="FG185" s="69"/>
      <c r="GB185" s="69"/>
      <c r="GH185" s="69"/>
      <c r="HX185" s="69"/>
      <c r="JI185" s="69"/>
      <c r="JU185" s="69"/>
      <c r="KM185" s="69"/>
      <c r="LH185" s="69"/>
      <c r="LN185" s="69"/>
      <c r="NC185" s="69"/>
      <c r="ON185" s="69"/>
    </row>
    <row r="186" spans="10:404" x14ac:dyDescent="0.25">
      <c r="J186" s="69"/>
      <c r="AB186" s="69"/>
      <c r="AW186" s="69"/>
      <c r="BC186" s="69"/>
      <c r="CR186" s="69"/>
      <c r="EC186" s="69"/>
      <c r="EO186" s="69"/>
      <c r="FG186" s="69"/>
      <c r="GB186" s="69"/>
      <c r="GH186" s="69"/>
      <c r="HX186" s="69"/>
      <c r="JI186" s="69"/>
      <c r="JU186" s="69"/>
      <c r="KM186" s="69"/>
      <c r="LH186" s="69"/>
      <c r="LN186" s="69"/>
      <c r="NC186" s="69"/>
      <c r="ON186" s="69"/>
    </row>
    <row r="187" spans="10:404" x14ac:dyDescent="0.25">
      <c r="J187" s="69"/>
      <c r="AB187" s="69"/>
      <c r="AW187" s="69"/>
      <c r="BC187" s="69"/>
      <c r="CR187" s="69"/>
      <c r="EC187" s="69"/>
      <c r="EO187" s="69"/>
      <c r="FG187" s="69"/>
      <c r="GB187" s="69"/>
      <c r="GH187" s="69"/>
      <c r="HX187" s="69"/>
      <c r="JI187" s="69"/>
      <c r="JU187" s="69"/>
      <c r="KM187" s="69"/>
      <c r="LH187" s="69"/>
      <c r="LN187" s="69"/>
      <c r="NC187" s="69"/>
      <c r="ON187" s="69"/>
    </row>
    <row r="188" spans="10:404" x14ac:dyDescent="0.25">
      <c r="J188" s="69"/>
      <c r="AB188" s="69"/>
      <c r="AW188" s="69"/>
      <c r="BC188" s="69"/>
      <c r="CR188" s="69"/>
      <c r="EC188" s="69"/>
      <c r="EO188" s="69"/>
      <c r="FG188" s="69"/>
      <c r="GB188" s="69"/>
      <c r="GH188" s="69"/>
      <c r="HX188" s="69"/>
      <c r="JI188" s="69"/>
      <c r="JU188" s="69"/>
      <c r="KM188" s="69"/>
      <c r="LH188" s="69"/>
      <c r="LN188" s="69"/>
      <c r="NC188" s="69"/>
      <c r="ON188" s="69"/>
    </row>
    <row r="189" spans="10:404" x14ac:dyDescent="0.25">
      <c r="J189" s="69"/>
      <c r="AB189" s="69"/>
      <c r="AW189" s="69"/>
      <c r="BC189" s="69"/>
      <c r="CR189" s="69"/>
      <c r="EC189" s="69"/>
      <c r="EO189" s="69"/>
      <c r="FG189" s="69"/>
      <c r="GB189" s="69"/>
      <c r="GH189" s="69"/>
      <c r="HX189" s="69"/>
      <c r="JI189" s="69"/>
      <c r="JU189" s="69"/>
      <c r="KM189" s="69"/>
      <c r="LH189" s="69"/>
      <c r="LN189" s="69"/>
      <c r="NC189" s="69"/>
      <c r="ON189" s="69"/>
    </row>
    <row r="190" spans="10:404" x14ac:dyDescent="0.25">
      <c r="J190" s="69"/>
      <c r="AB190" s="69"/>
      <c r="AW190" s="69"/>
      <c r="BC190" s="69"/>
      <c r="CR190" s="69"/>
      <c r="EC190" s="69"/>
      <c r="EO190" s="69"/>
      <c r="FG190" s="69"/>
      <c r="GB190" s="69"/>
      <c r="GH190" s="69"/>
      <c r="HX190" s="69"/>
      <c r="JI190" s="69"/>
      <c r="JU190" s="69"/>
      <c r="KM190" s="69"/>
      <c r="LH190" s="69"/>
      <c r="LN190" s="69"/>
      <c r="NC190" s="69"/>
      <c r="ON190" s="69"/>
    </row>
    <row r="191" spans="10:404" x14ac:dyDescent="0.25">
      <c r="J191" s="69"/>
      <c r="AB191" s="69"/>
      <c r="AW191" s="69"/>
      <c r="BC191" s="69"/>
      <c r="CR191" s="69"/>
      <c r="EC191" s="69"/>
      <c r="EO191" s="69"/>
      <c r="FG191" s="69"/>
      <c r="GB191" s="69"/>
      <c r="GH191" s="69"/>
      <c r="HX191" s="69"/>
      <c r="JI191" s="69"/>
      <c r="JU191" s="69"/>
      <c r="KM191" s="69"/>
      <c r="LH191" s="69"/>
      <c r="LN191" s="69"/>
      <c r="NC191" s="69"/>
      <c r="ON191" s="69"/>
    </row>
    <row r="192" spans="10:404" x14ac:dyDescent="0.25">
      <c r="J192" s="69"/>
      <c r="AB192" s="69"/>
      <c r="AW192" s="69"/>
      <c r="BC192" s="69"/>
      <c r="CR192" s="69"/>
      <c r="EC192" s="69"/>
      <c r="EO192" s="69"/>
      <c r="FG192" s="69"/>
      <c r="GB192" s="69"/>
      <c r="GH192" s="69"/>
      <c r="HX192" s="69"/>
      <c r="JI192" s="69"/>
      <c r="JU192" s="69"/>
      <c r="KM192" s="69"/>
      <c r="LH192" s="69"/>
      <c r="LN192" s="69"/>
      <c r="NC192" s="69"/>
      <c r="ON192" s="69"/>
    </row>
    <row r="193" spans="10:404" x14ac:dyDescent="0.25">
      <c r="J193" s="69"/>
      <c r="AB193" s="69"/>
      <c r="AW193" s="69"/>
      <c r="BC193" s="69"/>
      <c r="CR193" s="69"/>
      <c r="EC193" s="69"/>
      <c r="EO193" s="69"/>
      <c r="FG193" s="69"/>
      <c r="GB193" s="69"/>
      <c r="GH193" s="69"/>
      <c r="HX193" s="69"/>
      <c r="JI193" s="69"/>
      <c r="JU193" s="69"/>
      <c r="KM193" s="69"/>
      <c r="LH193" s="69"/>
      <c r="LN193" s="69"/>
      <c r="NC193" s="69"/>
      <c r="ON193" s="69"/>
    </row>
    <row r="194" spans="10:404" x14ac:dyDescent="0.25">
      <c r="J194" s="69"/>
      <c r="AB194" s="69"/>
      <c r="AW194" s="69"/>
      <c r="BC194" s="69"/>
      <c r="CR194" s="69"/>
      <c r="EC194" s="69"/>
      <c r="EO194" s="69"/>
      <c r="FG194" s="69"/>
      <c r="GB194" s="69"/>
      <c r="GH194" s="69"/>
      <c r="HX194" s="69"/>
      <c r="JI194" s="69"/>
      <c r="JU194" s="69"/>
      <c r="KM194" s="69"/>
      <c r="LH194" s="69"/>
      <c r="LN194" s="69"/>
      <c r="NC194" s="69"/>
      <c r="ON194" s="69"/>
    </row>
    <row r="195" spans="10:404" x14ac:dyDescent="0.25">
      <c r="J195" s="69"/>
      <c r="AB195" s="69"/>
      <c r="AW195" s="69"/>
      <c r="BC195" s="69"/>
      <c r="CR195" s="69"/>
      <c r="EC195" s="69"/>
      <c r="EO195" s="69"/>
      <c r="FG195" s="69"/>
      <c r="GB195" s="69"/>
      <c r="GH195" s="69"/>
      <c r="HX195" s="69"/>
      <c r="JI195" s="69"/>
      <c r="JU195" s="69"/>
      <c r="KM195" s="69"/>
      <c r="LH195" s="69"/>
      <c r="LN195" s="69"/>
      <c r="NC195" s="69"/>
      <c r="ON195" s="69"/>
    </row>
    <row r="196" spans="10:404" x14ac:dyDescent="0.25">
      <c r="J196" s="69"/>
      <c r="AB196" s="69"/>
      <c r="AW196" s="69"/>
      <c r="BC196" s="69"/>
      <c r="CR196" s="69"/>
      <c r="EC196" s="69"/>
      <c r="EO196" s="69"/>
      <c r="FG196" s="69"/>
      <c r="GB196" s="69"/>
      <c r="GH196" s="69"/>
      <c r="HX196" s="69"/>
      <c r="JI196" s="69"/>
      <c r="JU196" s="69"/>
      <c r="KM196" s="69"/>
      <c r="LH196" s="69"/>
      <c r="LN196" s="69"/>
      <c r="NC196" s="69"/>
      <c r="ON196" s="69"/>
    </row>
    <row r="197" spans="10:404" x14ac:dyDescent="0.25">
      <c r="J197" s="69"/>
      <c r="AB197" s="69"/>
      <c r="AW197" s="69"/>
      <c r="BC197" s="69"/>
      <c r="CR197" s="69"/>
      <c r="EC197" s="69"/>
      <c r="EO197" s="69"/>
      <c r="FG197" s="69"/>
      <c r="GB197" s="69"/>
      <c r="GH197" s="69"/>
      <c r="HX197" s="69"/>
      <c r="JI197" s="69"/>
      <c r="JU197" s="69"/>
      <c r="KM197" s="69"/>
      <c r="LH197" s="69"/>
      <c r="LN197" s="69"/>
      <c r="NC197" s="69"/>
      <c r="ON197" s="69"/>
    </row>
    <row r="198" spans="10:404" x14ac:dyDescent="0.25">
      <c r="J198" s="69"/>
      <c r="AB198" s="69"/>
      <c r="AW198" s="69"/>
      <c r="BC198" s="69"/>
      <c r="CR198" s="69"/>
      <c r="EC198" s="69"/>
      <c r="EO198" s="69"/>
      <c r="FG198" s="69"/>
      <c r="GB198" s="69"/>
      <c r="GH198" s="69"/>
      <c r="HX198" s="69"/>
      <c r="JI198" s="69"/>
      <c r="JU198" s="69"/>
      <c r="KM198" s="69"/>
      <c r="LH198" s="69"/>
      <c r="LN198" s="69"/>
      <c r="NC198" s="69"/>
      <c r="ON198" s="69"/>
    </row>
    <row r="199" spans="10:404" x14ac:dyDescent="0.25">
      <c r="J199" s="69"/>
      <c r="AB199" s="69"/>
      <c r="AW199" s="69"/>
      <c r="BC199" s="69"/>
      <c r="CR199" s="69"/>
      <c r="EC199" s="69"/>
      <c r="EO199" s="69"/>
      <c r="FG199" s="69"/>
      <c r="GB199" s="69"/>
      <c r="GH199" s="69"/>
      <c r="HX199" s="69"/>
      <c r="JI199" s="69"/>
      <c r="JU199" s="69"/>
      <c r="KM199" s="69"/>
      <c r="LH199" s="69"/>
      <c r="LN199" s="69"/>
      <c r="NC199" s="69"/>
      <c r="ON199" s="69"/>
    </row>
    <row r="200" spans="10:404" x14ac:dyDescent="0.25">
      <c r="J200" s="70"/>
      <c r="AB200" s="70"/>
      <c r="AW200" s="70"/>
      <c r="BC200" s="70"/>
      <c r="CR200" s="70"/>
      <c r="EC200" s="70"/>
      <c r="EO200" s="70"/>
      <c r="FG200" s="70"/>
      <c r="GB200" s="70"/>
      <c r="GH200" s="70"/>
      <c r="HX200" s="70"/>
      <c r="JI200" s="70"/>
      <c r="JU200" s="70"/>
      <c r="KM200" s="70"/>
      <c r="LH200" s="70"/>
      <c r="LN200" s="70"/>
      <c r="NC200" s="70"/>
      <c r="ON200" s="70"/>
    </row>
  </sheetData>
  <mergeCells count="36">
    <mergeCell ref="CR101:CR200"/>
    <mergeCell ref="BC101:BC200"/>
    <mergeCell ref="AB101:AB200"/>
    <mergeCell ref="AW101:AW200"/>
    <mergeCell ref="BC1:BC100"/>
    <mergeCell ref="AW1:AW100"/>
    <mergeCell ref="CR1:CR100"/>
    <mergeCell ref="NC101:NC200"/>
    <mergeCell ref="ON101:ON200"/>
    <mergeCell ref="LN101:LN200"/>
    <mergeCell ref="LH101:LH200"/>
    <mergeCell ref="KM101:KM200"/>
    <mergeCell ref="JI101:JI200"/>
    <mergeCell ref="JU101:JU200"/>
    <mergeCell ref="HX101:HX200"/>
    <mergeCell ref="GB101:GB200"/>
    <mergeCell ref="GH101:GH200"/>
    <mergeCell ref="FG101:FG200"/>
    <mergeCell ref="EO101:EO200"/>
    <mergeCell ref="EC101:EC200"/>
    <mergeCell ref="J101:J200"/>
    <mergeCell ref="EC1:EC100"/>
    <mergeCell ref="EO1:EO100"/>
    <mergeCell ref="FG1:FG100"/>
    <mergeCell ref="ON1:ON100"/>
    <mergeCell ref="KM1:KM100"/>
    <mergeCell ref="LH1:LH100"/>
    <mergeCell ref="LN1:LN100"/>
    <mergeCell ref="NC1:NC100"/>
    <mergeCell ref="GB1:GB100"/>
    <mergeCell ref="GH1:GH100"/>
    <mergeCell ref="HX1:HX100"/>
    <mergeCell ref="JI1:JI100"/>
    <mergeCell ref="JU1:JU100"/>
    <mergeCell ref="J1:J100"/>
    <mergeCell ref="AB1:AB100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94C5-8155-4AC0-8BFE-60AC089618DE}">
  <dimension ref="A1:T132"/>
  <sheetViews>
    <sheetView zoomScale="85" zoomScaleNormal="85" workbookViewId="0">
      <pane ySplit="1" topLeftCell="A2" activePane="bottomLeft" state="frozen"/>
      <selection pane="bottomLeft" activeCell="I109" sqref="A1:I109"/>
    </sheetView>
  </sheetViews>
  <sheetFormatPr baseColWidth="10" defaultRowHeight="15" x14ac:dyDescent="0.25"/>
  <cols>
    <col min="1" max="1" width="14" style="7" bestFit="1" customWidth="1"/>
    <col min="2" max="2" width="13.140625" style="7" customWidth="1"/>
    <col min="3" max="3" width="13.140625" style="7" bestFit="1" customWidth="1"/>
    <col min="4" max="5" width="8.140625" style="7" bestFit="1" customWidth="1"/>
    <col min="6" max="6" width="7.42578125" style="7" bestFit="1" customWidth="1"/>
    <col min="7" max="7" width="13.85546875" style="7" bestFit="1" customWidth="1"/>
    <col min="8" max="8" width="6.7109375" style="7" bestFit="1" customWidth="1"/>
    <col min="9" max="9" width="8.140625" style="7" bestFit="1" customWidth="1"/>
    <col min="10" max="10" width="10.140625" style="7" bestFit="1" customWidth="1"/>
    <col min="11" max="15" width="14.85546875" style="39" bestFit="1" customWidth="1"/>
    <col min="16" max="16" width="14.85546875" style="39" customWidth="1"/>
    <col min="17" max="17" width="14.85546875" style="39" bestFit="1" customWidth="1"/>
    <col min="18" max="18" width="14.85546875" style="39" customWidth="1"/>
    <col min="19" max="19" width="18.7109375" style="39" bestFit="1" customWidth="1"/>
  </cols>
  <sheetData>
    <row r="1" spans="1:19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6" t="s">
        <v>450</v>
      </c>
      <c r="K1" s="13" t="s">
        <v>469</v>
      </c>
      <c r="L1" s="13" t="s">
        <v>451</v>
      </c>
      <c r="M1" s="13" t="s">
        <v>447</v>
      </c>
      <c r="N1" s="13" t="s">
        <v>448</v>
      </c>
      <c r="O1" s="13" t="s">
        <v>452</v>
      </c>
      <c r="P1" s="13" t="s">
        <v>454</v>
      </c>
      <c r="Q1" s="13" t="s">
        <v>26</v>
      </c>
      <c r="R1" s="13" t="s">
        <v>455</v>
      </c>
      <c r="S1" s="13" t="s">
        <v>449</v>
      </c>
    </row>
    <row r="2" spans="1:19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65"/>
      <c r="K2" s="17"/>
      <c r="L2" s="17"/>
      <c r="M2" s="17"/>
      <c r="N2" s="17"/>
      <c r="O2" s="17"/>
      <c r="P2" s="17"/>
      <c r="Q2" s="17"/>
      <c r="R2" s="17"/>
      <c r="S2" s="17"/>
    </row>
    <row r="3" spans="1:19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5"/>
      <c r="K3" s="17">
        <v>0.3927134284062499</v>
      </c>
      <c r="L3" s="17">
        <v>2.6194115352619285</v>
      </c>
      <c r="M3" s="17">
        <v>1190.2884601434966</v>
      </c>
      <c r="N3" s="17">
        <v>18.598257189742135</v>
      </c>
      <c r="O3" s="17">
        <v>1558.5002445</v>
      </c>
      <c r="P3" s="17">
        <v>24.3515663203125</v>
      </c>
      <c r="Q3" s="17">
        <v>3663.7749176189009</v>
      </c>
      <c r="R3" s="17">
        <v>57.246483087795326</v>
      </c>
      <c r="S3" s="17">
        <v>0.89986769366360109</v>
      </c>
    </row>
    <row r="4" spans="1:19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5"/>
      <c r="K4" s="17">
        <v>0.39554264693124996</v>
      </c>
      <c r="L4" s="17">
        <v>2.7792599583137663</v>
      </c>
      <c r="M4" s="17">
        <v>1206.4704835592725</v>
      </c>
      <c r="N4" s="17">
        <v>18.561084362450345</v>
      </c>
      <c r="O4" s="17">
        <v>1568.4908789999999</v>
      </c>
      <c r="P4" s="17">
        <v>24.130628907692309</v>
      </c>
      <c r="Q4" s="17">
        <v>3812.3466670724802</v>
      </c>
      <c r="R4" s="17">
        <v>58.651487185730467</v>
      </c>
      <c r="S4" s="17">
        <v>0.8837208370003593</v>
      </c>
    </row>
    <row r="5" spans="1:19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5"/>
      <c r="K5" s="17">
        <v>0.30280238371250001</v>
      </c>
      <c r="L5" s="17">
        <v>2.1871648046273457</v>
      </c>
      <c r="M5" s="17">
        <v>966.3739335404515</v>
      </c>
      <c r="N5" s="17">
        <v>15.84219563181068</v>
      </c>
      <c r="O5" s="17">
        <v>1275.1545615</v>
      </c>
      <c r="P5" s="17">
        <v>18.669905732064421</v>
      </c>
      <c r="Q5" s="17">
        <v>2582.9219227507692</v>
      </c>
      <c r="R5" s="17">
        <v>37.817304871899992</v>
      </c>
      <c r="S5" s="17">
        <v>0.84861384343365653</v>
      </c>
    </row>
    <row r="6" spans="1:19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5"/>
      <c r="K6" s="17">
        <v>0.35087458201250005</v>
      </c>
      <c r="L6" s="17">
        <v>2.5596497175592283</v>
      </c>
      <c r="M6" s="17">
        <v>1394.4890069871221</v>
      </c>
      <c r="N6" s="17">
        <v>16.882433498633443</v>
      </c>
      <c r="O6" s="17">
        <v>1733.1206400000001</v>
      </c>
      <c r="P6" s="17">
        <v>20.982090072639227</v>
      </c>
      <c r="Q6" s="17">
        <v>4188.0780252833229</v>
      </c>
      <c r="R6" s="17">
        <v>50.70312379277631</v>
      </c>
      <c r="S6" s="17">
        <v>0.8845048635655226</v>
      </c>
    </row>
    <row r="7" spans="1:19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5"/>
      <c r="K7" s="17">
        <v>0.32829293164062501</v>
      </c>
      <c r="L7" s="17">
        <v>2.4548801792714707</v>
      </c>
      <c r="M7" s="17">
        <v>1166.155340693676</v>
      </c>
      <c r="N7" s="17">
        <v>19.4359223448946</v>
      </c>
      <c r="O7" s="17">
        <v>1431.6781540000002</v>
      </c>
      <c r="P7" s="17">
        <v>23.861302566666669</v>
      </c>
      <c r="Q7" s="17">
        <v>2877.99045422567</v>
      </c>
      <c r="R7" s="17">
        <v>47.966507570427829</v>
      </c>
      <c r="S7" s="17">
        <v>0.87756473501511256</v>
      </c>
    </row>
    <row r="8" spans="1:19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5"/>
      <c r="K8" s="17">
        <v>0.30829962395312499</v>
      </c>
      <c r="L8" s="17">
        <v>2.5331384177786367</v>
      </c>
      <c r="M8" s="17">
        <v>991.98576977939479</v>
      </c>
      <c r="N8" s="17">
        <v>16.533096162989914</v>
      </c>
      <c r="O8" s="17">
        <v>1173.5165824999999</v>
      </c>
      <c r="P8" s="17">
        <v>19.558609708333332</v>
      </c>
      <c r="Q8" s="17">
        <v>2765.1893124593721</v>
      </c>
      <c r="R8" s="17">
        <v>46.086488540989535</v>
      </c>
      <c r="S8" s="17">
        <v>0.89259306668688543</v>
      </c>
    </row>
    <row r="9" spans="1:19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5"/>
      <c r="K9" s="17">
        <v>0.30036420535624997</v>
      </c>
      <c r="L9" s="17">
        <v>2.5348445619122377</v>
      </c>
      <c r="M9" s="17">
        <v>1191.671663613263</v>
      </c>
      <c r="N9" s="17">
        <v>17.245610182536371</v>
      </c>
      <c r="O9" s="17">
        <v>1431.8404660000001</v>
      </c>
      <c r="P9" s="17">
        <v>20.721280260492044</v>
      </c>
      <c r="Q9" s="17">
        <v>3316.2817148961858</v>
      </c>
      <c r="R9" s="17">
        <v>47.992499491985328</v>
      </c>
      <c r="S9" s="17">
        <v>0.9064913362010989</v>
      </c>
    </row>
    <row r="10" spans="1:19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5"/>
      <c r="K10" s="17">
        <v>0.35879712938125002</v>
      </c>
      <c r="L10" s="17">
        <v>2.5323244440151171</v>
      </c>
      <c r="M10" s="17">
        <v>1328.6062086544262</v>
      </c>
      <c r="N10" s="17">
        <v>18.926014368296666</v>
      </c>
      <c r="O10" s="17">
        <v>1623.6740414999999</v>
      </c>
      <c r="P10" s="17">
        <v>23.129259850427349</v>
      </c>
      <c r="Q10" s="17">
        <v>3274.626896189131</v>
      </c>
      <c r="R10" s="17">
        <v>46.64710678332095</v>
      </c>
      <c r="S10" s="17">
        <v>0.90507897892025868</v>
      </c>
    </row>
    <row r="11" spans="1:19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5"/>
      <c r="K11" s="17">
        <v>0.258837333015625</v>
      </c>
      <c r="L11" s="17">
        <v>2.5984801712470822</v>
      </c>
      <c r="M11" s="17">
        <v>1231.2516725673549</v>
      </c>
      <c r="N11" s="17">
        <v>16.43860711037857</v>
      </c>
      <c r="O11" s="17">
        <v>1459.4140015</v>
      </c>
      <c r="P11" s="17">
        <v>19.484833130841121</v>
      </c>
      <c r="Q11" s="17">
        <v>3484.2113308339035</v>
      </c>
      <c r="R11" s="17">
        <v>46.518175311534087</v>
      </c>
      <c r="S11" s="17">
        <v>0.88630007629650043</v>
      </c>
    </row>
    <row r="12" spans="1:19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5"/>
      <c r="K12" s="17">
        <v>0.35094200273124998</v>
      </c>
      <c r="L12" s="17">
        <v>2.6599268013222028</v>
      </c>
      <c r="M12" s="17">
        <v>1215.8892988925743</v>
      </c>
      <c r="N12" s="17">
        <v>19.117756271895821</v>
      </c>
      <c r="O12" s="17">
        <v>1495.7609335</v>
      </c>
      <c r="P12" s="17">
        <v>23.518253671383647</v>
      </c>
      <c r="Q12" s="17">
        <v>3302.2290716292723</v>
      </c>
      <c r="R12" s="17">
        <v>51.921840748887931</v>
      </c>
      <c r="S12" s="17">
        <v>0.88373329906299292</v>
      </c>
    </row>
    <row r="13" spans="1:19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5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5"/>
      <c r="K14" s="17">
        <v>0.2697833931625</v>
      </c>
      <c r="L14" s="17">
        <v>2.3463107429603713</v>
      </c>
      <c r="M14" s="17">
        <v>1321.0932678092086</v>
      </c>
      <c r="N14" s="17">
        <v>17.852611727151466</v>
      </c>
      <c r="O14" s="17">
        <v>1690.8045354999999</v>
      </c>
      <c r="P14" s="17">
        <v>22.848709939189188</v>
      </c>
      <c r="Q14" s="17">
        <v>3214.4983901875112</v>
      </c>
      <c r="R14" s="17">
        <v>43.439167434966365</v>
      </c>
      <c r="S14" s="17">
        <v>0.89671317347123936</v>
      </c>
    </row>
    <row r="15" spans="1:19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5"/>
      <c r="K15" s="17">
        <v>0.32449285476562495</v>
      </c>
      <c r="L15" s="17">
        <v>2.3044486957908585</v>
      </c>
      <c r="M15" s="17">
        <v>1077.7897875553642</v>
      </c>
      <c r="N15" s="17">
        <v>17.468229944171217</v>
      </c>
      <c r="O15" s="17">
        <v>1404.1226380000001</v>
      </c>
      <c r="P15" s="17">
        <v>22.75725507293355</v>
      </c>
      <c r="Q15" s="17">
        <v>2657.1903973562153</v>
      </c>
      <c r="R15" s="17">
        <v>43.066294932839789</v>
      </c>
      <c r="S15" s="17">
        <v>0.88984090491973844</v>
      </c>
    </row>
    <row r="16" spans="1:19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5"/>
      <c r="K16" s="17">
        <v>0.43987360825624999</v>
      </c>
      <c r="L16" s="17">
        <v>2.9590476083903736</v>
      </c>
      <c r="M16" s="17">
        <v>1561.3378554316405</v>
      </c>
      <c r="N16" s="17">
        <v>20.38300072365066</v>
      </c>
      <c r="O16" s="17">
        <v>2003.0852355</v>
      </c>
      <c r="P16" s="17">
        <v>26.356384677631578</v>
      </c>
      <c r="Q16" s="17">
        <v>4373.7750448768156</v>
      </c>
      <c r="R16" s="17">
        <v>57.549671643115992</v>
      </c>
      <c r="S16" s="17">
        <v>0.91209630564780952</v>
      </c>
    </row>
    <row r="17" spans="1:19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5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5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5"/>
      <c r="K19" s="17">
        <v>0.36958934770625007</v>
      </c>
      <c r="L19" s="17">
        <v>2.6987785379395097</v>
      </c>
      <c r="M19" s="17">
        <v>2113.0606705372966</v>
      </c>
      <c r="N19" s="17">
        <v>21.130606705372966</v>
      </c>
      <c r="O19" s="17">
        <v>2732.4676629999999</v>
      </c>
      <c r="P19" s="17">
        <v>27.600683464646465</v>
      </c>
      <c r="Q19" s="17">
        <v>5476.7707363072614</v>
      </c>
      <c r="R19" s="17">
        <v>55.320916528356179</v>
      </c>
      <c r="S19" s="17">
        <v>0.92054562693461506</v>
      </c>
    </row>
    <row r="20" spans="1:19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5"/>
      <c r="K20" s="17">
        <v>0.47811157535312498</v>
      </c>
      <c r="L20" s="17">
        <v>3.2865372623542575</v>
      </c>
      <c r="M20" s="17">
        <v>1820.2016353375823</v>
      </c>
      <c r="N20" s="17">
        <v>19.363847184442363</v>
      </c>
      <c r="O20" s="17">
        <v>2166.1460499999998</v>
      </c>
      <c r="P20" s="17">
        <v>22.801537368421052</v>
      </c>
      <c r="Q20" s="17">
        <v>6490.5214247866115</v>
      </c>
      <c r="R20" s="17">
        <v>68.321278155648542</v>
      </c>
      <c r="S20" s="17">
        <v>0.8802022674616008</v>
      </c>
    </row>
    <row r="21" spans="1:19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5"/>
      <c r="K21" s="17">
        <v>0.31385692992499997</v>
      </c>
      <c r="L21" s="17">
        <v>3.0054650901369691</v>
      </c>
      <c r="M21" s="17">
        <v>1992.4654601504701</v>
      </c>
      <c r="N21" s="17">
        <v>19.158321732216059</v>
      </c>
      <c r="O21" s="17">
        <v>2476.4430539999998</v>
      </c>
      <c r="P21" s="17">
        <v>24.043136446601942</v>
      </c>
      <c r="Q21" s="17">
        <v>6265.4855148141569</v>
      </c>
      <c r="R21" s="17">
        <v>60.82995645450638</v>
      </c>
      <c r="S21" s="17">
        <v>0.9210683385302203</v>
      </c>
    </row>
    <row r="22" spans="1:19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5"/>
      <c r="K22" s="17">
        <v>0.32704258376562501</v>
      </c>
      <c r="L22" s="17">
        <v>3.2434094930883592</v>
      </c>
      <c r="M22" s="17">
        <v>1796.7418333729941</v>
      </c>
      <c r="N22" s="17">
        <v>16.042337797973161</v>
      </c>
      <c r="O22" s="17">
        <v>2259.7049554999999</v>
      </c>
      <c r="P22" s="17">
        <v>19.997388986725664</v>
      </c>
      <c r="Q22" s="17">
        <v>6607.8444845823278</v>
      </c>
      <c r="R22" s="17">
        <v>58.47649986356042</v>
      </c>
      <c r="S22" s="17">
        <v>0.91884025282951454</v>
      </c>
    </row>
    <row r="23" spans="1:19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5"/>
      <c r="K23" s="17"/>
      <c r="L23" s="17"/>
      <c r="M23" s="17"/>
      <c r="N23" s="17"/>
      <c r="O23" s="17"/>
      <c r="P23" s="17"/>
      <c r="Q23" s="17"/>
      <c r="R23" s="17"/>
      <c r="S23" s="17"/>
    </row>
    <row r="24" spans="1:19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5"/>
      <c r="K24" s="17">
        <v>0.38380347396562497</v>
      </c>
      <c r="L24" s="17">
        <v>2.5523178234362636</v>
      </c>
      <c r="M24" s="17">
        <v>1304.6541585909349</v>
      </c>
      <c r="N24" s="17">
        <v>17.871974775218288</v>
      </c>
      <c r="O24" s="17">
        <v>1583.1973800000001</v>
      </c>
      <c r="P24" s="17">
        <v>21.687635342465754</v>
      </c>
      <c r="Q24" s="17">
        <v>3398.5256003328518</v>
      </c>
      <c r="R24" s="17">
        <v>46.555145210039065</v>
      </c>
      <c r="S24" s="17">
        <v>0.91207837135555225</v>
      </c>
    </row>
    <row r="25" spans="1:19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5"/>
      <c r="K25" s="17">
        <v>0.39131720661249991</v>
      </c>
      <c r="L25" s="17">
        <v>2.3941597567147506</v>
      </c>
      <c r="M25" s="17">
        <v>1579.1763608092801</v>
      </c>
      <c r="N25" s="17">
        <v>19.026221214569642</v>
      </c>
      <c r="O25" s="17">
        <v>2052.0287435</v>
      </c>
      <c r="P25" s="17">
        <v>24.723237873493975</v>
      </c>
      <c r="Q25" s="17">
        <v>3748.4748280558442</v>
      </c>
      <c r="R25" s="17">
        <v>45.162347325974025</v>
      </c>
      <c r="S25" s="17">
        <v>0.92141641014153075</v>
      </c>
    </row>
    <row r="26" spans="1:19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5"/>
      <c r="K26" s="17">
        <v>0.37430328177812505</v>
      </c>
      <c r="L26" s="17">
        <v>2.3369353171707905</v>
      </c>
      <c r="M26" s="17">
        <v>1688.6647343613051</v>
      </c>
      <c r="N26" s="17">
        <v>18.762941492903391</v>
      </c>
      <c r="O26" s="17">
        <v>2057.6642575000001</v>
      </c>
      <c r="P26" s="17">
        <v>22.862936194444444</v>
      </c>
      <c r="Q26" s="17">
        <v>4228.1060881568683</v>
      </c>
      <c r="R26" s="17">
        <v>46.978956535076314</v>
      </c>
      <c r="S26" s="17">
        <v>0.89774885766102597</v>
      </c>
    </row>
    <row r="27" spans="1:19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5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5"/>
      <c r="K28" s="17">
        <v>0.34972965562500002</v>
      </c>
      <c r="L28" s="17">
        <v>3.207565421811895</v>
      </c>
      <c r="M28" s="17">
        <v>1611.7461796251496</v>
      </c>
      <c r="N28" s="17">
        <v>18.525818156610914</v>
      </c>
      <c r="O28" s="17">
        <v>1880.2576220000001</v>
      </c>
      <c r="P28" s="17">
        <v>21.612156574712646</v>
      </c>
      <c r="Q28" s="17">
        <v>5126.3839850639288</v>
      </c>
      <c r="R28" s="17">
        <v>58.923953851309527</v>
      </c>
      <c r="S28" s="17">
        <v>0.91430784077952154</v>
      </c>
    </row>
    <row r="29" spans="1:19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5"/>
      <c r="K29" s="17">
        <v>0.27647949636562497</v>
      </c>
      <c r="L29" s="17">
        <v>2.6991908739435719</v>
      </c>
      <c r="M29" s="17">
        <v>1413.2426944014981</v>
      </c>
      <c r="N29" s="17">
        <v>19.097874248668894</v>
      </c>
      <c r="O29" s="17">
        <v>1699.7041550000001</v>
      </c>
      <c r="P29" s="17">
        <v>22.96897506756757</v>
      </c>
      <c r="Q29" s="17">
        <v>4075.4278684598748</v>
      </c>
      <c r="R29" s="17">
        <v>55.073349573782096</v>
      </c>
      <c r="S29" s="17">
        <v>0.91666736634976664</v>
      </c>
    </row>
    <row r="30" spans="1:19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5"/>
      <c r="K30" s="17">
        <v>0.38037298521249996</v>
      </c>
      <c r="L30" s="17">
        <v>2.3465712335295859</v>
      </c>
      <c r="M30" s="17">
        <v>1589.2812157223816</v>
      </c>
      <c r="N30" s="17">
        <v>16.729275954972437</v>
      </c>
      <c r="O30" s="17">
        <v>1909.2919120000001</v>
      </c>
      <c r="P30" s="17">
        <v>20.097809600000001</v>
      </c>
      <c r="Q30" s="17">
        <v>3857.7850105945327</v>
      </c>
      <c r="R30" s="17">
        <v>40.608263269416135</v>
      </c>
      <c r="S30" s="17">
        <v>0.91002559813099004</v>
      </c>
    </row>
    <row r="31" spans="1:19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5"/>
      <c r="K31" s="17">
        <v>0.30279257706249996</v>
      </c>
      <c r="L31" s="17">
        <v>2.5045680019795959</v>
      </c>
      <c r="M31" s="17">
        <v>1724.751572248746</v>
      </c>
      <c r="N31" s="17">
        <v>17.966162210924438</v>
      </c>
      <c r="O31" s="17">
        <v>2090.4495470000002</v>
      </c>
      <c r="P31" s="17">
        <v>21.775516114583336</v>
      </c>
      <c r="Q31" s="17">
        <v>4804.8660899132192</v>
      </c>
      <c r="R31" s="17">
        <v>50.050688436596033</v>
      </c>
      <c r="S31" s="17">
        <v>0.91511019491749357</v>
      </c>
    </row>
    <row r="32" spans="1:19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5"/>
      <c r="K32" s="17">
        <v>0.31176402737083331</v>
      </c>
      <c r="L32" s="17">
        <v>1.8452233503743969</v>
      </c>
      <c r="M32" s="17">
        <v>1511.9770983284823</v>
      </c>
      <c r="N32" s="17">
        <v>19.384321773442082</v>
      </c>
      <c r="O32" s="17">
        <v>2077.3089906666669</v>
      </c>
      <c r="P32" s="17">
        <v>26.632166547008548</v>
      </c>
      <c r="Q32" s="17">
        <v>3085.4554632508857</v>
      </c>
      <c r="R32" s="17">
        <v>39.557121323729305</v>
      </c>
      <c r="S32" s="17">
        <v>0.93506732716293073</v>
      </c>
    </row>
    <row r="33" spans="1:19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5"/>
      <c r="K33" s="17">
        <v>0.39280168825624995</v>
      </c>
      <c r="L33" s="17">
        <v>3.0415660083701423</v>
      </c>
      <c r="M33" s="17">
        <v>1529.245221047443</v>
      </c>
      <c r="N33" s="17">
        <v>20.389936280632572</v>
      </c>
      <c r="O33" s="17">
        <v>1792.514633</v>
      </c>
      <c r="P33" s="17">
        <v>23.900195106666668</v>
      </c>
      <c r="Q33" s="17">
        <v>4716.9900459469382</v>
      </c>
      <c r="R33" s="17">
        <v>62.89320061262584</v>
      </c>
      <c r="S33" s="17">
        <v>0.86438009566631191</v>
      </c>
    </row>
    <row r="34" spans="1:19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5"/>
      <c r="K34" s="17">
        <v>0.33916299025000002</v>
      </c>
      <c r="L34" s="17">
        <v>2.1937742913942904</v>
      </c>
      <c r="M34" s="17">
        <v>1593.4515784399373</v>
      </c>
      <c r="N34" s="17">
        <v>18.746489158116908</v>
      </c>
      <c r="O34" s="17">
        <v>2055.5813859999998</v>
      </c>
      <c r="P34" s="17">
        <v>24.183310423529409</v>
      </c>
      <c r="Q34" s="17">
        <v>3634.4273333847382</v>
      </c>
      <c r="R34" s="17">
        <v>42.757968628055742</v>
      </c>
      <c r="S34" s="17">
        <v>0.93468310266079202</v>
      </c>
    </row>
    <row r="35" spans="1:19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5"/>
      <c r="K35" s="17">
        <v>0.31884361144999995</v>
      </c>
      <c r="L35" s="17">
        <v>2.698076014819379</v>
      </c>
      <c r="M35" s="17">
        <v>1595.82335613588</v>
      </c>
      <c r="N35" s="17">
        <v>19.226787423323856</v>
      </c>
      <c r="O35" s="17">
        <v>1965.5120010000001</v>
      </c>
      <c r="P35" s="17">
        <v>23.680867481927713</v>
      </c>
      <c r="Q35" s="17">
        <v>4795.6543560594309</v>
      </c>
      <c r="R35" s="17">
        <v>57.77896814529435</v>
      </c>
      <c r="S35" s="17">
        <v>0.88014174486315588</v>
      </c>
    </row>
    <row r="36" spans="1:19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5"/>
      <c r="K36" s="17">
        <v>0.31099870006041663</v>
      </c>
      <c r="L36" s="17">
        <v>2.4421856341037369</v>
      </c>
      <c r="M36" s="17">
        <v>1418.0555206574618</v>
      </c>
      <c r="N36" s="17">
        <v>18.416305463083919</v>
      </c>
      <c r="O36" s="17">
        <v>1706.7884113333332</v>
      </c>
      <c r="P36" s="17">
        <v>22.166083264069261</v>
      </c>
      <c r="Q36" s="17">
        <v>3525.508771313107</v>
      </c>
      <c r="R36" s="17">
        <v>45.785828198871521</v>
      </c>
      <c r="S36" s="17">
        <v>0.89252549368998479</v>
      </c>
    </row>
    <row r="37" spans="1:19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5"/>
      <c r="K37" s="17">
        <v>0.32960702274062498</v>
      </c>
      <c r="L37" s="17">
        <v>2.1076343290603727</v>
      </c>
      <c r="M37" s="17">
        <v>1289.9578264314971</v>
      </c>
      <c r="N37" s="17">
        <v>17.670655156595849</v>
      </c>
      <c r="O37" s="17">
        <v>1514.101234</v>
      </c>
      <c r="P37" s="17">
        <v>20.741112794520546</v>
      </c>
      <c r="Q37" s="17">
        <v>2860.1530153604599</v>
      </c>
      <c r="R37" s="17">
        <v>39.180178292609043</v>
      </c>
      <c r="S37" s="17">
        <v>0.89387665168472452</v>
      </c>
    </row>
    <row r="38" spans="1:19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5"/>
      <c r="K38" s="17">
        <v>0.43397981160624999</v>
      </c>
      <c r="L38" s="17">
        <v>3.2257356748647963</v>
      </c>
      <c r="M38" s="17">
        <v>1448.4995724724067</v>
      </c>
      <c r="N38" s="17">
        <v>22.284608807267794</v>
      </c>
      <c r="O38" s="17">
        <v>1737.6380609999999</v>
      </c>
      <c r="P38" s="17">
        <v>26.732893246153843</v>
      </c>
      <c r="Q38" s="17">
        <v>4607.1843749104246</v>
      </c>
      <c r="R38" s="17">
        <v>70.879759614006531</v>
      </c>
      <c r="S38" s="17">
        <v>0.92274876040005127</v>
      </c>
    </row>
    <row r="39" spans="1:19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5"/>
      <c r="K39" s="17">
        <v>0.30469077675312495</v>
      </c>
      <c r="L39" s="17">
        <v>2.7839029682187357</v>
      </c>
      <c r="M39" s="17">
        <v>1772.9871850187519</v>
      </c>
      <c r="N39" s="17">
        <v>17.38222730410541</v>
      </c>
      <c r="O39" s="17">
        <v>2141.4398689999998</v>
      </c>
      <c r="P39" s="17">
        <v>20.994508519607841</v>
      </c>
      <c r="Q39" s="17">
        <v>5186.3521449406471</v>
      </c>
      <c r="R39" s="17">
        <v>50.846589656280855</v>
      </c>
      <c r="S39" s="17">
        <v>0.89162580610570252</v>
      </c>
    </row>
    <row r="40" spans="1:19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5"/>
      <c r="K40" s="17">
        <v>0.41526259424999989</v>
      </c>
      <c r="L40" s="17">
        <v>2.8586442524333529</v>
      </c>
      <c r="M40" s="17">
        <v>1182.2729840915154</v>
      </c>
      <c r="N40" s="17">
        <v>18.473015376429927</v>
      </c>
      <c r="O40" s="17">
        <v>1468.6202105</v>
      </c>
      <c r="P40" s="17">
        <v>22.9471907890625</v>
      </c>
      <c r="Q40" s="17">
        <v>3330.1319151900298</v>
      </c>
      <c r="R40" s="17">
        <v>52.033311174844215</v>
      </c>
      <c r="S40" s="17">
        <v>0.89282416660286168</v>
      </c>
    </row>
    <row r="41" spans="1:19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5"/>
      <c r="K41" s="17">
        <v>0.37036979360208339</v>
      </c>
      <c r="L41" s="17">
        <v>2.947556531221327</v>
      </c>
      <c r="M41" s="17">
        <v>2069.4613667483127</v>
      </c>
      <c r="N41" s="17">
        <v>23.786912261474857</v>
      </c>
      <c r="O41" s="17">
        <v>2993.4815623333338</v>
      </c>
      <c r="P41" s="17">
        <v>34.407834049808436</v>
      </c>
      <c r="Q41" s="17">
        <v>5462.9083046682936</v>
      </c>
      <c r="R41" s="17">
        <v>62.792049478945906</v>
      </c>
      <c r="S41" s="17">
        <v>0.93604906009912969</v>
      </c>
    </row>
    <row r="42" spans="1:19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5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5"/>
      <c r="K43" s="17">
        <v>0.39786028521458333</v>
      </c>
      <c r="L43" s="17">
        <v>2.4191680111910654</v>
      </c>
      <c r="M43" s="17">
        <v>1244.7395984370571</v>
      </c>
      <c r="N43" s="17">
        <v>19.947749974952838</v>
      </c>
      <c r="O43" s="17">
        <v>1572.2148563333333</v>
      </c>
      <c r="P43" s="17">
        <v>25.195750902777778</v>
      </c>
      <c r="Q43" s="17">
        <v>3245.8201323570502</v>
      </c>
      <c r="R43" s="17">
        <v>52.016348274952726</v>
      </c>
      <c r="S43" s="17">
        <v>0.8758160930529767</v>
      </c>
    </row>
    <row r="44" spans="1:19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5"/>
      <c r="K44" s="17">
        <v>0.35219602810000006</v>
      </c>
      <c r="L44" s="17">
        <v>2.5919473063527008</v>
      </c>
      <c r="M44" s="17">
        <v>1421.4065929714225</v>
      </c>
      <c r="N44" s="17">
        <v>18.107090356323852</v>
      </c>
      <c r="O44" s="17">
        <v>1643.150461</v>
      </c>
      <c r="P44" s="17">
        <v>21.339616376623376</v>
      </c>
      <c r="Q44" s="17">
        <v>3864.2132809643008</v>
      </c>
      <c r="R44" s="17">
        <v>50.184588064471441</v>
      </c>
      <c r="S44" s="17">
        <v>0.87983615645050595</v>
      </c>
    </row>
    <row r="45" spans="1:19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5"/>
      <c r="K45" s="17">
        <v>0.40458621697812491</v>
      </c>
      <c r="L45" s="17">
        <v>2.6949289939693992</v>
      </c>
      <c r="M45" s="17">
        <v>1507.2275344556354</v>
      </c>
      <c r="N45" s="17">
        <v>20.789345302836349</v>
      </c>
      <c r="O45" s="17">
        <v>1829.9255754999999</v>
      </c>
      <c r="P45" s="17">
        <v>25.415632993055553</v>
      </c>
      <c r="Q45" s="17">
        <v>4044.5489013327242</v>
      </c>
      <c r="R45" s="17">
        <v>56.174290296287836</v>
      </c>
      <c r="S45" s="17">
        <v>0.85714563245691977</v>
      </c>
    </row>
    <row r="46" spans="1:19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5"/>
      <c r="K46" s="17">
        <v>0.28483414924999995</v>
      </c>
      <c r="L46" s="17">
        <v>2.5985227685743335</v>
      </c>
      <c r="M46" s="17">
        <v>1066.5787137493589</v>
      </c>
      <c r="N46" s="17">
        <v>16.160283541656952</v>
      </c>
      <c r="O46" s="17">
        <v>1312.5113850000002</v>
      </c>
      <c r="P46" s="17">
        <v>15.813390180722894</v>
      </c>
      <c r="Q46" s="17">
        <v>3067.9734162883451</v>
      </c>
      <c r="R46" s="17">
        <v>36.963535136004161</v>
      </c>
      <c r="S46" s="17">
        <v>0.86493099494507486</v>
      </c>
    </row>
    <row r="47" spans="1:19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5"/>
      <c r="K47" s="17">
        <v>0.50134107754062496</v>
      </c>
      <c r="L47" s="17">
        <v>3.1480022435890724</v>
      </c>
      <c r="M47" s="17">
        <v>1516.4617004224674</v>
      </c>
      <c r="N47" s="17">
        <v>21.663738577463821</v>
      </c>
      <c r="O47" s="17">
        <v>2003.9418674999999</v>
      </c>
      <c r="P47" s="17">
        <v>29.042635760869565</v>
      </c>
      <c r="Q47" s="17">
        <v>4535.8807358387539</v>
      </c>
      <c r="R47" s="17">
        <v>65.737401968677588</v>
      </c>
      <c r="S47" s="17">
        <v>0.88928595765992968</v>
      </c>
    </row>
    <row r="48" spans="1:19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5"/>
      <c r="K48" s="17">
        <v>0.33662797122499999</v>
      </c>
      <c r="L48" s="17">
        <v>2.4136607454539831</v>
      </c>
      <c r="M48" s="17">
        <v>1314.6299589920498</v>
      </c>
      <c r="N48" s="17">
        <v>20.541093109250777</v>
      </c>
      <c r="O48" s="17">
        <v>1579.257042</v>
      </c>
      <c r="P48" s="17">
        <v>24.675891281249999</v>
      </c>
      <c r="Q48" s="17">
        <v>3214.7220595042409</v>
      </c>
      <c r="R48" s="17">
        <v>50.230032179753763</v>
      </c>
      <c r="S48" s="17">
        <v>0.86074540650265452</v>
      </c>
    </row>
    <row r="49" spans="1:19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5"/>
      <c r="K49" s="17">
        <v>0.52110576770000006</v>
      </c>
      <c r="L49" s="17">
        <v>3.3944045767227231</v>
      </c>
      <c r="M49" s="17">
        <v>1460.2914723327785</v>
      </c>
      <c r="N49" s="17">
        <v>21.474874593129098</v>
      </c>
      <c r="O49" s="17">
        <v>2113.4876475000001</v>
      </c>
      <c r="P49" s="17">
        <v>31.080700698529412</v>
      </c>
      <c r="Q49" s="17">
        <v>4725.1822571461762</v>
      </c>
      <c r="R49" s="17">
        <v>69.487974369796703</v>
      </c>
      <c r="S49" s="17">
        <v>0.93668744611912469</v>
      </c>
    </row>
    <row r="50" spans="1:19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5"/>
      <c r="K50" s="17">
        <v>0.38236434807812503</v>
      </c>
      <c r="L50" s="17">
        <v>2.8015989945821484</v>
      </c>
      <c r="M50" s="17">
        <v>1508.9952457795375</v>
      </c>
      <c r="N50" s="17">
        <v>19.101205642778957</v>
      </c>
      <c r="O50" s="17">
        <v>1820.3226129999998</v>
      </c>
      <c r="P50" s="17">
        <v>23.04205839240506</v>
      </c>
      <c r="Q50" s="17">
        <v>4298.9513524667955</v>
      </c>
      <c r="R50" s="17">
        <v>54.417105727427789</v>
      </c>
      <c r="S50" s="17">
        <v>0.90494863410893278</v>
      </c>
    </row>
    <row r="51" spans="1:19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5"/>
      <c r="K51" s="17">
        <v>0.38454326312499998</v>
      </c>
      <c r="L51" s="17">
        <v>2.858254140388528</v>
      </c>
      <c r="M51" s="17">
        <v>1505.5475693746175</v>
      </c>
      <c r="N51" s="17">
        <v>20.073967591661567</v>
      </c>
      <c r="O51" s="17">
        <v>1740.3160779999998</v>
      </c>
      <c r="P51" s="17">
        <v>23.204214373333333</v>
      </c>
      <c r="Q51" s="17">
        <v>4295.8324128496715</v>
      </c>
      <c r="R51" s="17">
        <v>57.277765504662284</v>
      </c>
      <c r="S51" s="17">
        <v>0.88341230830736861</v>
      </c>
    </row>
    <row r="52" spans="1:19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5"/>
      <c r="K52" s="17">
        <v>0.31519798931249998</v>
      </c>
      <c r="L52" s="17">
        <v>2.590995565878961</v>
      </c>
      <c r="M52" s="17">
        <v>1224.0211171800688</v>
      </c>
      <c r="N52" s="17">
        <v>17.739436480870562</v>
      </c>
      <c r="O52" s="17">
        <v>1531.9546015000001</v>
      </c>
      <c r="P52" s="17">
        <v>22.202240601449276</v>
      </c>
      <c r="Q52" s="17">
        <v>3362.5735393066161</v>
      </c>
      <c r="R52" s="17">
        <v>48.73294984502342</v>
      </c>
      <c r="S52" s="17">
        <v>0.8620506253491973</v>
      </c>
    </row>
    <row r="53" spans="1:19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5"/>
      <c r="K53" s="17">
        <v>0.4017766117531249</v>
      </c>
      <c r="L53" s="17">
        <v>2.6030732446227858</v>
      </c>
      <c r="M53" s="17">
        <v>1148.6712774701109</v>
      </c>
      <c r="N53" s="17">
        <v>21.271690323520573</v>
      </c>
      <c r="O53" s="17">
        <v>1490.8287195</v>
      </c>
      <c r="P53" s="17">
        <v>27.607939250000001</v>
      </c>
      <c r="Q53" s="17">
        <v>2798.6487931025422</v>
      </c>
      <c r="R53" s="17">
        <v>51.826829501898928</v>
      </c>
      <c r="S53" s="17">
        <v>0.900207657724023</v>
      </c>
    </row>
    <row r="54" spans="1:19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5"/>
      <c r="K54" s="17">
        <v>0.37154025814062508</v>
      </c>
      <c r="L54" s="17">
        <v>2.7297064230809949</v>
      </c>
      <c r="M54" s="17">
        <v>1488.15186925739</v>
      </c>
      <c r="N54" s="17">
        <v>20.668775961908196</v>
      </c>
      <c r="O54" s="17">
        <v>1799.9535349999999</v>
      </c>
      <c r="P54" s="17">
        <v>24.999354652777775</v>
      </c>
      <c r="Q54" s="17">
        <v>4038.7127751600274</v>
      </c>
      <c r="R54" s="17">
        <v>56.09323298833371</v>
      </c>
      <c r="S54" s="17">
        <v>0.87345753173213259</v>
      </c>
    </row>
    <row r="55" spans="1:19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5"/>
      <c r="K55" s="17">
        <v>0.43190018889062493</v>
      </c>
      <c r="L55" s="17">
        <v>3.10245683520625</v>
      </c>
      <c r="M55" s="17">
        <v>1646.8620680052836</v>
      </c>
      <c r="N55" s="17">
        <v>20.585775850066046</v>
      </c>
      <c r="O55" s="17">
        <v>1886.289925</v>
      </c>
      <c r="P55" s="17">
        <v>23.578624062500001</v>
      </c>
      <c r="Q55" s="17">
        <v>5002.4377418750355</v>
      </c>
      <c r="R55" s="17">
        <v>62.530471773437945</v>
      </c>
      <c r="S55" s="17">
        <v>0.86901835867968646</v>
      </c>
    </row>
    <row r="56" spans="1:19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5"/>
      <c r="K56" s="17">
        <v>0.33530039598125</v>
      </c>
      <c r="L56" s="17">
        <v>2.7863989135525467</v>
      </c>
      <c r="M56" s="17">
        <v>1448.5239884755699</v>
      </c>
      <c r="N56" s="17">
        <v>18.811999850332079</v>
      </c>
      <c r="O56" s="17">
        <v>1780.7927399999999</v>
      </c>
      <c r="P56" s="17">
        <v>23.127178441558438</v>
      </c>
      <c r="Q56" s="17">
        <v>4170.1305576060749</v>
      </c>
      <c r="R56" s="17">
        <v>54.157539709169804</v>
      </c>
      <c r="S56" s="17">
        <v>0.91262638495212312</v>
      </c>
    </row>
    <row r="57" spans="1:19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5"/>
      <c r="K57" s="17">
        <v>0.44649983907812496</v>
      </c>
      <c r="L57" s="17">
        <v>3.5536226916594273</v>
      </c>
      <c r="M57" s="17">
        <v>1689.5954516537277</v>
      </c>
      <c r="N57" s="17">
        <v>22.527939355383037</v>
      </c>
      <c r="O57" s="17">
        <v>2089.3404584999998</v>
      </c>
      <c r="P57" s="17">
        <v>27.857872779999997</v>
      </c>
      <c r="Q57" s="17">
        <v>5651.2074158538417</v>
      </c>
      <c r="R57" s="17">
        <v>75.349432211384553</v>
      </c>
      <c r="S57" s="17">
        <v>0.91517072115965803</v>
      </c>
    </row>
    <row r="58" spans="1:19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5"/>
      <c r="K58" s="17">
        <v>0.46214451040624993</v>
      </c>
      <c r="L58" s="17">
        <v>3.0050659762275256</v>
      </c>
      <c r="M58" s="17">
        <v>1746.3093705323736</v>
      </c>
      <c r="N58" s="17">
        <v>21.039871934124982</v>
      </c>
      <c r="O58" s="17">
        <v>2134.9837950000001</v>
      </c>
      <c r="P58" s="17">
        <v>25.568668203592814</v>
      </c>
      <c r="Q58" s="17">
        <v>5128.4134923640449</v>
      </c>
      <c r="R58" s="17">
        <v>61.418125657054432</v>
      </c>
      <c r="S58" s="17">
        <v>0.89616092735517194</v>
      </c>
    </row>
    <row r="59" spans="1:19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5"/>
      <c r="K59" s="17">
        <v>0.43694141990624991</v>
      </c>
      <c r="L59" s="17">
        <v>3.0102534138479697</v>
      </c>
      <c r="M59" s="17">
        <v>1360.2731341450556</v>
      </c>
      <c r="N59" s="17">
        <v>19.858001958321978</v>
      </c>
      <c r="O59" s="17">
        <v>1615.369526</v>
      </c>
      <c r="P59" s="17">
        <v>23.755434205882352</v>
      </c>
      <c r="Q59" s="17">
        <v>4302.7607269761866</v>
      </c>
      <c r="R59" s="17">
        <v>63.275893043767446</v>
      </c>
      <c r="S59" s="17">
        <v>0.90668881543959379</v>
      </c>
    </row>
    <row r="60" spans="1:19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5"/>
      <c r="K60" s="17">
        <v>0.38375934404062495</v>
      </c>
      <c r="L60" s="17">
        <v>2.7041097217145995</v>
      </c>
      <c r="M60" s="17">
        <v>1769.5727873329488</v>
      </c>
      <c r="N60" s="17">
        <v>21.066342706344628</v>
      </c>
      <c r="O60" s="17">
        <v>2221.2182873308457</v>
      </c>
      <c r="P60" s="17">
        <v>26.131979850951126</v>
      </c>
      <c r="Q60" s="17">
        <v>5029.4928833273043</v>
      </c>
      <c r="R60" s="17">
        <v>59.170504509732993</v>
      </c>
      <c r="S60" s="17">
        <v>0.84189565494822105</v>
      </c>
    </row>
    <row r="61" spans="1:19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5"/>
      <c r="K61" s="17">
        <v>0.30463684017812498</v>
      </c>
      <c r="L61" s="17">
        <v>2.2774438891952857</v>
      </c>
      <c r="M61" s="17">
        <v>1174.662146543109</v>
      </c>
      <c r="N61" s="17">
        <v>19.256756500706704</v>
      </c>
      <c r="O61" s="17">
        <v>1452.480053</v>
      </c>
      <c r="P61" s="17">
        <v>23.889474555921055</v>
      </c>
      <c r="Q61" s="17">
        <v>2693.6822745137374</v>
      </c>
      <c r="R61" s="17">
        <v>44.303984778186475</v>
      </c>
      <c r="S61" s="17">
        <v>0.87039832628736447</v>
      </c>
    </row>
    <row r="62" spans="1:19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5"/>
      <c r="K62" s="17">
        <v>0.193691757065625</v>
      </c>
      <c r="L62" s="17">
        <v>2.1668005540178075</v>
      </c>
      <c r="M62" s="17">
        <v>1292.5093387289853</v>
      </c>
      <c r="N62" s="17">
        <v>15.295968505668466</v>
      </c>
      <c r="O62" s="17">
        <v>1496.1847345000001</v>
      </c>
      <c r="P62" s="17">
        <v>17.706328218934914</v>
      </c>
      <c r="Q62" s="17">
        <v>3095.7589183729001</v>
      </c>
      <c r="R62" s="17">
        <v>36.636200217430769</v>
      </c>
      <c r="S62" s="17">
        <v>0.92918755366207773</v>
      </c>
    </row>
    <row r="63" spans="1:19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5"/>
      <c r="K63" s="17">
        <v>0.26338516695312497</v>
      </c>
      <c r="L63" s="17">
        <v>2.5865899431110515</v>
      </c>
      <c r="M63" s="17">
        <v>1152.48943670021</v>
      </c>
      <c r="N63" s="17">
        <v>17.868053282173801</v>
      </c>
      <c r="O63" s="17">
        <v>1418.6938879999998</v>
      </c>
      <c r="P63" s="17">
        <v>22.167091999999997</v>
      </c>
      <c r="Q63" s="17">
        <v>3005.1867753716742</v>
      </c>
      <c r="R63" s="17">
        <v>46.95604336518241</v>
      </c>
      <c r="S63" s="17">
        <v>0.88554042137963207</v>
      </c>
    </row>
    <row r="64" spans="1:19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5"/>
      <c r="K64" s="17">
        <v>0.37020900540312507</v>
      </c>
      <c r="L64" s="17">
        <v>2.7602316637633217</v>
      </c>
      <c r="M64" s="17">
        <v>1289.9163048516657</v>
      </c>
      <c r="N64" s="17">
        <v>18.427375783595224</v>
      </c>
      <c r="O64" s="17">
        <v>1578.9775015</v>
      </c>
      <c r="P64" s="17">
        <v>22.556821450000001</v>
      </c>
      <c r="Q64" s="17">
        <v>3767.6639617659425</v>
      </c>
      <c r="R64" s="17">
        <v>53.82377088237061</v>
      </c>
      <c r="S64" s="17">
        <v>0.87144060827096359</v>
      </c>
    </row>
    <row r="65" spans="1:19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5"/>
      <c r="K65" s="17">
        <v>0.31262251785625</v>
      </c>
      <c r="L65" s="17">
        <v>2.9164124627481582</v>
      </c>
      <c r="M65" s="17">
        <v>1345.2544750523684</v>
      </c>
      <c r="N65" s="17">
        <v>18.555234138653358</v>
      </c>
      <c r="O65" s="17">
        <v>1631.4105144999999</v>
      </c>
      <c r="P65" s="17">
        <v>22.658479368055552</v>
      </c>
      <c r="Q65" s="17">
        <v>3992.6519181939138</v>
      </c>
      <c r="R65" s="17">
        <v>55.453498863804356</v>
      </c>
      <c r="S65" s="17">
        <v>0.90144260961881484</v>
      </c>
    </row>
    <row r="66" spans="1:19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5"/>
      <c r="K66" s="17">
        <v>0.2560736964625</v>
      </c>
      <c r="L66" s="17">
        <v>2.3847744944909737</v>
      </c>
      <c r="M66" s="17">
        <v>1018.73039262981</v>
      </c>
      <c r="N66" s="17">
        <v>16.978839877163502</v>
      </c>
      <c r="O66" s="17">
        <v>1360.4630149999998</v>
      </c>
      <c r="P66" s="17">
        <v>22.674383583333331</v>
      </c>
      <c r="Q66" s="17">
        <v>2745.8169145207157</v>
      </c>
      <c r="R66" s="17">
        <v>45.76361524201193</v>
      </c>
      <c r="S66" s="17">
        <v>0.90021401062138873</v>
      </c>
    </row>
    <row r="67" spans="1:19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5"/>
      <c r="K67" s="17">
        <v>0.33916299025000002</v>
      </c>
      <c r="L67" s="17">
        <v>2.3852777172357675</v>
      </c>
      <c r="M67" s="17">
        <v>1388.1178230687551</v>
      </c>
      <c r="N67" s="17">
        <v>19.279414209288266</v>
      </c>
      <c r="O67" s="17">
        <v>1610.3651645</v>
      </c>
      <c r="P67" s="17">
        <v>23.005216635714287</v>
      </c>
      <c r="Q67" s="17">
        <v>3285.813639964399</v>
      </c>
      <c r="R67" s="17">
        <v>46.940194856634271</v>
      </c>
      <c r="S67" s="17">
        <v>0.89301174596145172</v>
      </c>
    </row>
    <row r="68" spans="1:19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5"/>
      <c r="K68" s="17">
        <v>0.29859349211562497</v>
      </c>
      <c r="L68" s="17">
        <v>2.7310977254193656</v>
      </c>
      <c r="M68" s="17">
        <v>1213.8431636557057</v>
      </c>
      <c r="N68" s="17">
        <v>16.514872974907561</v>
      </c>
      <c r="O68" s="17">
        <v>1612.7816594999999</v>
      </c>
      <c r="P68" s="17">
        <v>23.717377345588233</v>
      </c>
      <c r="Q68" s="17">
        <v>3391.9626166730709</v>
      </c>
      <c r="R68" s="17">
        <v>49.881803186368693</v>
      </c>
      <c r="S68" s="17">
        <v>0.92737793740827423</v>
      </c>
    </row>
    <row r="69" spans="1:19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5"/>
      <c r="K69" s="17">
        <v>0.29859349211562497</v>
      </c>
      <c r="L69" s="17">
        <v>2.7310977254193656</v>
      </c>
      <c r="M69" s="17">
        <v>1213.8431636557057</v>
      </c>
      <c r="N69" s="17">
        <v>16.514872974907561</v>
      </c>
      <c r="O69" s="17">
        <v>1612.7816594999999</v>
      </c>
      <c r="P69" s="17">
        <v>22.092899445205479</v>
      </c>
      <c r="Q69" s="17">
        <v>3391.9626166730709</v>
      </c>
      <c r="R69" s="17">
        <v>46.465241324288641</v>
      </c>
      <c r="S69" s="17">
        <v>0.92737793740827423</v>
      </c>
    </row>
    <row r="70" spans="1:19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5"/>
      <c r="K70" s="17">
        <v>0.36702000540625007</v>
      </c>
      <c r="L70" s="17">
        <v>2.9078309451672135</v>
      </c>
      <c r="M70" s="17">
        <v>1327.4479408103111</v>
      </c>
      <c r="N70" s="17">
        <v>20.422276012466327</v>
      </c>
      <c r="O70" s="17">
        <v>1676.9365905</v>
      </c>
      <c r="P70" s="17">
        <v>25.799024469230769</v>
      </c>
      <c r="Q70" s="17">
        <v>3852.0478404829028</v>
      </c>
      <c r="R70" s="17">
        <v>59.262274468967732</v>
      </c>
      <c r="S70" s="17">
        <v>0.90333438500078644</v>
      </c>
    </row>
    <row r="71" spans="1:19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5"/>
      <c r="K71" s="17">
        <v>0.39839515624999999</v>
      </c>
      <c r="L71" s="17">
        <v>2.7754548570672264</v>
      </c>
      <c r="M71" s="17">
        <v>1177.9431676796407</v>
      </c>
      <c r="N71" s="17">
        <v>18.405361994994387</v>
      </c>
      <c r="O71" s="17">
        <v>1479.133871</v>
      </c>
      <c r="P71" s="17">
        <v>23.111466734375</v>
      </c>
      <c r="Q71" s="17">
        <v>3444.9907882177904</v>
      </c>
      <c r="R71" s="17">
        <v>53.827981065902975</v>
      </c>
      <c r="S71" s="17">
        <v>0.90655188614541449</v>
      </c>
    </row>
    <row r="72" spans="1:19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5"/>
      <c r="K72" s="17">
        <v>0.32653325088124996</v>
      </c>
      <c r="L72" s="17">
        <v>2.7161735014193109</v>
      </c>
      <c r="M72" s="17">
        <v>1055.9091998329204</v>
      </c>
      <c r="N72" s="17">
        <v>17.598486663882007</v>
      </c>
      <c r="O72" s="17">
        <v>1357.5686224999999</v>
      </c>
      <c r="P72" s="17">
        <v>22.626143708333334</v>
      </c>
      <c r="Q72" s="17">
        <v>3100.7140799229942</v>
      </c>
      <c r="R72" s="17">
        <v>51.678567998716566</v>
      </c>
      <c r="S72" s="17">
        <v>0.86642314217882233</v>
      </c>
    </row>
    <row r="73" spans="1:19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5"/>
      <c r="K73" s="17">
        <v>0.30586021976562494</v>
      </c>
      <c r="L73" s="17">
        <v>3.3145053065190293</v>
      </c>
      <c r="M73" s="17">
        <v>1168.2445818163983</v>
      </c>
      <c r="N73" s="17">
        <v>22.466241958007661</v>
      </c>
      <c r="O73" s="17">
        <v>1513.488075</v>
      </c>
      <c r="P73" s="17">
        <v>30.391326807228918</v>
      </c>
      <c r="Q73" s="17">
        <v>3383.1267450451842</v>
      </c>
      <c r="R73" s="17">
        <v>67.934271988859123</v>
      </c>
      <c r="S73" s="17">
        <v>0.89235008742435484</v>
      </c>
    </row>
    <row r="74" spans="1:19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5"/>
      <c r="K74" s="17">
        <v>0.25436059729062499</v>
      </c>
      <c r="L74" s="17">
        <v>2.6332718179993138</v>
      </c>
      <c r="M74" s="17">
        <v>1229.6057621834589</v>
      </c>
      <c r="N74" s="17">
        <v>18.352324808708342</v>
      </c>
      <c r="O74" s="17">
        <v>1559.546173</v>
      </c>
      <c r="P74" s="17">
        <v>23.276808552238805</v>
      </c>
      <c r="Q74" s="17">
        <v>3263.4081550117626</v>
      </c>
      <c r="R74" s="17">
        <v>48.707584403160638</v>
      </c>
      <c r="S74" s="17">
        <v>0.89744251006042619</v>
      </c>
    </row>
    <row r="75" spans="1:19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5"/>
      <c r="K75" s="17">
        <v>0.35020834272812496</v>
      </c>
      <c r="L75" s="17">
        <v>2.6744064673371786</v>
      </c>
      <c r="M75" s="17">
        <v>1326.0074522899865</v>
      </c>
      <c r="N75" s="17">
        <v>16.679339022515553</v>
      </c>
      <c r="O75" s="17">
        <v>1611.5463944999999</v>
      </c>
      <c r="P75" s="17">
        <v>20.399321449367086</v>
      </c>
      <c r="Q75" s="17">
        <v>4012.9102124045739</v>
      </c>
      <c r="R75" s="17">
        <v>50.796331802589542</v>
      </c>
      <c r="S75" s="17">
        <v>0.89491685717777303</v>
      </c>
    </row>
    <row r="76" spans="1:19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5"/>
      <c r="K76" s="17">
        <v>0.27310049252499996</v>
      </c>
      <c r="L76" s="17">
        <v>2.2834674253948597</v>
      </c>
      <c r="M76" s="17">
        <v>1201.4792624675251</v>
      </c>
      <c r="N76" s="17">
        <v>19.53624817020366</v>
      </c>
      <c r="O76" s="17">
        <v>1372.0226405000001</v>
      </c>
      <c r="P76" s="17">
        <v>22.129397427419356</v>
      </c>
      <c r="Q76" s="17">
        <v>2682.0675679793717</v>
      </c>
      <c r="R76" s="17">
        <v>43.25915432224793</v>
      </c>
      <c r="S76" s="17">
        <v>0.87161083290893038</v>
      </c>
    </row>
    <row r="77" spans="1:19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5"/>
      <c r="K77" s="17">
        <v>0.37622844975625003</v>
      </c>
      <c r="L77" s="17">
        <v>2.4487275848758658</v>
      </c>
      <c r="M77" s="17">
        <v>1821.6966712416215</v>
      </c>
      <c r="N77" s="17">
        <v>17.947750455582479</v>
      </c>
      <c r="O77" s="17">
        <v>2236.9824525000004</v>
      </c>
      <c r="P77" s="17">
        <v>22.369824525000002</v>
      </c>
      <c r="Q77" s="17">
        <v>4362.3723754453677</v>
      </c>
      <c r="R77" s="17">
        <v>43.623723754453678</v>
      </c>
      <c r="S77" s="17">
        <v>0.93509902192010685</v>
      </c>
    </row>
    <row r="78" spans="1:19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5"/>
      <c r="K78" s="17">
        <v>0.29555526936249998</v>
      </c>
      <c r="L78" s="17">
        <v>3.5533202165142224</v>
      </c>
      <c r="M78" s="17">
        <v>1879.7796489043435</v>
      </c>
      <c r="N78" s="17">
        <v>18.250287853440227</v>
      </c>
      <c r="O78" s="17">
        <v>2159.176027</v>
      </c>
      <c r="P78" s="17">
        <v>20.962874048543689</v>
      </c>
      <c r="Q78" s="17">
        <v>6918.2120272594739</v>
      </c>
      <c r="R78" s="17">
        <v>67.167107060771585</v>
      </c>
      <c r="S78" s="17">
        <v>0.88525244915581025</v>
      </c>
    </row>
    <row r="79" spans="1:19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5"/>
      <c r="K79" s="17">
        <v>0.4060326978531249</v>
      </c>
      <c r="L79" s="17">
        <v>3.7149684172139255</v>
      </c>
      <c r="M79" s="17">
        <v>1491.7775551938284</v>
      </c>
      <c r="N79" s="17">
        <v>21.311107931340405</v>
      </c>
      <c r="O79" s="17">
        <v>1824.2900425</v>
      </c>
      <c r="P79" s="17">
        <v>26.061286321428572</v>
      </c>
      <c r="Q79" s="17">
        <v>5370.4308385055128</v>
      </c>
      <c r="R79" s="17">
        <v>76.720440550078749</v>
      </c>
      <c r="S79" s="17">
        <v>0.88132214860746028</v>
      </c>
    </row>
    <row r="80" spans="1:19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5"/>
      <c r="K80" s="17">
        <v>0.33981819705312499</v>
      </c>
      <c r="L80" s="17">
        <v>2.562463343748874</v>
      </c>
      <c r="M80" s="17">
        <v>1901.2703648251913</v>
      </c>
      <c r="N80" s="17">
        <v>17.442847383717353</v>
      </c>
      <c r="O80" s="17">
        <v>2332.9758834999998</v>
      </c>
      <c r="P80" s="17">
        <v>21.601628550925923</v>
      </c>
      <c r="Q80" s="17">
        <v>4986.2053983653404</v>
      </c>
      <c r="R80" s="17">
        <v>46.16856850338278</v>
      </c>
      <c r="S80" s="17">
        <v>0.90513701860654616</v>
      </c>
    </row>
    <row r="81" spans="1:20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5"/>
      <c r="K81" s="17">
        <v>0.38442068000000001</v>
      </c>
      <c r="L81" s="17">
        <v>3.8161037831228706</v>
      </c>
      <c r="M81" s="17">
        <v>1534.1170734157893</v>
      </c>
      <c r="N81" s="17">
        <v>19.795059011816637</v>
      </c>
      <c r="O81" s="17">
        <v>1762.741027</v>
      </c>
      <c r="P81" s="17">
        <v>22.892740610389612</v>
      </c>
      <c r="Q81" s="17">
        <v>5771.2760457714085</v>
      </c>
      <c r="R81" s="17">
        <v>74.951636958070239</v>
      </c>
      <c r="S81" s="17">
        <v>0.88358870196867201</v>
      </c>
    </row>
    <row r="82" spans="1:20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5"/>
      <c r="K82" s="17"/>
      <c r="L82" s="17"/>
      <c r="M82" s="17"/>
      <c r="N82" s="17"/>
      <c r="O82" s="17"/>
      <c r="P82" s="17"/>
      <c r="Q82" s="17"/>
      <c r="R82" s="17"/>
      <c r="S82" s="17"/>
    </row>
    <row r="83" spans="1:20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5"/>
      <c r="K83" s="17">
        <v>0.37420031195312503</v>
      </c>
      <c r="L83" s="17">
        <v>1.6178949983179594</v>
      </c>
      <c r="M83" s="17">
        <v>1557.0458486920461</v>
      </c>
      <c r="N83" s="17">
        <v>16.304145012482159</v>
      </c>
      <c r="O83" s="17">
        <v>2324.031164</v>
      </c>
      <c r="P83" s="17">
        <v>24.463485936842105</v>
      </c>
      <c r="Q83" s="17">
        <v>3154.3061783070671</v>
      </c>
      <c r="R83" s="17">
        <v>33.203222929548076</v>
      </c>
      <c r="S83" s="17">
        <v>0.89180856275629661</v>
      </c>
    </row>
    <row r="84" spans="1:20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0"/>
      <c r="K84" s="17">
        <v>0.37351691103125007</v>
      </c>
      <c r="L84" s="17">
        <v>3.1689730381182164</v>
      </c>
      <c r="M84" s="17">
        <v>1729.800680437249</v>
      </c>
      <c r="N84" s="17">
        <v>19.882766441807458</v>
      </c>
      <c r="O84" s="17">
        <v>2115.9492335</v>
      </c>
      <c r="P84" s="17">
        <v>24.893520394117647</v>
      </c>
      <c r="Q84" s="17">
        <v>5358.8166602008314</v>
      </c>
      <c r="R84" s="17">
        <v>63.044901884715664</v>
      </c>
      <c r="S84" s="17">
        <v>0.9199019470620764</v>
      </c>
    </row>
    <row r="85" spans="1:20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0"/>
      <c r="K85" s="17">
        <v>0.47960708947812497</v>
      </c>
      <c r="L85" s="17">
        <v>2.8920253858782781</v>
      </c>
      <c r="M85" s="17">
        <v>1812.2961070280294</v>
      </c>
      <c r="N85" s="17">
        <v>21.073210546837551</v>
      </c>
      <c r="O85" s="17">
        <v>2273.5548325</v>
      </c>
      <c r="P85" s="17">
        <v>26.436684098837208</v>
      </c>
      <c r="Q85" s="17">
        <v>5130.1670291448427</v>
      </c>
      <c r="R85" s="17">
        <v>59.653104990056313</v>
      </c>
      <c r="S85" s="17">
        <v>0.92736929699314075</v>
      </c>
    </row>
    <row r="86" spans="1:20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0"/>
      <c r="K86" s="17">
        <v>0.4045935719656249</v>
      </c>
      <c r="L86" s="17">
        <v>4.1085005835249939</v>
      </c>
      <c r="M86" s="17">
        <v>1722.4966704060548</v>
      </c>
      <c r="N86" s="17">
        <v>19.463239213627737</v>
      </c>
      <c r="O86" s="17">
        <v>1961.5445975</v>
      </c>
      <c r="P86" s="17">
        <v>22.290279517045455</v>
      </c>
      <c r="Q86" s="17">
        <v>7387.3113233483764</v>
      </c>
      <c r="R86" s="17">
        <v>83.946719583504276</v>
      </c>
      <c r="S86" s="17">
        <v>0.89731226225026639</v>
      </c>
    </row>
    <row r="87" spans="1:20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0"/>
      <c r="K87" s="17">
        <v>0.38032395196250002</v>
      </c>
      <c r="L87" s="17">
        <v>2.7564761787662277</v>
      </c>
      <c r="M87" s="17">
        <v>1429.8229959847374</v>
      </c>
      <c r="N87" s="17">
        <v>18.099025265629589</v>
      </c>
      <c r="O87" s="17">
        <v>1777.6909335</v>
      </c>
      <c r="P87" s="17">
        <v>22.502416879746836</v>
      </c>
      <c r="Q87" s="17">
        <v>4104.0062011999526</v>
      </c>
      <c r="R87" s="17">
        <v>51.949445584809524</v>
      </c>
      <c r="S87" s="17">
        <v>0.885608606201848</v>
      </c>
    </row>
    <row r="88" spans="1:20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0"/>
      <c r="K88" s="17">
        <v>0.42382379969999989</v>
      </c>
      <c r="L88" s="17">
        <v>1.8014976538191398</v>
      </c>
      <c r="M88" s="17">
        <v>1435.8324324380951</v>
      </c>
      <c r="N88" s="17">
        <v>18.290859011950257</v>
      </c>
      <c r="O88" s="17">
        <v>1923.9443510000001</v>
      </c>
      <c r="P88" s="17">
        <f>O88/D88</f>
        <v>29.599143861538462</v>
      </c>
      <c r="Q88" s="17">
        <v>2537.7096006589341</v>
      </c>
      <c r="R88" s="17">
        <f>Q88/D88</f>
        <v>39.041686163983599</v>
      </c>
      <c r="S88" s="17">
        <v>0.93888938056482063</v>
      </c>
      <c r="T88" s="43"/>
    </row>
    <row r="89" spans="1:20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0"/>
      <c r="K89" s="17">
        <v>0.234639424140625</v>
      </c>
      <c r="L89" s="17">
        <v>2.3565395579300734</v>
      </c>
      <c r="M89" s="17">
        <v>1109.6219451139177</v>
      </c>
      <c r="N89" s="17">
        <v>17.613046747839963</v>
      </c>
      <c r="O89" s="17">
        <v>1550.5293154999999</v>
      </c>
      <c r="P89" s="17">
        <f t="shared" ref="P89:P100" si="0">O89/D89</f>
        <v>24.611576436507935</v>
      </c>
      <c r="Q89" s="17">
        <v>2755.9680299780716</v>
      </c>
      <c r="R89" s="17">
        <f t="shared" ref="R89:R100" si="1">Q89/D89</f>
        <v>43.745524285366216</v>
      </c>
      <c r="S89" s="17">
        <v>0.86908926016207733</v>
      </c>
    </row>
    <row r="90" spans="1:20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0"/>
      <c r="K90" s="17">
        <v>0.21162811991562497</v>
      </c>
      <c r="L90" s="17">
        <v>1.9737407753420624</v>
      </c>
      <c r="M90" s="17">
        <v>1153.0732461101502</v>
      </c>
      <c r="N90" s="17">
        <v>16.956959501619856</v>
      </c>
      <c r="O90" s="17">
        <v>1368.4609780000001</v>
      </c>
      <c r="P90" s="17">
        <f t="shared" si="0"/>
        <v>20.124426147058823</v>
      </c>
      <c r="Q90" s="17">
        <v>2297.0149852516051</v>
      </c>
      <c r="R90" s="17">
        <f t="shared" si="1"/>
        <v>33.779632136053017</v>
      </c>
      <c r="S90" s="17">
        <v>0.9183492368708126</v>
      </c>
    </row>
    <row r="91" spans="1:20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0"/>
      <c r="K91" s="17">
        <v>0.27485894745312495</v>
      </c>
      <c r="L91" s="17">
        <v>2.35922726123813</v>
      </c>
      <c r="M91" s="17">
        <v>1273.4740433685124</v>
      </c>
      <c r="N91" s="17">
        <v>18.456145556065398</v>
      </c>
      <c r="O91" s="17">
        <v>1700.5247039999999</v>
      </c>
      <c r="P91" s="17">
        <f t="shared" si="0"/>
        <v>24.645285565217389</v>
      </c>
      <c r="Q91" s="17">
        <v>3032.1245142617445</v>
      </c>
      <c r="R91" s="17">
        <f t="shared" si="1"/>
        <v>43.943833540025281</v>
      </c>
      <c r="S91" s="17">
        <v>0.92162967200922918</v>
      </c>
    </row>
    <row r="92" spans="1:20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0"/>
      <c r="K92" s="17">
        <v>0.24002572665312499</v>
      </c>
      <c r="L92" s="17">
        <v>3.2456945364659537</v>
      </c>
      <c r="M92" s="17">
        <v>1468.4620940497196</v>
      </c>
      <c r="N92" s="17">
        <v>16.687069250564996</v>
      </c>
      <c r="O92" s="17">
        <v>1978.3880690000001</v>
      </c>
      <c r="P92" s="17">
        <f t="shared" si="0"/>
        <v>22.481682602272727</v>
      </c>
      <c r="Q92" s="17">
        <v>4439.5332150684035</v>
      </c>
      <c r="R92" s="17">
        <f t="shared" si="1"/>
        <v>50.449241080322764</v>
      </c>
      <c r="S92" s="17">
        <v>0.91839479084851761</v>
      </c>
    </row>
    <row r="93" spans="1:20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0"/>
      <c r="K93" s="17">
        <v>0.35218744728125007</v>
      </c>
      <c r="L93" s="17">
        <v>1.7707558264869014</v>
      </c>
      <c r="M93" s="17">
        <v>1387.8305287174207</v>
      </c>
      <c r="N93" s="17">
        <v>18.504407049565611</v>
      </c>
      <c r="O93" s="17">
        <v>1816.4994925000001</v>
      </c>
      <c r="P93" s="17">
        <f t="shared" si="0"/>
        <v>22.343167189421894</v>
      </c>
      <c r="Q93" s="17">
        <v>2733.6250647067604</v>
      </c>
      <c r="R93" s="17">
        <f t="shared" si="1"/>
        <v>33.623924535138507</v>
      </c>
      <c r="S93" s="17">
        <v>0.93345596642079431</v>
      </c>
    </row>
    <row r="94" spans="1:20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0"/>
      <c r="K94" s="17">
        <v>0.203890673065625</v>
      </c>
      <c r="L94" s="17">
        <v>2.5120265940893933</v>
      </c>
      <c r="M94" s="17">
        <v>1421.791908297811</v>
      </c>
      <c r="N94" s="17">
        <v>16.726963627033072</v>
      </c>
      <c r="O94" s="17">
        <v>1727.5482294999999</v>
      </c>
      <c r="P94" s="17">
        <f t="shared" si="0"/>
        <v>20.252616992966001</v>
      </c>
      <c r="Q94" s="17">
        <v>3956.19419557314</v>
      </c>
      <c r="R94" s="17">
        <f t="shared" si="1"/>
        <v>46.379767826179837</v>
      </c>
      <c r="S94" s="17">
        <v>0.89106803239763033</v>
      </c>
    </row>
    <row r="95" spans="1:20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0"/>
      <c r="K95" s="17">
        <v>0.32264491415625002</v>
      </c>
      <c r="L95" s="17">
        <v>2.5231013398413165</v>
      </c>
      <c r="M95" s="17">
        <v>1348.495528343678</v>
      </c>
      <c r="N95" s="17">
        <v>17.512928939528287</v>
      </c>
      <c r="O95" s="17">
        <v>1625.3421665000001</v>
      </c>
      <c r="P95" s="17">
        <f t="shared" si="0"/>
        <v>21.08096195201038</v>
      </c>
      <c r="Q95" s="17">
        <v>3511.1714396979246</v>
      </c>
      <c r="R95" s="17">
        <f t="shared" si="1"/>
        <v>45.540485599194874</v>
      </c>
      <c r="S95" s="17">
        <v>0.91855860649540089</v>
      </c>
    </row>
    <row r="96" spans="1:20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0"/>
      <c r="K96" s="17">
        <v>0.33019603465625003</v>
      </c>
      <c r="L96" s="17">
        <v>2.4994051173059444</v>
      </c>
      <c r="M96" s="17">
        <v>1380.6874257321733</v>
      </c>
      <c r="N96" s="17">
        <v>18.409165676428977</v>
      </c>
      <c r="O96" s="17">
        <v>1686.8912194999998</v>
      </c>
      <c r="P96" s="17">
        <f t="shared" si="0"/>
        <v>22.402273831341301</v>
      </c>
      <c r="Q96" s="17">
        <v>3625.9434392611352</v>
      </c>
      <c r="R96" s="17">
        <f t="shared" si="1"/>
        <v>48.153299326177098</v>
      </c>
      <c r="S96" s="17">
        <v>0.90365611147687375</v>
      </c>
    </row>
    <row r="97" spans="1:20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0"/>
      <c r="K97" s="17">
        <v>0.24948362766250001</v>
      </c>
      <c r="L97" s="17">
        <v>2.3524096512746322</v>
      </c>
      <c r="M97" s="17">
        <v>1399.8926087724119</v>
      </c>
      <c r="N97" s="17">
        <v>18.917467686113675</v>
      </c>
      <c r="O97" s="17">
        <v>1714.8975455</v>
      </c>
      <c r="P97" s="17">
        <f t="shared" si="0"/>
        <v>23.237094112466124</v>
      </c>
      <c r="Q97" s="17">
        <v>3345.1751271275989</v>
      </c>
      <c r="R97" s="17">
        <f t="shared" si="1"/>
        <v>45.327576248341451</v>
      </c>
      <c r="S97" s="17">
        <v>0.86292309379660681</v>
      </c>
    </row>
    <row r="98" spans="1:20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0"/>
      <c r="K98" s="17">
        <v>0.35218744728125007</v>
      </c>
      <c r="L98" s="17">
        <v>1.7707558264869014</v>
      </c>
      <c r="M98" s="17">
        <v>1387.8305287174207</v>
      </c>
      <c r="N98" s="17">
        <v>18.504407049565611</v>
      </c>
      <c r="O98" s="17">
        <v>1816.4994925000001</v>
      </c>
      <c r="P98" s="17">
        <f t="shared" si="0"/>
        <v>24.219993233333334</v>
      </c>
      <c r="Q98" s="17">
        <v>2733.6250647067604</v>
      </c>
      <c r="R98" s="17">
        <f t="shared" si="1"/>
        <v>36.448334196090137</v>
      </c>
      <c r="S98" s="17">
        <v>0.93345596642079431</v>
      </c>
    </row>
    <row r="99" spans="1:20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0"/>
      <c r="K99" s="17">
        <v>0.27553744505</v>
      </c>
      <c r="L99" s="17">
        <v>1.6987763635038757</v>
      </c>
      <c r="M99" s="17">
        <v>1478.0567072564093</v>
      </c>
      <c r="N99" s="17">
        <v>16.892076654358963</v>
      </c>
      <c r="O99" s="17">
        <v>1998.28828</v>
      </c>
      <c r="P99" s="17">
        <f t="shared" si="0"/>
        <v>22.968830804597701</v>
      </c>
      <c r="Q99" s="17">
        <v>2954.5341013171046</v>
      </c>
      <c r="R99" s="17">
        <f t="shared" si="1"/>
        <v>33.960162084104653</v>
      </c>
      <c r="S99" s="17">
        <v>0.88698513245419863</v>
      </c>
    </row>
    <row r="100" spans="1:20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60"/>
      <c r="K100" s="17">
        <v>0.50216054573125002</v>
      </c>
      <c r="L100" s="17">
        <v>2.9320311200657301</v>
      </c>
      <c r="M100" s="17">
        <v>1772.1307748190186</v>
      </c>
      <c r="N100" s="17">
        <v>20.606171800221148</v>
      </c>
      <c r="O100" s="17">
        <v>2220.2832495000002</v>
      </c>
      <c r="P100" s="17">
        <f t="shared" si="0"/>
        <v>25.817247087209306</v>
      </c>
      <c r="Q100" s="17">
        <v>5039.966465683925</v>
      </c>
      <c r="R100" s="17">
        <f t="shared" si="1"/>
        <v>58.604261228882848</v>
      </c>
      <c r="S100" s="17">
        <v>0.91060029543249432</v>
      </c>
      <c r="T100" s="39"/>
    </row>
    <row r="101" spans="1:20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0"/>
      <c r="K101"/>
      <c r="L101"/>
      <c r="M101"/>
      <c r="N101"/>
      <c r="O101"/>
      <c r="P101"/>
      <c r="Q101"/>
      <c r="R101"/>
      <c r="S101"/>
    </row>
    <row r="102" spans="1:20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0"/>
      <c r="K102"/>
      <c r="L102"/>
      <c r="M102"/>
      <c r="N102"/>
      <c r="O102"/>
      <c r="P102"/>
      <c r="Q102"/>
      <c r="R102"/>
      <c r="S102"/>
    </row>
    <row r="103" spans="1:20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0"/>
      <c r="K103"/>
      <c r="L103"/>
      <c r="M103"/>
      <c r="N103"/>
      <c r="O103"/>
      <c r="P103"/>
      <c r="Q103"/>
      <c r="R103"/>
      <c r="S103"/>
    </row>
    <row r="104" spans="1:20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0"/>
      <c r="K104"/>
      <c r="L104"/>
      <c r="M104"/>
      <c r="N104"/>
      <c r="O104"/>
      <c r="P104"/>
      <c r="Q104"/>
      <c r="R104"/>
      <c r="S104"/>
    </row>
    <row r="105" spans="1:20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0"/>
      <c r="K105"/>
      <c r="L105"/>
      <c r="M105"/>
      <c r="N105"/>
      <c r="O105"/>
      <c r="P105"/>
      <c r="Q105"/>
      <c r="R105"/>
      <c r="S105"/>
    </row>
    <row r="106" spans="1:20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0"/>
      <c r="K106"/>
      <c r="L106"/>
      <c r="M106"/>
      <c r="N106"/>
      <c r="O106"/>
      <c r="P106"/>
      <c r="Q106"/>
      <c r="R106"/>
      <c r="S106"/>
    </row>
    <row r="107" spans="1:20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0"/>
      <c r="K107"/>
      <c r="L107"/>
      <c r="M107"/>
      <c r="N107"/>
      <c r="O107"/>
      <c r="P107"/>
      <c r="Q107"/>
      <c r="R107"/>
      <c r="S107"/>
    </row>
    <row r="108" spans="1:20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0"/>
      <c r="K108"/>
      <c r="L108"/>
      <c r="M108"/>
      <c r="N108"/>
      <c r="O108"/>
      <c r="P108"/>
      <c r="Q108"/>
      <c r="R108"/>
      <c r="S108"/>
    </row>
    <row r="109" spans="1:20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0"/>
      <c r="K109"/>
      <c r="L109"/>
      <c r="M109"/>
      <c r="N109"/>
      <c r="O109"/>
      <c r="P109"/>
      <c r="Q109"/>
      <c r="R109"/>
      <c r="S109"/>
    </row>
    <row r="110" spans="1:20" x14ac:dyDescent="0.25">
      <c r="J110" s="60"/>
      <c r="K110"/>
      <c r="L110"/>
      <c r="M110"/>
      <c r="N110"/>
      <c r="O110"/>
      <c r="P110"/>
      <c r="Q110"/>
      <c r="R110"/>
      <c r="S110"/>
    </row>
    <row r="111" spans="1:20" x14ac:dyDescent="0.25">
      <c r="J111" s="60"/>
      <c r="K111"/>
      <c r="L111"/>
      <c r="M111"/>
      <c r="N111"/>
      <c r="O111"/>
      <c r="P111"/>
      <c r="Q111"/>
      <c r="R111"/>
      <c r="S111"/>
    </row>
    <row r="112" spans="1:20" x14ac:dyDescent="0.25">
      <c r="J112" s="60"/>
      <c r="K112"/>
      <c r="L112"/>
      <c r="M112"/>
      <c r="N112"/>
      <c r="O112"/>
      <c r="P112"/>
      <c r="Q112"/>
      <c r="R112"/>
      <c r="S112"/>
    </row>
    <row r="113" spans="10:19" x14ac:dyDescent="0.25">
      <c r="J113" s="60"/>
      <c r="K113"/>
      <c r="L113"/>
      <c r="M113"/>
      <c r="N113"/>
      <c r="O113"/>
      <c r="P113"/>
      <c r="Q113"/>
      <c r="R113"/>
      <c r="S113"/>
    </row>
    <row r="114" spans="10:19" x14ac:dyDescent="0.25">
      <c r="J114" s="60"/>
      <c r="K114"/>
      <c r="L114"/>
      <c r="M114"/>
      <c r="N114"/>
      <c r="O114"/>
      <c r="P114"/>
      <c r="Q114"/>
      <c r="R114"/>
      <c r="S114"/>
    </row>
    <row r="115" spans="10:19" x14ac:dyDescent="0.25">
      <c r="J115" s="60"/>
      <c r="K115"/>
      <c r="L115"/>
      <c r="M115"/>
      <c r="N115"/>
      <c r="O115"/>
      <c r="P115"/>
      <c r="Q115"/>
      <c r="R115"/>
      <c r="S115"/>
    </row>
    <row r="116" spans="10:19" x14ac:dyDescent="0.25">
      <c r="J116" s="60"/>
    </row>
    <row r="117" spans="10:19" x14ac:dyDescent="0.25">
      <c r="J117" s="60"/>
    </row>
    <row r="118" spans="10:19" x14ac:dyDescent="0.25">
      <c r="J118" s="60"/>
    </row>
    <row r="119" spans="10:19" x14ac:dyDescent="0.25">
      <c r="J119" s="60"/>
    </row>
    <row r="120" spans="10:19" x14ac:dyDescent="0.25">
      <c r="J120" s="60"/>
    </row>
    <row r="121" spans="10:19" x14ac:dyDescent="0.25">
      <c r="J121" s="60"/>
    </row>
    <row r="122" spans="10:19" x14ac:dyDescent="0.25">
      <c r="J122" s="60"/>
    </row>
    <row r="123" spans="10:19" x14ac:dyDescent="0.25">
      <c r="J123" s="60"/>
    </row>
    <row r="124" spans="10:19" x14ac:dyDescent="0.25">
      <c r="J124" s="60"/>
    </row>
    <row r="125" spans="10:19" x14ac:dyDescent="0.25">
      <c r="J125" s="60"/>
    </row>
    <row r="126" spans="10:19" x14ac:dyDescent="0.25">
      <c r="J126" s="60"/>
    </row>
    <row r="127" spans="10:19" x14ac:dyDescent="0.25">
      <c r="J127" s="60"/>
    </row>
    <row r="128" spans="10:19" x14ac:dyDescent="0.25">
      <c r="J128" s="60"/>
    </row>
    <row r="129" spans="10:10" x14ac:dyDescent="0.25">
      <c r="J129" s="60"/>
    </row>
    <row r="130" spans="10:10" x14ac:dyDescent="0.25">
      <c r="J130" s="60"/>
    </row>
    <row r="131" spans="10:10" x14ac:dyDescent="0.25">
      <c r="J131" s="60"/>
    </row>
    <row r="132" spans="10:10" x14ac:dyDescent="0.25">
      <c r="J132" s="60"/>
    </row>
  </sheetData>
  <mergeCells count="2">
    <mergeCell ref="J1:J83"/>
    <mergeCell ref="J84:J1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62E8-1AF8-4FAB-BA78-B36428847B7A}">
  <sheetPr codeName="Feuil5"/>
  <dimension ref="A1:T126"/>
  <sheetViews>
    <sheetView zoomScale="70" zoomScaleNormal="70" workbookViewId="0">
      <pane ySplit="1" topLeftCell="A2" activePane="bottomLeft" state="frozen"/>
      <selection pane="bottomLeft" sqref="A1:I109"/>
    </sheetView>
  </sheetViews>
  <sheetFormatPr baseColWidth="10" defaultRowHeight="15" x14ac:dyDescent="0.25"/>
  <cols>
    <col min="1" max="1" width="14" style="7" bestFit="1" customWidth="1"/>
    <col min="2" max="2" width="13.140625" style="7" customWidth="1"/>
    <col min="3" max="3" width="13.140625" style="7" bestFit="1" customWidth="1"/>
    <col min="4" max="5" width="8.140625" style="7" bestFit="1" customWidth="1"/>
    <col min="6" max="6" width="6.85546875" style="7" bestFit="1" customWidth="1"/>
    <col min="7" max="7" width="13.85546875" style="7" bestFit="1" customWidth="1"/>
    <col min="8" max="8" width="6.7109375" style="7" bestFit="1" customWidth="1"/>
    <col min="9" max="9" width="8.140625" style="7" bestFit="1" customWidth="1"/>
    <col min="10" max="10" width="10.140625" style="7" bestFit="1" customWidth="1"/>
    <col min="11" max="12" width="15.42578125" bestFit="1" customWidth="1"/>
    <col min="13" max="13" width="18.7109375" bestFit="1" customWidth="1"/>
    <col min="14" max="14" width="16.28515625" bestFit="1" customWidth="1"/>
    <col min="15" max="15" width="19.140625" bestFit="1" customWidth="1"/>
    <col min="16" max="16" width="14.85546875" customWidth="1"/>
    <col min="17" max="17" width="19.140625" bestFit="1" customWidth="1"/>
    <col min="18" max="18" width="14.85546875" customWidth="1"/>
    <col min="19" max="19" width="18.85546875" bestFit="1" customWidth="1"/>
  </cols>
  <sheetData>
    <row r="1" spans="1:19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6" t="s">
        <v>446</v>
      </c>
      <c r="K1" s="33" t="s">
        <v>468</v>
      </c>
      <c r="L1" s="33" t="s">
        <v>451</v>
      </c>
      <c r="M1" s="33" t="s">
        <v>447</v>
      </c>
      <c r="N1" s="33" t="s">
        <v>448</v>
      </c>
      <c r="O1" s="33" t="s">
        <v>452</v>
      </c>
      <c r="P1" s="33" t="s">
        <v>454</v>
      </c>
      <c r="Q1" s="33" t="s">
        <v>26</v>
      </c>
      <c r="R1" s="33" t="s">
        <v>455</v>
      </c>
      <c r="S1" s="33" t="s">
        <v>449</v>
      </c>
    </row>
    <row r="2" spans="1:19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65"/>
      <c r="K2" s="17"/>
      <c r="L2" s="17"/>
      <c r="M2" s="17"/>
      <c r="N2" s="17"/>
      <c r="O2" s="17"/>
      <c r="P2" s="17"/>
      <c r="Q2" s="17"/>
      <c r="R2" s="17"/>
      <c r="S2" s="17"/>
    </row>
    <row r="3" spans="1:19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5"/>
      <c r="K3" s="17">
        <v>0.32457866295312499</v>
      </c>
      <c r="L3" s="17">
        <v>2.4844006727004713</v>
      </c>
      <c r="M3" s="17">
        <v>978.66945243571445</v>
      </c>
      <c r="N3" s="17">
        <v>15.291710194308038</v>
      </c>
      <c r="O3" s="17">
        <v>1314.1795195</v>
      </c>
      <c r="P3" s="17">
        <f>O3/D3</f>
        <v>20.5340549921875</v>
      </c>
      <c r="Q3" s="17">
        <v>3040.1683134474465</v>
      </c>
      <c r="R3" s="17">
        <f>Q3/D3</f>
        <v>47.502629897616352</v>
      </c>
      <c r="S3" s="17">
        <v>0.89344073838491722</v>
      </c>
    </row>
    <row r="4" spans="1:19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5"/>
      <c r="K4" s="17">
        <v>0.31509869698125004</v>
      </c>
      <c r="L4" s="17">
        <v>2.5620045268655116</v>
      </c>
      <c r="M4" s="17">
        <v>1049.3399801725</v>
      </c>
      <c r="N4" s="17">
        <v>16.143692002653847</v>
      </c>
      <c r="O4" s="17">
        <v>1445.3476909999999</v>
      </c>
      <c r="P4" s="17">
        <f t="shared" ref="P4:P67" si="0">O4/D4</f>
        <v>22.236118323076923</v>
      </c>
      <c r="Q4" s="17">
        <v>3298.8192741344683</v>
      </c>
      <c r="R4" s="17">
        <f t="shared" ref="R4:R67" si="1">Q4/D4</f>
        <v>50.751065755914894</v>
      </c>
      <c r="S4" s="17">
        <v>0.86575209284499488</v>
      </c>
    </row>
    <row r="5" spans="1:19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5"/>
      <c r="K5" s="17">
        <v>0.27774394129999996</v>
      </c>
      <c r="L5" s="17">
        <v>2.3093100826060069</v>
      </c>
      <c r="M5" s="17">
        <v>933.29751832771103</v>
      </c>
      <c r="N5" s="17">
        <v>15.299959316847723</v>
      </c>
      <c r="O5" s="17">
        <v>1348.5788160000002</v>
      </c>
      <c r="P5" s="17">
        <f t="shared" si="0"/>
        <v>19.744931420204981</v>
      </c>
      <c r="Q5" s="17">
        <v>2812.0751852061962</v>
      </c>
      <c r="R5" s="17">
        <f t="shared" si="1"/>
        <v>41.172403882960417</v>
      </c>
      <c r="S5" s="17">
        <v>0.84601547249845965</v>
      </c>
    </row>
    <row r="6" spans="1:19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5"/>
      <c r="K6" s="17">
        <v>0.33274086033125005</v>
      </c>
      <c r="L6" s="17">
        <v>2.6629894863612433</v>
      </c>
      <c r="M6" s="17">
        <v>1312.5690839792148</v>
      </c>
      <c r="N6" s="17">
        <v>15.890666876261681</v>
      </c>
      <c r="O6" s="17">
        <v>1749.79277</v>
      </c>
      <c r="P6" s="17">
        <f t="shared" si="0"/>
        <v>21.183931840193708</v>
      </c>
      <c r="Q6" s="17">
        <v>4313.6292716465578</v>
      </c>
      <c r="R6" s="17">
        <f t="shared" si="1"/>
        <v>52.223114668844531</v>
      </c>
      <c r="S6" s="17">
        <v>0.88200965661006825</v>
      </c>
    </row>
    <row r="7" spans="1:19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5"/>
      <c r="K7" s="17">
        <v>0.31202369929062501</v>
      </c>
      <c r="L7" s="17">
        <v>2.8301109624907532</v>
      </c>
      <c r="M7" s="17">
        <v>998.22486760005359</v>
      </c>
      <c r="N7" s="17">
        <v>16.63708112666756</v>
      </c>
      <c r="O7" s="17">
        <v>1396.2329030000001</v>
      </c>
      <c r="P7" s="17">
        <f t="shared" si="0"/>
        <v>23.270548383333335</v>
      </c>
      <c r="Q7" s="17">
        <v>3440.3158071521311</v>
      </c>
      <c r="R7" s="17">
        <f t="shared" si="1"/>
        <v>57.338596785868852</v>
      </c>
      <c r="S7" s="17">
        <v>0.87101885762419973</v>
      </c>
    </row>
    <row r="8" spans="1:19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5"/>
      <c r="K8" s="17">
        <v>0.29192926052499996</v>
      </c>
      <c r="L8" s="17">
        <v>2.5188370148002299</v>
      </c>
      <c r="M8" s="17">
        <v>881.15125165450308</v>
      </c>
      <c r="N8" s="17">
        <v>14.685854194241719</v>
      </c>
      <c r="O8" s="17">
        <v>1260.4841624999999</v>
      </c>
      <c r="P8" s="17">
        <f t="shared" si="0"/>
        <v>21.008069374999998</v>
      </c>
      <c r="Q8" s="17">
        <v>2861.5099803632829</v>
      </c>
      <c r="R8" s="17">
        <f t="shared" si="1"/>
        <v>47.691833006054715</v>
      </c>
      <c r="S8" s="17">
        <v>0.89710726576958888</v>
      </c>
    </row>
    <row r="9" spans="1:19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5"/>
      <c r="K9" s="17">
        <v>0.26963629341249995</v>
      </c>
      <c r="L9" s="17">
        <v>2.3542106431018963</v>
      </c>
      <c r="M9" s="17">
        <v>1021.3889258348148</v>
      </c>
      <c r="N9" s="17">
        <v>14.78131585868039</v>
      </c>
      <c r="O9" s="17">
        <v>1598.5350490000001</v>
      </c>
      <c r="P9" s="17">
        <f t="shared" si="0"/>
        <v>23.133647597684519</v>
      </c>
      <c r="Q9" s="17">
        <v>3274.3583020231094</v>
      </c>
      <c r="R9" s="17">
        <f t="shared" si="1"/>
        <v>47.385793082823582</v>
      </c>
      <c r="S9" s="17">
        <v>0.87944090364600269</v>
      </c>
    </row>
    <row r="10" spans="1:19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5"/>
      <c r="K10" s="17">
        <v>0.34045379055625002</v>
      </c>
      <c r="L10" s="17">
        <v>2.7904096295371081</v>
      </c>
      <c r="M10" s="17">
        <v>1128.8420096071254</v>
      </c>
      <c r="N10" s="17">
        <v>16.080370507224007</v>
      </c>
      <c r="O10" s="17">
        <v>1456.9073225</v>
      </c>
      <c r="P10" s="17">
        <f t="shared" si="0"/>
        <v>20.753665562678062</v>
      </c>
      <c r="Q10" s="17">
        <v>3696.2382759569737</v>
      </c>
      <c r="R10" s="17">
        <f t="shared" si="1"/>
        <v>52.652966893973982</v>
      </c>
      <c r="S10" s="17">
        <v>0.87531872867003946</v>
      </c>
    </row>
    <row r="11" spans="1:19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5"/>
      <c r="K11" s="17">
        <v>0.26619783675625003</v>
      </c>
      <c r="L11" s="17">
        <v>2.4775926278994866</v>
      </c>
      <c r="M11" s="17">
        <v>1095.7710576229165</v>
      </c>
      <c r="N11" s="17">
        <v>14.629787151173783</v>
      </c>
      <c r="O11" s="17">
        <v>1442.4983709999999</v>
      </c>
      <c r="P11" s="17">
        <f t="shared" si="0"/>
        <v>19.258990267022693</v>
      </c>
      <c r="Q11" s="17">
        <v>3352.2167342891053</v>
      </c>
      <c r="R11" s="17">
        <f t="shared" si="1"/>
        <v>44.755897654060149</v>
      </c>
      <c r="S11" s="17">
        <v>0.88479990483319781</v>
      </c>
    </row>
    <row r="12" spans="1:19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5"/>
      <c r="K12" s="17">
        <v>0.35283652492812501</v>
      </c>
      <c r="L12" s="17">
        <v>2.7516289392454176</v>
      </c>
      <c r="M12" s="17">
        <v>1063.8647421667342</v>
      </c>
      <c r="N12" s="17">
        <v>16.727433052936071</v>
      </c>
      <c r="O12" s="17">
        <v>1464.0666920000001</v>
      </c>
      <c r="P12" s="17">
        <f t="shared" si="0"/>
        <v>23.019916540880505</v>
      </c>
      <c r="Q12" s="17">
        <v>3561.9365329102779</v>
      </c>
      <c r="R12" s="17">
        <f t="shared" si="1"/>
        <v>56.005291397960342</v>
      </c>
      <c r="S12" s="17">
        <v>0.86487958428984812</v>
      </c>
    </row>
    <row r="13" spans="1:19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5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5"/>
      <c r="K14" s="17">
        <v>0.2368526624625</v>
      </c>
      <c r="L14" s="17">
        <v>2.1957092322297971</v>
      </c>
      <c r="M14" s="17">
        <v>1110.0440344488159</v>
      </c>
      <c r="N14" s="17">
        <v>15.000595060119133</v>
      </c>
      <c r="O14" s="17">
        <v>1655.0917636666666</v>
      </c>
      <c r="P14" s="17">
        <f t="shared" si="0"/>
        <v>22.366104914414414</v>
      </c>
      <c r="Q14" s="17">
        <v>3200.8894406364302</v>
      </c>
      <c r="R14" s="17">
        <f t="shared" si="1"/>
        <v>43.255262711303111</v>
      </c>
      <c r="S14" s="17">
        <v>0.8907210007379246</v>
      </c>
    </row>
    <row r="15" spans="1:19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5"/>
      <c r="K15" s="17">
        <v>0.30523811040624999</v>
      </c>
      <c r="L15" s="17">
        <v>2.2932298038330314</v>
      </c>
      <c r="M15" s="17">
        <v>915.82528577659957</v>
      </c>
      <c r="N15" s="17">
        <v>14.84319750043111</v>
      </c>
      <c r="O15" s="17">
        <v>1369.3626770000001</v>
      </c>
      <c r="P15" s="17">
        <f t="shared" si="0"/>
        <v>22.193884554294975</v>
      </c>
      <c r="Q15" s="17">
        <v>2787.7651264848191</v>
      </c>
      <c r="R15" s="17">
        <f t="shared" si="1"/>
        <v>45.182579035410356</v>
      </c>
      <c r="S15" s="17">
        <v>0.8708544690233454</v>
      </c>
    </row>
    <row r="16" spans="1:19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5"/>
      <c r="K16" s="17">
        <v>0.38374953739062501</v>
      </c>
      <c r="L16" s="17">
        <v>2.7800689058188262</v>
      </c>
      <c r="M16" s="17">
        <v>1271.7049296107771</v>
      </c>
      <c r="N16" s="17">
        <v>16.601892031472286</v>
      </c>
      <c r="O16" s="17">
        <v>1772.082474</v>
      </c>
      <c r="P16" s="17">
        <f t="shared" si="0"/>
        <v>23.316874657894736</v>
      </c>
      <c r="Q16" s="17">
        <v>4284.7576858714192</v>
      </c>
      <c r="R16" s="17">
        <f t="shared" si="1"/>
        <v>56.378390603571304</v>
      </c>
      <c r="S16" s="17">
        <v>0.88633665746451085</v>
      </c>
    </row>
    <row r="17" spans="1:19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5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5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5"/>
      <c r="K19" s="17">
        <v>0.33981084206562501</v>
      </c>
      <c r="L19" s="17">
        <v>2.7785231839945368</v>
      </c>
      <c r="M19" s="17">
        <v>1606.0562624431714</v>
      </c>
      <c r="N19" s="17">
        <v>16.060562624431714</v>
      </c>
      <c r="O19" s="17">
        <v>2436.1016734999998</v>
      </c>
      <c r="P19" s="17">
        <f t="shared" si="0"/>
        <v>24.607087611111108</v>
      </c>
      <c r="Q19" s="17">
        <v>5849.3379811273762</v>
      </c>
      <c r="R19" s="17">
        <f t="shared" si="1"/>
        <v>59.084222031589661</v>
      </c>
      <c r="S19" s="17">
        <v>0.92118393484306393</v>
      </c>
    </row>
    <row r="20" spans="1:19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5"/>
      <c r="K20" s="17">
        <v>0.43983070416249997</v>
      </c>
      <c r="L20" s="17">
        <v>3.157620814957772</v>
      </c>
      <c r="M20" s="17">
        <v>1645.5804031977527</v>
      </c>
      <c r="N20" s="17">
        <v>17.506174502103754</v>
      </c>
      <c r="O20" s="17">
        <v>2344.8420715000002</v>
      </c>
      <c r="P20" s="17">
        <f t="shared" si="0"/>
        <v>24.682548121052633</v>
      </c>
      <c r="Q20" s="17">
        <v>6489.0889824604665</v>
      </c>
      <c r="R20" s="17">
        <f t="shared" si="1"/>
        <v>68.306199815373333</v>
      </c>
      <c r="S20" s="17">
        <v>0.86037374737506433</v>
      </c>
    </row>
    <row r="21" spans="1:19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5"/>
      <c r="K21" s="17">
        <v>0.30343797721562499</v>
      </c>
      <c r="L21" s="17">
        <v>2.8960868852842987</v>
      </c>
      <c r="M21" s="17">
        <v>1640.270785817158</v>
      </c>
      <c r="N21" s="17">
        <v>15.771834479011135</v>
      </c>
      <c r="O21" s="17">
        <v>2528.2358934999997</v>
      </c>
      <c r="P21" s="17">
        <f t="shared" si="0"/>
        <v>24.545979548543688</v>
      </c>
      <c r="Q21" s="17">
        <v>5963.0465057473302</v>
      </c>
      <c r="R21" s="17">
        <f t="shared" si="1"/>
        <v>57.893655395605151</v>
      </c>
      <c r="S21" s="17">
        <v>0.89438292453408363</v>
      </c>
    </row>
    <row r="22" spans="1:19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5"/>
      <c r="K22" s="17">
        <v>0.29626196107812497</v>
      </c>
      <c r="L22" s="17">
        <v>2.2466695741180356</v>
      </c>
      <c r="M22" s="17">
        <v>1721.9054433787037</v>
      </c>
      <c r="N22" s="17">
        <v>15.374155744452711</v>
      </c>
      <c r="O22" s="17">
        <v>2420.6107259999999</v>
      </c>
      <c r="P22" s="17">
        <f t="shared" si="0"/>
        <v>21.421333858407078</v>
      </c>
      <c r="Q22" s="17">
        <v>4697.6213884146382</v>
      </c>
      <c r="R22" s="17">
        <f t="shared" si="1"/>
        <v>41.571870693934848</v>
      </c>
      <c r="S22" s="17">
        <v>0.86839658182674873</v>
      </c>
    </row>
    <row r="23" spans="1:19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5"/>
      <c r="K23" s="17"/>
      <c r="L23" s="17"/>
      <c r="M23" s="17"/>
      <c r="N23" s="17"/>
      <c r="O23" s="17"/>
      <c r="P23" s="17"/>
      <c r="Q23" s="17"/>
      <c r="R23" s="17"/>
      <c r="S23" s="17"/>
    </row>
    <row r="24" spans="1:19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5"/>
      <c r="K24" s="17">
        <v>0.37691430234062506</v>
      </c>
      <c r="L24" s="17">
        <v>2.7635614233608718</v>
      </c>
      <c r="M24" s="17">
        <v>1110.0610433081742</v>
      </c>
      <c r="N24" s="17">
        <v>15.206315661755811</v>
      </c>
      <c r="O24" s="17">
        <v>1559.7264975000001</v>
      </c>
      <c r="P24" s="17">
        <f t="shared" si="0"/>
        <v>21.36611640410959</v>
      </c>
      <c r="Q24" s="17">
        <v>3840.3088736089803</v>
      </c>
      <c r="R24" s="17">
        <f t="shared" si="1"/>
        <v>52.606970871355898</v>
      </c>
      <c r="S24" s="17">
        <v>0.90183921342003148</v>
      </c>
    </row>
    <row r="25" spans="1:19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5"/>
      <c r="K25" s="17">
        <v>0.35296891470312508</v>
      </c>
      <c r="L25" s="17">
        <v>2.6598827181342939</v>
      </c>
      <c r="M25" s="17">
        <v>1355.8560781111173</v>
      </c>
      <c r="N25" s="17">
        <v>16.335615398929125</v>
      </c>
      <c r="O25" s="17">
        <v>1892.3312074999999</v>
      </c>
      <c r="P25" s="17">
        <f t="shared" si="0"/>
        <v>22.799171174698795</v>
      </c>
      <c r="Q25" s="17">
        <v>4315.4467826782193</v>
      </c>
      <c r="R25" s="17">
        <f t="shared" si="1"/>
        <v>51.99333473106288</v>
      </c>
      <c r="S25" s="17">
        <v>0.87648508538669889</v>
      </c>
    </row>
    <row r="26" spans="1:19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5"/>
      <c r="K26" s="17">
        <v>0.35163030697812503</v>
      </c>
      <c r="L26" s="17">
        <v>2.4708306344973625</v>
      </c>
      <c r="M26" s="17">
        <v>1376.8504734001617</v>
      </c>
      <c r="N26" s="17">
        <v>15.29833859333513</v>
      </c>
      <c r="O26" s="17">
        <v>2025.9880830000002</v>
      </c>
      <c r="P26" s="17">
        <f t="shared" si="0"/>
        <v>22.510978700000003</v>
      </c>
      <c r="Q26" s="17">
        <v>4431.2162183813762</v>
      </c>
      <c r="R26" s="17">
        <f t="shared" si="1"/>
        <v>49.235735759793066</v>
      </c>
      <c r="S26" s="17">
        <v>0.89778041494019678</v>
      </c>
    </row>
    <row r="27" spans="1:19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5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5"/>
      <c r="K28" s="17">
        <v>0.31029466431249997</v>
      </c>
      <c r="L28" s="17">
        <v>2.3186187320108624</v>
      </c>
      <c r="M28" s="17">
        <v>1355.7001516482901</v>
      </c>
      <c r="N28" s="17">
        <v>15.582760363773449</v>
      </c>
      <c r="O28" s="17">
        <v>1904.0802005</v>
      </c>
      <c r="P28" s="17">
        <f t="shared" si="0"/>
        <v>21.885979316091955</v>
      </c>
      <c r="Q28" s="17">
        <v>3904.3345878555219</v>
      </c>
      <c r="R28" s="17">
        <f t="shared" si="1"/>
        <v>44.877409055810595</v>
      </c>
      <c r="S28" s="17">
        <v>0.89410662426751242</v>
      </c>
    </row>
    <row r="29" spans="1:19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5"/>
      <c r="K29" s="17">
        <v>0.34955436175624999</v>
      </c>
      <c r="L29" s="17">
        <v>2.7176890551274933</v>
      </c>
      <c r="M29" s="17">
        <v>1107.1595007649444</v>
      </c>
      <c r="N29" s="17">
        <v>14.961614875201951</v>
      </c>
      <c r="O29" s="17">
        <v>1712.9319074999999</v>
      </c>
      <c r="P29" s="17">
        <f t="shared" si="0"/>
        <v>23.147728479729729</v>
      </c>
      <c r="Q29" s="17">
        <v>4143.2541125664666</v>
      </c>
      <c r="R29" s="17">
        <f t="shared" si="1"/>
        <v>55.989920440087388</v>
      </c>
      <c r="S29" s="17">
        <v>0.90381805192459852</v>
      </c>
    </row>
    <row r="30" spans="1:19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5"/>
      <c r="K30" s="17">
        <v>0.3430390686625</v>
      </c>
      <c r="L30" s="17">
        <v>1.9990503177033174</v>
      </c>
      <c r="M30" s="17">
        <v>1311.4492455818663</v>
      </c>
      <c r="N30" s="17">
        <v>13.80472890086175</v>
      </c>
      <c r="O30" s="17">
        <v>1948.2988395000002</v>
      </c>
      <c r="P30" s="17">
        <f t="shared" si="0"/>
        <v>20.508408836842108</v>
      </c>
      <c r="Q30" s="17">
        <v>3478.9951676424553</v>
      </c>
      <c r="R30" s="17">
        <f t="shared" si="1"/>
        <v>36.621001764657422</v>
      </c>
      <c r="S30" s="17">
        <v>0.89224482269783678</v>
      </c>
    </row>
    <row r="31" spans="1:19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5"/>
      <c r="K31" s="17">
        <v>0.23944611277708328</v>
      </c>
      <c r="L31" s="17">
        <v>2.2351859029149268</v>
      </c>
      <c r="M31" s="17">
        <v>1521.3546640006041</v>
      </c>
      <c r="N31" s="17">
        <v>15.847444416672959</v>
      </c>
      <c r="O31" s="17">
        <v>2607.6383053333334</v>
      </c>
      <c r="P31" s="17">
        <f t="shared" si="0"/>
        <v>27.162899013888889</v>
      </c>
      <c r="Q31" s="17">
        <v>4872.9915413336166</v>
      </c>
      <c r="R31" s="17">
        <f t="shared" si="1"/>
        <v>50.760328555558509</v>
      </c>
      <c r="S31" s="17">
        <v>0.91478409696715757</v>
      </c>
    </row>
    <row r="32" spans="1:19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5"/>
      <c r="K32" s="17">
        <v>0.30279135123125001</v>
      </c>
      <c r="L32" s="17">
        <v>2.9501521405705198</v>
      </c>
      <c r="M32" s="17">
        <v>1421.096107778098</v>
      </c>
      <c r="N32" s="17">
        <v>18.219180868949973</v>
      </c>
      <c r="O32" s="17">
        <v>2336.6638030000004</v>
      </c>
      <c r="P32" s="17">
        <f t="shared" si="0"/>
        <v>29.95722824358975</v>
      </c>
      <c r="Q32" s="17">
        <v>5413.6353269714491</v>
      </c>
      <c r="R32" s="17">
        <f t="shared" si="1"/>
        <v>69.405581115018578</v>
      </c>
      <c r="S32" s="17">
        <v>0.89947449958721937</v>
      </c>
    </row>
    <row r="33" spans="1:19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5"/>
      <c r="K33" s="17">
        <v>0.34568073500625002</v>
      </c>
      <c r="L33" s="17">
        <v>2.7072155220142307</v>
      </c>
      <c r="M33" s="17">
        <v>1239.2658386557159</v>
      </c>
      <c r="N33" s="17">
        <v>16.523544515409547</v>
      </c>
      <c r="O33" s="17">
        <v>2124.4160615000001</v>
      </c>
      <c r="P33" s="17">
        <f t="shared" si="0"/>
        <v>28.325547486666668</v>
      </c>
      <c r="Q33" s="17">
        <v>4601.7666648636623</v>
      </c>
      <c r="R33" s="17">
        <f t="shared" si="1"/>
        <v>61.356888864848834</v>
      </c>
      <c r="S33" s="17">
        <v>0.88618649373326142</v>
      </c>
    </row>
    <row r="34" spans="1:19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5"/>
      <c r="K34" s="17">
        <v>0.31572816132812498</v>
      </c>
      <c r="L34" s="17">
        <v>2.7057013520412339</v>
      </c>
      <c r="M34" s="17">
        <v>1460.4871405009339</v>
      </c>
      <c r="N34" s="17">
        <v>17.182201652952163</v>
      </c>
      <c r="O34" s="17">
        <v>2006.6288829999999</v>
      </c>
      <c r="P34" s="17">
        <f t="shared" si="0"/>
        <v>23.607398623529409</v>
      </c>
      <c r="Q34" s="17">
        <v>4703.0435466216531</v>
      </c>
      <c r="R34" s="17">
        <f t="shared" si="1"/>
        <v>55.329924077901801</v>
      </c>
      <c r="S34" s="17">
        <v>0.88538832475984974</v>
      </c>
    </row>
    <row r="35" spans="1:19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5"/>
      <c r="K35" s="17">
        <v>0.25327205914062501</v>
      </c>
      <c r="L35" s="17">
        <v>2.5665654914075224</v>
      </c>
      <c r="M35" s="17">
        <v>1272.6960469719279</v>
      </c>
      <c r="N35" s="17">
        <v>15.333687312914794</v>
      </c>
      <c r="O35" s="17">
        <v>2035.4196775</v>
      </c>
      <c r="P35" s="17">
        <f t="shared" si="0"/>
        <v>24.523128644578314</v>
      </c>
      <c r="Q35" s="17">
        <v>4647.6852777060612</v>
      </c>
      <c r="R35" s="17">
        <f t="shared" si="1"/>
        <v>55.996208165133268</v>
      </c>
      <c r="S35" s="17">
        <v>0.90007957788075821</v>
      </c>
    </row>
    <row r="36" spans="1:19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5"/>
      <c r="K36" s="17">
        <v>0.28313085672812499</v>
      </c>
      <c r="L36" s="17">
        <v>2.3605283674093522</v>
      </c>
      <c r="M36" s="17">
        <v>1199.3710359626511</v>
      </c>
      <c r="N36" s="17">
        <v>15.576247220294171</v>
      </c>
      <c r="O36" s="17">
        <v>1665.990139</v>
      </c>
      <c r="P36" s="17">
        <f t="shared" si="0"/>
        <v>21.636235571428571</v>
      </c>
      <c r="Q36" s="17">
        <v>3500.3145986052459</v>
      </c>
      <c r="R36" s="17">
        <f t="shared" si="1"/>
        <v>45.45863115071748</v>
      </c>
      <c r="S36" s="17">
        <v>0.88400135447534323</v>
      </c>
    </row>
    <row r="37" spans="1:19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5"/>
      <c r="K37" s="17">
        <v>0.29194397049999998</v>
      </c>
      <c r="L37" s="17">
        <v>2.142856785119279</v>
      </c>
      <c r="M37" s="17">
        <v>1053.0917586045111</v>
      </c>
      <c r="N37" s="17">
        <v>14.425914501431659</v>
      </c>
      <c r="O37" s="17">
        <v>1574.5682525</v>
      </c>
      <c r="P37" s="17">
        <f t="shared" si="0"/>
        <v>21.569428116438356</v>
      </c>
      <c r="Q37" s="17">
        <v>2956.2213941544733</v>
      </c>
      <c r="R37" s="17">
        <f t="shared" si="1"/>
        <v>40.496183481568124</v>
      </c>
      <c r="S37" s="17">
        <v>0.8926740481101374</v>
      </c>
    </row>
    <row r="38" spans="1:19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5"/>
      <c r="K38" s="17">
        <v>0.37488984203125003</v>
      </c>
      <c r="L38" s="17">
        <v>2.3184234871403273</v>
      </c>
      <c r="M38" s="17">
        <v>1058.498022669387</v>
      </c>
      <c r="N38" s="17">
        <v>16.284584964144415</v>
      </c>
      <c r="O38" s="17">
        <v>1550.0243685</v>
      </c>
      <c r="P38" s="17">
        <f t="shared" si="0"/>
        <v>23.846528746153847</v>
      </c>
      <c r="Q38" s="17">
        <v>3059.1112812557349</v>
      </c>
      <c r="R38" s="17">
        <f t="shared" si="1"/>
        <v>47.063250480857462</v>
      </c>
      <c r="S38" s="17">
        <v>0.89456877683768465</v>
      </c>
    </row>
    <row r="39" spans="1:19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5"/>
      <c r="K39" s="17">
        <v>0.27310662168124999</v>
      </c>
      <c r="L39" s="17">
        <v>2.2129399536219982</v>
      </c>
      <c r="M39" s="17">
        <v>1484.6124203373929</v>
      </c>
      <c r="N39" s="17">
        <v>14.55502372879797</v>
      </c>
      <c r="O39" s="17">
        <v>2094.3628775000002</v>
      </c>
      <c r="P39" s="17">
        <f t="shared" si="0"/>
        <v>20.532969387254905</v>
      </c>
      <c r="Q39" s="17">
        <v>4243.7022339452651</v>
      </c>
      <c r="R39" s="17">
        <f t="shared" si="1"/>
        <v>41.60492386220848</v>
      </c>
      <c r="S39" s="17">
        <v>0.87961206851292706</v>
      </c>
    </row>
    <row r="40" spans="1:19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5"/>
      <c r="K40" s="17">
        <v>0.37081395312500004</v>
      </c>
      <c r="L40" s="17">
        <v>3.0099853355465411</v>
      </c>
      <c r="M40" s="17">
        <v>1075.7558914366198</v>
      </c>
      <c r="N40" s="17">
        <v>16.808685803697184</v>
      </c>
      <c r="O40" s="17">
        <v>1465.9602199999999</v>
      </c>
      <c r="P40" s="17">
        <f t="shared" si="0"/>
        <v>22.905628437499999</v>
      </c>
      <c r="Q40" s="17">
        <v>3722.9230161738537</v>
      </c>
      <c r="R40" s="17">
        <f t="shared" si="1"/>
        <v>58.170672127716465</v>
      </c>
      <c r="S40" s="17">
        <v>0.86857570048856159</v>
      </c>
    </row>
    <row r="41" spans="1:19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5"/>
      <c r="K41" s="17">
        <v>0.34249193931458333</v>
      </c>
      <c r="L41" s="17">
        <v>2.9089465970358783</v>
      </c>
      <c r="M41" s="17">
        <v>1617.3023103322266</v>
      </c>
      <c r="N41" s="17">
        <v>18.589681727956627</v>
      </c>
      <c r="O41" s="17">
        <v>2455.2234293333331</v>
      </c>
      <c r="P41" s="17">
        <f t="shared" si="0"/>
        <v>28.220958957854403</v>
      </c>
      <c r="Q41" s="17">
        <v>5405.4966133866546</v>
      </c>
      <c r="R41" s="17">
        <f t="shared" si="1"/>
        <v>62.132144981455802</v>
      </c>
      <c r="S41" s="17">
        <v>0.90751995586629919</v>
      </c>
    </row>
    <row r="42" spans="1:19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5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5"/>
      <c r="K43" s="17">
        <v>0.34673086377708334</v>
      </c>
      <c r="L43" s="17">
        <v>2.8136351378401727</v>
      </c>
      <c r="M43" s="17">
        <v>1009.0059098466994</v>
      </c>
      <c r="N43" s="17">
        <v>16.169966503953518</v>
      </c>
      <c r="O43" s="17">
        <v>1622.9436596666667</v>
      </c>
      <c r="P43" s="17">
        <f t="shared" si="0"/>
        <v>26.00871249465812</v>
      </c>
      <c r="Q43" s="17">
        <v>3902.7683050776982</v>
      </c>
      <c r="R43" s="17">
        <f t="shared" si="1"/>
        <v>62.54436386342465</v>
      </c>
      <c r="S43" s="17">
        <v>0.88936845264252506</v>
      </c>
    </row>
    <row r="44" spans="1:19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5"/>
      <c r="K44" s="17">
        <v>0.34956416840625004</v>
      </c>
      <c r="L44" s="17">
        <v>2.5626606748469678</v>
      </c>
      <c r="M44" s="17">
        <v>1193.0453453404193</v>
      </c>
      <c r="N44" s="17">
        <v>15.198029876948016</v>
      </c>
      <c r="O44" s="17">
        <v>1712.1293639999999</v>
      </c>
      <c r="P44" s="17">
        <f t="shared" si="0"/>
        <v>22.235446285714286</v>
      </c>
      <c r="Q44" s="17">
        <v>3891.6138029571957</v>
      </c>
      <c r="R44" s="17">
        <f t="shared" si="1"/>
        <v>50.540438999444099</v>
      </c>
      <c r="S44" s="17">
        <v>0.88481848025794196</v>
      </c>
    </row>
    <row r="45" spans="1:19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5"/>
      <c r="K45" s="17">
        <v>0.3699403440541667</v>
      </c>
      <c r="L45" s="17">
        <v>2.6660835236931355</v>
      </c>
      <c r="M45" s="17">
        <v>1264.1213594087412</v>
      </c>
      <c r="N45" s="17">
        <v>17.436156681499877</v>
      </c>
      <c r="O45" s="17">
        <v>2052.3630116749587</v>
      </c>
      <c r="P45" s="17">
        <f t="shared" si="0"/>
        <v>28.505041828818872</v>
      </c>
      <c r="Q45" s="17">
        <v>4237.02200581544</v>
      </c>
      <c r="R45" s="17">
        <f t="shared" si="1"/>
        <v>58.847527858547778</v>
      </c>
      <c r="S45" s="17">
        <v>0.84705433279411102</v>
      </c>
    </row>
    <row r="46" spans="1:19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5"/>
      <c r="K46" s="17">
        <v>0.27425890305625</v>
      </c>
      <c r="L46" s="17">
        <v>2.4448208286494393</v>
      </c>
      <c r="M46" s="17">
        <v>917.07668154808425</v>
      </c>
      <c r="N46" s="17">
        <v>13.895101235577034</v>
      </c>
      <c r="O46" s="17">
        <v>1325.6309245</v>
      </c>
      <c r="P46" s="17">
        <f t="shared" si="0"/>
        <v>15.971456921686746</v>
      </c>
      <c r="Q46" s="17">
        <v>2936.2962144801345</v>
      </c>
      <c r="R46" s="17">
        <f t="shared" si="1"/>
        <v>35.377062825061863</v>
      </c>
      <c r="S46" s="17">
        <v>0.86580092142172049</v>
      </c>
    </row>
    <row r="47" spans="1:19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5"/>
      <c r="K47" s="17">
        <v>0.46902081080312497</v>
      </c>
      <c r="L47" s="17">
        <v>3.1526372974947297</v>
      </c>
      <c r="M47" s="17">
        <v>1219.2167357740573</v>
      </c>
      <c r="N47" s="17">
        <v>17.41738193962939</v>
      </c>
      <c r="O47" s="17">
        <v>1621.636242</v>
      </c>
      <c r="P47" s="17">
        <f t="shared" si="0"/>
        <v>23.501974521739132</v>
      </c>
      <c r="Q47" s="17">
        <v>4612.1296735336291</v>
      </c>
      <c r="R47" s="17">
        <f t="shared" si="1"/>
        <v>66.842459036719262</v>
      </c>
      <c r="S47" s="17">
        <v>0.85164369349053937</v>
      </c>
    </row>
    <row r="48" spans="1:19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5"/>
      <c r="K48" s="17">
        <v>0.33339484130312502</v>
      </c>
      <c r="L48" s="17">
        <v>2.8086511407625467</v>
      </c>
      <c r="M48" s="17">
        <v>1067.1351684914362</v>
      </c>
      <c r="N48" s="17">
        <v>16.67398700767869</v>
      </c>
      <c r="O48" s="17">
        <v>1610.383194</v>
      </c>
      <c r="P48" s="17">
        <f t="shared" si="0"/>
        <v>25.16223740625</v>
      </c>
      <c r="Q48" s="17">
        <v>3871.5838784049947</v>
      </c>
      <c r="R48" s="17">
        <f t="shared" si="1"/>
        <v>60.493498100078043</v>
      </c>
      <c r="S48" s="17">
        <v>0.84739065629585597</v>
      </c>
    </row>
    <row r="49" spans="1:19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5"/>
      <c r="K49" s="17">
        <v>0.46068944871249995</v>
      </c>
      <c r="L49" s="17">
        <v>3.429158569341932</v>
      </c>
      <c r="M49" s="17">
        <v>1232.0310261652344</v>
      </c>
      <c r="N49" s="17">
        <v>18.118103325959328</v>
      </c>
      <c r="O49" s="17">
        <v>1732.6878080000001</v>
      </c>
      <c r="P49" s="17">
        <f t="shared" si="0"/>
        <v>25.480703058823533</v>
      </c>
      <c r="Q49" s="17">
        <v>5212.2683609964588</v>
      </c>
      <c r="R49" s="17">
        <f t="shared" si="1"/>
        <v>76.65100530877146</v>
      </c>
      <c r="S49" s="17">
        <v>0.90754903911009399</v>
      </c>
    </row>
    <row r="50" spans="1:19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5"/>
      <c r="K50" s="17">
        <v>0.36627163542812502</v>
      </c>
      <c r="L50" s="17">
        <v>2.6528000469024255</v>
      </c>
      <c r="M50" s="17">
        <v>1328.3511947657089</v>
      </c>
      <c r="N50" s="17">
        <v>16.814572085641885</v>
      </c>
      <c r="O50" s="17">
        <v>2079.1604459999999</v>
      </c>
      <c r="P50" s="17">
        <f t="shared" si="0"/>
        <v>26.318486658227847</v>
      </c>
      <c r="Q50" s="17">
        <v>4381.9521440349372</v>
      </c>
      <c r="R50" s="17">
        <f t="shared" si="1"/>
        <v>55.467748658670089</v>
      </c>
      <c r="S50" s="17">
        <v>0.89130692108243836</v>
      </c>
    </row>
    <row r="51" spans="1:19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5"/>
      <c r="K51" s="17">
        <v>0.33466725414062504</v>
      </c>
      <c r="L51" s="17">
        <v>2.775631440747369</v>
      </c>
      <c r="M51" s="17">
        <v>1278.3099627059942</v>
      </c>
      <c r="N51" s="17">
        <v>17.044132836079921</v>
      </c>
      <c r="O51" s="17">
        <v>1785.2921405000002</v>
      </c>
      <c r="P51" s="17">
        <f t="shared" si="0"/>
        <v>23.80389520666667</v>
      </c>
      <c r="Q51" s="17">
        <v>4148.552473822162</v>
      </c>
      <c r="R51" s="17">
        <f t="shared" si="1"/>
        <v>55.314032984295494</v>
      </c>
      <c r="S51" s="17">
        <v>0.85574348807191614</v>
      </c>
    </row>
    <row r="52" spans="1:19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5"/>
      <c r="K52" s="17">
        <v>0.29553565606249999</v>
      </c>
      <c r="L52" s="17">
        <v>2.578600604402697</v>
      </c>
      <c r="M52" s="17">
        <v>1052.7988345550784</v>
      </c>
      <c r="N52" s="17">
        <v>15.257954123986645</v>
      </c>
      <c r="O52" s="17">
        <v>1466.8619194999999</v>
      </c>
      <c r="P52" s="17">
        <f t="shared" si="0"/>
        <v>21.258868398550725</v>
      </c>
      <c r="Q52" s="17">
        <v>3344.5413036281498</v>
      </c>
      <c r="R52" s="17">
        <f t="shared" si="1"/>
        <v>48.471613096060139</v>
      </c>
      <c r="S52" s="17">
        <v>0.86925904813139443</v>
      </c>
    </row>
    <row r="53" spans="1:19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5"/>
      <c r="K53" s="17">
        <v>0.3784198274208333</v>
      </c>
      <c r="L53" s="17">
        <v>3.0138066181597609</v>
      </c>
      <c r="M53" s="17">
        <v>1003.6133446591061</v>
      </c>
      <c r="N53" s="17">
        <v>18.585432308501964</v>
      </c>
      <c r="O53" s="17">
        <v>1451.1124836666665</v>
      </c>
      <c r="P53" s="17">
        <f t="shared" si="0"/>
        <v>26.872453401234566</v>
      </c>
      <c r="Q53" s="17">
        <v>3459.0243763908688</v>
      </c>
      <c r="R53" s="17">
        <f t="shared" si="1"/>
        <v>64.056006970201281</v>
      </c>
      <c r="S53" s="17">
        <v>0.87373560862773914</v>
      </c>
    </row>
    <row r="54" spans="1:19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5"/>
      <c r="K54" s="17">
        <v>0.35218744728125007</v>
      </c>
      <c r="L54" s="17">
        <v>2.600488709646199</v>
      </c>
      <c r="M54" s="17">
        <v>1219.7512943862362</v>
      </c>
      <c r="N54" s="17">
        <v>16.940990199808837</v>
      </c>
      <c r="O54" s="17">
        <v>1918.543224</v>
      </c>
      <c r="P54" s="17">
        <f t="shared" si="0"/>
        <v>26.646433666666667</v>
      </c>
      <c r="Q54" s="17">
        <v>4022.757760039729</v>
      </c>
      <c r="R54" s="17">
        <f t="shared" si="1"/>
        <v>55.87163555610735</v>
      </c>
      <c r="S54" s="17">
        <v>0.85137246195015948</v>
      </c>
    </row>
    <row r="55" spans="1:19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5"/>
      <c r="K55" s="17">
        <v>0.4054130401562499</v>
      </c>
      <c r="L55" s="17">
        <v>3.0372123186254187</v>
      </c>
      <c r="M55" s="17">
        <v>1351.9739622669085</v>
      </c>
      <c r="N55" s="17">
        <v>16.899674528336355</v>
      </c>
      <c r="O55" s="17">
        <v>1998.0448305</v>
      </c>
      <c r="P55" s="17">
        <f t="shared" si="0"/>
        <v>24.975560381249998</v>
      </c>
      <c r="Q55" s="17">
        <v>5018.9745056927186</v>
      </c>
      <c r="R55" s="17">
        <f t="shared" si="1"/>
        <v>62.737181321158985</v>
      </c>
      <c r="S55" s="17">
        <v>0.86407495105780563</v>
      </c>
    </row>
    <row r="56" spans="1:19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5"/>
      <c r="K56" s="17">
        <v>0.33594457030312497</v>
      </c>
      <c r="L56" s="17">
        <v>2.8018618103579431</v>
      </c>
      <c r="M56" s="17">
        <v>1235.8780474987855</v>
      </c>
      <c r="N56" s="17">
        <v>16.050364253230981</v>
      </c>
      <c r="O56" s="17">
        <v>1726.6104504999998</v>
      </c>
      <c r="P56" s="17">
        <f t="shared" si="0"/>
        <v>22.423512344155842</v>
      </c>
      <c r="Q56" s="17">
        <v>4286.9387611495658</v>
      </c>
      <c r="R56" s="17">
        <f t="shared" si="1"/>
        <v>55.674529365578778</v>
      </c>
      <c r="S56" s="17">
        <v>0.87211472895031394</v>
      </c>
    </row>
    <row r="57" spans="1:19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5"/>
      <c r="K57" s="17">
        <v>0.45017426824999995</v>
      </c>
      <c r="L57" s="17">
        <v>3.1519499293562463</v>
      </c>
      <c r="M57" s="17">
        <v>1287.535349581065</v>
      </c>
      <c r="N57" s="17">
        <v>17.167137994414201</v>
      </c>
      <c r="O57" s="17">
        <v>1748.629627</v>
      </c>
      <c r="P57" s="17">
        <f t="shared" si="0"/>
        <v>23.315061693333334</v>
      </c>
      <c r="Q57" s="17">
        <v>4896.6989610914334</v>
      </c>
      <c r="R57" s="17">
        <f t="shared" si="1"/>
        <v>65.28931948121911</v>
      </c>
      <c r="S57" s="17">
        <v>0.89069101613104895</v>
      </c>
    </row>
    <row r="58" spans="1:19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5"/>
      <c r="K58" s="17">
        <v>0.39974969978124991</v>
      </c>
      <c r="L58" s="17">
        <v>2.9886105782680357</v>
      </c>
      <c r="M58" s="17">
        <v>1481.6110686997285</v>
      </c>
      <c r="N58" s="17">
        <v>17.85073576746661</v>
      </c>
      <c r="O58" s="17">
        <v>1972.3738404999999</v>
      </c>
      <c r="P58" s="17">
        <f t="shared" si="0"/>
        <v>23.621243598802394</v>
      </c>
      <c r="Q58" s="17">
        <v>5234.2268358051242</v>
      </c>
      <c r="R58" s="17">
        <f t="shared" si="1"/>
        <v>62.685351327007474</v>
      </c>
      <c r="S58" s="17">
        <v>0.89524243290421834</v>
      </c>
    </row>
    <row r="59" spans="1:19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5"/>
      <c r="K59" s="17">
        <v>0.42102400112499994</v>
      </c>
      <c r="L59" s="17">
        <v>2.920616003481924</v>
      </c>
      <c r="M59" s="17">
        <v>1191.468240724636</v>
      </c>
      <c r="N59" s="17">
        <v>17.393696944885196</v>
      </c>
      <c r="O59" s="17">
        <v>1680.922073</v>
      </c>
      <c r="P59" s="17">
        <f t="shared" si="0"/>
        <v>24.71944225</v>
      </c>
      <c r="Q59" s="17">
        <v>4256.3476091279344</v>
      </c>
      <c r="R59" s="17">
        <f t="shared" si="1"/>
        <v>62.593347193057859</v>
      </c>
      <c r="S59" s="17">
        <v>0.89173375071806094</v>
      </c>
    </row>
    <row r="60" spans="1:19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5"/>
      <c r="K60" s="17">
        <v>0.34587686800625</v>
      </c>
      <c r="L60" s="17">
        <v>2.7419012550003239</v>
      </c>
      <c r="M60" s="17">
        <v>1444.0446143909153</v>
      </c>
      <c r="N60" s="17">
        <v>17.191007314177561</v>
      </c>
      <c r="O60" s="17">
        <v>2556.7357246467659</v>
      </c>
      <c r="P60" s="17">
        <f t="shared" si="0"/>
        <v>30.079243819373715</v>
      </c>
      <c r="Q60" s="17">
        <v>5577.5452821705567</v>
      </c>
      <c r="R60" s="17">
        <f t="shared" si="1"/>
        <v>65.61817979024184</v>
      </c>
      <c r="S60" s="17">
        <v>0.8406832923323001</v>
      </c>
    </row>
    <row r="61" spans="1:19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5"/>
      <c r="K61" s="17">
        <v>0.29975312847812496</v>
      </c>
      <c r="L61" s="17">
        <v>2.6754406290070261</v>
      </c>
      <c r="M61" s="17">
        <v>1010.4172209362937</v>
      </c>
      <c r="N61" s="17">
        <v>16.564216736660551</v>
      </c>
      <c r="O61" s="17">
        <v>1408.874519</v>
      </c>
      <c r="P61" s="17">
        <f t="shared" si="0"/>
        <v>23.172278273026315</v>
      </c>
      <c r="Q61" s="17">
        <v>3298.6840376799983</v>
      </c>
      <c r="R61" s="17">
        <f t="shared" si="1"/>
        <v>54.254671672368396</v>
      </c>
      <c r="S61" s="17">
        <v>0.87650284710178483</v>
      </c>
    </row>
    <row r="62" spans="1:19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5"/>
      <c r="K62" s="17">
        <v>0.18454153970000001</v>
      </c>
      <c r="L62" s="17">
        <v>1.6836493726482702</v>
      </c>
      <c r="M62" s="17">
        <v>1169.297045234975</v>
      </c>
      <c r="N62" s="17">
        <v>13.837834854851776</v>
      </c>
      <c r="O62" s="17">
        <v>1696.8097534999999</v>
      </c>
      <c r="P62" s="17">
        <f t="shared" si="0"/>
        <v>20.080588798816567</v>
      </c>
      <c r="Q62" s="17">
        <v>2564.3888463967428</v>
      </c>
      <c r="R62" s="17">
        <f t="shared" si="1"/>
        <v>30.347796998778023</v>
      </c>
      <c r="S62" s="17">
        <v>0.9358760382529574</v>
      </c>
    </row>
    <row r="63" spans="1:19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5"/>
      <c r="K63" s="17">
        <v>0.22360387831249995</v>
      </c>
      <c r="L63" s="17">
        <v>2.1697893746051919</v>
      </c>
      <c r="M63" s="17">
        <v>978.84786825285892</v>
      </c>
      <c r="N63" s="17">
        <v>15.17593594190479</v>
      </c>
      <c r="O63" s="17">
        <v>1385.6921725</v>
      </c>
      <c r="P63" s="17">
        <f t="shared" si="0"/>
        <v>21.6514401953125</v>
      </c>
      <c r="Q63" s="17">
        <v>2598.373026730098</v>
      </c>
      <c r="R63" s="17">
        <f t="shared" si="1"/>
        <v>40.599578542657781</v>
      </c>
      <c r="S63" s="17">
        <v>0.8696571555421202</v>
      </c>
    </row>
    <row r="64" spans="1:19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5"/>
      <c r="K64" s="17">
        <v>0.35816643920312502</v>
      </c>
      <c r="L64" s="17">
        <v>2.8611606628258821</v>
      </c>
      <c r="M64" s="17">
        <v>1021.1407677215129</v>
      </c>
      <c r="N64" s="17">
        <v>14.58772525316447</v>
      </c>
      <c r="O64" s="17">
        <v>1480.0175100000001</v>
      </c>
      <c r="P64" s="17">
        <f t="shared" si="0"/>
        <v>21.143107285714287</v>
      </c>
      <c r="Q64" s="17">
        <v>3840.2081996940169</v>
      </c>
      <c r="R64" s="17">
        <f t="shared" si="1"/>
        <v>54.860117138485954</v>
      </c>
      <c r="S64" s="17">
        <v>0.86463427678990323</v>
      </c>
    </row>
    <row r="65" spans="1:19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5"/>
      <c r="K65" s="17">
        <v>0.29436621304999999</v>
      </c>
      <c r="L65" s="17">
        <v>2.4150968192973927</v>
      </c>
      <c r="M65" s="17">
        <v>1103.5268604998378</v>
      </c>
      <c r="N65" s="17">
        <v>15.221060144825348</v>
      </c>
      <c r="O65" s="17">
        <v>1591.1772920000001</v>
      </c>
      <c r="P65" s="17">
        <f t="shared" si="0"/>
        <v>22.099684611111112</v>
      </c>
      <c r="Q65" s="17">
        <v>3420.3564671160634</v>
      </c>
      <c r="R65" s="17">
        <f t="shared" si="1"/>
        <v>47.504950932167546</v>
      </c>
      <c r="S65" s="17">
        <v>0.89404254693153584</v>
      </c>
    </row>
    <row r="66" spans="1:19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5"/>
      <c r="K66" s="17">
        <v>0.24495172953125</v>
      </c>
      <c r="L66" s="17">
        <v>2.4441365409437514</v>
      </c>
      <c r="M66" s="17">
        <v>860.5495113514296</v>
      </c>
      <c r="N66" s="17">
        <v>14.34249185585716</v>
      </c>
      <c r="O66" s="17">
        <v>1214.065392</v>
      </c>
      <c r="P66" s="17">
        <f t="shared" si="0"/>
        <v>20.234423199999998</v>
      </c>
      <c r="Q66" s="17">
        <v>2764.2702893922824</v>
      </c>
      <c r="R66" s="17">
        <f t="shared" si="1"/>
        <v>46.071171489871375</v>
      </c>
      <c r="S66" s="17">
        <v>0.88249540818937189</v>
      </c>
    </row>
    <row r="67" spans="1:19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5"/>
      <c r="K67" s="17">
        <v>0.32082761932812504</v>
      </c>
      <c r="L67" s="17">
        <v>2.6212030914943591</v>
      </c>
      <c r="M67" s="17">
        <v>1203.8716958173331</v>
      </c>
      <c r="N67" s="17">
        <v>16.720440219685184</v>
      </c>
      <c r="O67" s="17">
        <v>1613.6653329999999</v>
      </c>
      <c r="P67" s="17">
        <f t="shared" si="0"/>
        <v>23.052361899999998</v>
      </c>
      <c r="Q67" s="17">
        <v>3662.3893841844042</v>
      </c>
      <c r="R67" s="17">
        <f t="shared" si="1"/>
        <v>52.319848345491486</v>
      </c>
      <c r="S67" s="17">
        <v>0.88649685825715419</v>
      </c>
    </row>
    <row r="68" spans="1:19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5"/>
      <c r="K68" s="17">
        <v>0.27541976525</v>
      </c>
      <c r="L68" s="17">
        <v>2.4042186012669395</v>
      </c>
      <c r="M68" s="17">
        <v>1055.0675870455968</v>
      </c>
      <c r="N68" s="17">
        <v>14.354661048239413</v>
      </c>
      <c r="O68" s="17">
        <v>1365.9182510000001</v>
      </c>
      <c r="P68" s="17">
        <f t="shared" ref="P68:P87" si="2">O68/D68</f>
        <v>20.087033102941177</v>
      </c>
      <c r="Q68" s="17">
        <v>3001.3363404257921</v>
      </c>
      <c r="R68" s="17">
        <f t="shared" ref="R68:R87" si="3">Q68/D68</f>
        <v>44.137299123908704</v>
      </c>
      <c r="S68" s="17">
        <v>0.88348621067436195</v>
      </c>
    </row>
    <row r="69" spans="1:19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5"/>
      <c r="K69" s="17">
        <v>0.27541976525</v>
      </c>
      <c r="L69" s="17">
        <v>2.4042186012669395</v>
      </c>
      <c r="M69" s="17">
        <v>1055.0675870455968</v>
      </c>
      <c r="N69" s="17">
        <v>14.354661048239413</v>
      </c>
      <c r="O69" s="17">
        <v>1365.9182510000001</v>
      </c>
      <c r="P69" s="17">
        <f t="shared" si="2"/>
        <v>18.711208917808221</v>
      </c>
      <c r="Q69" s="17">
        <v>3001.3363404257921</v>
      </c>
      <c r="R69" s="17">
        <f t="shared" si="3"/>
        <v>41.114196444188934</v>
      </c>
      <c r="S69" s="17">
        <v>0.88348621067436195</v>
      </c>
    </row>
    <row r="70" spans="1:19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5"/>
      <c r="K70" s="17">
        <v>0.33338013132812505</v>
      </c>
      <c r="L70" s="17">
        <v>2.6816251982164991</v>
      </c>
      <c r="M70" s="17">
        <v>1110.0675848282378</v>
      </c>
      <c r="N70" s="17">
        <v>17.077962843511351</v>
      </c>
      <c r="O70" s="17">
        <v>1541.1247199999998</v>
      </c>
      <c r="P70" s="17">
        <f t="shared" si="2"/>
        <v>23.709611076923075</v>
      </c>
      <c r="Q70" s="17">
        <v>3728.0301151494291</v>
      </c>
      <c r="R70" s="17">
        <f t="shared" si="3"/>
        <v>57.354309463837367</v>
      </c>
      <c r="S70" s="17">
        <v>0.88646267526291811</v>
      </c>
    </row>
    <row r="71" spans="1:19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5"/>
      <c r="K71" s="17">
        <v>0.37894979513125004</v>
      </c>
      <c r="L71" s="17">
        <v>2.6679041274200479</v>
      </c>
      <c r="M71" s="17">
        <v>1043.9336018363833</v>
      </c>
      <c r="N71" s="17">
        <v>16.31146252869349</v>
      </c>
      <c r="O71" s="17">
        <v>1457.565556</v>
      </c>
      <c r="P71" s="17">
        <f t="shared" si="2"/>
        <v>22.7744618125</v>
      </c>
      <c r="Q71" s="17">
        <v>3459.5392251979119</v>
      </c>
      <c r="R71" s="17">
        <f t="shared" si="3"/>
        <v>54.055300393717374</v>
      </c>
      <c r="S71" s="17">
        <v>0.87423850727785901</v>
      </c>
    </row>
    <row r="72" spans="1:19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5"/>
      <c r="K72" s="17">
        <v>0.31015737121249998</v>
      </c>
      <c r="L72" s="17">
        <v>2.4826616918517601</v>
      </c>
      <c r="M72" s="17">
        <v>874.79550033412852</v>
      </c>
      <c r="N72" s="17">
        <v>14.579925005568809</v>
      </c>
      <c r="O72" s="17">
        <v>1285.632153</v>
      </c>
      <c r="P72" s="17">
        <f t="shared" si="2"/>
        <v>21.427202550000001</v>
      </c>
      <c r="Q72" s="17">
        <v>2877.0876846002766</v>
      </c>
      <c r="R72" s="17">
        <f t="shared" si="3"/>
        <v>47.951461410004612</v>
      </c>
      <c r="S72" s="17">
        <v>0.84819543685136967</v>
      </c>
    </row>
    <row r="73" spans="1:19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5"/>
      <c r="K73" s="17">
        <v>0.27833540487812497</v>
      </c>
      <c r="L73" s="17">
        <v>2.4959902607884596</v>
      </c>
      <c r="M73" s="17">
        <v>876.08137643446616</v>
      </c>
      <c r="N73" s="17">
        <v>16.847718777585889</v>
      </c>
      <c r="O73" s="17">
        <v>1202.163147</v>
      </c>
      <c r="P73" s="17">
        <f t="shared" si="2"/>
        <v>24.139822228915662</v>
      </c>
      <c r="Q73" s="17">
        <v>2576.6998425719421</v>
      </c>
      <c r="R73" s="17">
        <f t="shared" si="3"/>
        <v>51.740960694215708</v>
      </c>
      <c r="S73" s="17">
        <v>0.88049043697129614</v>
      </c>
    </row>
    <row r="74" spans="1:19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5"/>
      <c r="K74" s="17">
        <v>0.24551745065312502</v>
      </c>
      <c r="L74" s="17">
        <v>2.3118180998489217</v>
      </c>
      <c r="M74" s="17">
        <v>1022.5544902474844</v>
      </c>
      <c r="N74" s="17">
        <v>15.262007317126633</v>
      </c>
      <c r="O74" s="17">
        <v>1321.176606</v>
      </c>
      <c r="P74" s="17">
        <f t="shared" si="2"/>
        <v>19.719053820895521</v>
      </c>
      <c r="Q74" s="17">
        <v>2809.0334938434617</v>
      </c>
      <c r="R74" s="17">
        <f t="shared" si="3"/>
        <v>41.925873042439726</v>
      </c>
      <c r="S74" s="17">
        <v>0.88354346383606086</v>
      </c>
    </row>
    <row r="75" spans="1:19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5"/>
      <c r="K75" s="17">
        <v>0.307139987590625</v>
      </c>
      <c r="L75" s="17">
        <v>2.5681452021133526</v>
      </c>
      <c r="M75" s="17">
        <v>1192.2661753193383</v>
      </c>
      <c r="N75" s="17">
        <v>14.997058809048282</v>
      </c>
      <c r="O75" s="17">
        <v>1629.318577</v>
      </c>
      <c r="P75" s="17">
        <f t="shared" si="2"/>
        <v>20.624285784810127</v>
      </c>
      <c r="Q75" s="17">
        <v>3926.0006087148213</v>
      </c>
      <c r="R75" s="17">
        <f t="shared" si="3"/>
        <v>49.696210236896469</v>
      </c>
      <c r="S75" s="17">
        <v>0.91190697076982752</v>
      </c>
    </row>
    <row r="76" spans="1:19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5"/>
      <c r="K76" s="17">
        <v>0.22666723060624999</v>
      </c>
      <c r="L76" s="17">
        <v>2.1615896719572687</v>
      </c>
      <c r="M76" s="17">
        <v>975.46814374007909</v>
      </c>
      <c r="N76" s="17">
        <v>15.861270629919986</v>
      </c>
      <c r="O76" s="17">
        <v>1429.4780495</v>
      </c>
      <c r="P76" s="17">
        <f t="shared" si="2"/>
        <v>23.056097572580644</v>
      </c>
      <c r="Q76" s="17">
        <v>2597.3164971805354</v>
      </c>
      <c r="R76" s="17">
        <f t="shared" si="3"/>
        <v>41.892201567427989</v>
      </c>
      <c r="S76" s="17">
        <v>0.86660196527073585</v>
      </c>
    </row>
    <row r="77" spans="1:19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5"/>
      <c r="K77" s="17">
        <v>0.34629548937812499</v>
      </c>
      <c r="L77" s="17">
        <v>2.7074067400224102</v>
      </c>
      <c r="M77" s="17">
        <v>1549.1123857009525</v>
      </c>
      <c r="N77" s="17">
        <v>15.262190992127611</v>
      </c>
      <c r="O77" s="17">
        <v>2109.9620359999999</v>
      </c>
      <c r="P77" s="17">
        <f t="shared" si="2"/>
        <v>21.099620359999999</v>
      </c>
      <c r="Q77" s="17">
        <v>4978.0603629440684</v>
      </c>
      <c r="R77" s="17">
        <f t="shared" si="3"/>
        <v>49.780603629440684</v>
      </c>
      <c r="S77" s="17">
        <v>0.89826967411238001</v>
      </c>
    </row>
    <row r="78" spans="1:19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5"/>
      <c r="K78" s="17">
        <v>0.28539619287812495</v>
      </c>
      <c r="L78" s="17">
        <v>2.4203248562391675</v>
      </c>
      <c r="M78" s="17">
        <v>1492.9237124047895</v>
      </c>
      <c r="N78" s="17">
        <v>14.494404974803782</v>
      </c>
      <c r="O78" s="17">
        <v>2196.4156229999999</v>
      </c>
      <c r="P78" s="17">
        <f t="shared" si="2"/>
        <v>21.324423524271843</v>
      </c>
      <c r="Q78" s="17">
        <v>4677.4554248026252</v>
      </c>
      <c r="R78" s="17">
        <f t="shared" si="3"/>
        <v>45.412188590316752</v>
      </c>
      <c r="S78" s="17">
        <v>0.90340555017009261</v>
      </c>
    </row>
    <row r="79" spans="1:19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5"/>
      <c r="K79" s="17">
        <v>0.35945601367812502</v>
      </c>
      <c r="L79" s="17">
        <v>2.7456009969522346</v>
      </c>
      <c r="M79" s="17">
        <v>1186.5818309553729</v>
      </c>
      <c r="N79" s="17">
        <v>16.951169013648183</v>
      </c>
      <c r="O79" s="17">
        <v>1695.60149</v>
      </c>
      <c r="P79" s="17">
        <f t="shared" si="2"/>
        <v>24.22287842857143</v>
      </c>
      <c r="Q79" s="17">
        <v>4058.0575160040962</v>
      </c>
      <c r="R79" s="17">
        <f t="shared" si="3"/>
        <v>57.972250228629946</v>
      </c>
      <c r="S79" s="17">
        <v>0.90552670435726801</v>
      </c>
    </row>
    <row r="80" spans="1:19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5"/>
      <c r="K80" s="17">
        <v>0.28551632434062502</v>
      </c>
      <c r="L80" s="17">
        <v>2.1859817077900159</v>
      </c>
      <c r="M80" s="17">
        <v>1783.8273032756902</v>
      </c>
      <c r="N80" s="17">
        <v>16.365388103446698</v>
      </c>
      <c r="O80" s="17">
        <v>2410.8545079999999</v>
      </c>
      <c r="P80" s="17">
        <f t="shared" si="2"/>
        <v>22.322726925925924</v>
      </c>
      <c r="Q80" s="17">
        <v>4465.1487739485929</v>
      </c>
      <c r="R80" s="17">
        <f t="shared" si="3"/>
        <v>41.343970129153639</v>
      </c>
      <c r="S80" s="17">
        <v>0.88646001561321319</v>
      </c>
    </row>
    <row r="81" spans="1:20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5"/>
      <c r="K81" s="17">
        <v>0.32958005445312499</v>
      </c>
      <c r="L81" s="17">
        <v>2.5370583158258597</v>
      </c>
      <c r="M81" s="17">
        <v>1206.3798258551415</v>
      </c>
      <c r="N81" s="17">
        <v>15.566191301356664</v>
      </c>
      <c r="O81" s="17">
        <v>1754.5085790000001</v>
      </c>
      <c r="P81" s="17">
        <f t="shared" si="2"/>
        <v>22.785825701298702</v>
      </c>
      <c r="Q81" s="17">
        <v>3848.6108745856172</v>
      </c>
      <c r="R81" s="17">
        <f t="shared" si="3"/>
        <v>49.981959410202819</v>
      </c>
      <c r="S81" s="17">
        <v>0.88304309501547373</v>
      </c>
    </row>
    <row r="82" spans="1:20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5"/>
      <c r="K82" s="17"/>
      <c r="L82" s="17"/>
      <c r="M82" s="17"/>
      <c r="N82" s="17"/>
      <c r="O82" s="17"/>
      <c r="P82" s="17"/>
      <c r="Q82" s="17"/>
      <c r="R82" s="17"/>
      <c r="S82" s="17"/>
    </row>
    <row r="83" spans="1:20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5"/>
      <c r="K83" s="17">
        <v>0.33043139425625001</v>
      </c>
      <c r="L83" s="17">
        <v>2.6448597000749521</v>
      </c>
      <c r="M83" s="17">
        <v>1472.3418702244949</v>
      </c>
      <c r="N83" s="17">
        <v>15.417192358371674</v>
      </c>
      <c r="O83" s="17">
        <v>2331.767679</v>
      </c>
      <c r="P83" s="17">
        <f t="shared" si="2"/>
        <v>24.544922936842106</v>
      </c>
      <c r="Q83" s="17">
        <v>5150.5507543807689</v>
      </c>
      <c r="R83" s="17">
        <f t="shared" si="3"/>
        <v>54.216323730323886</v>
      </c>
      <c r="S83" s="17">
        <v>0.89349386535397768</v>
      </c>
    </row>
    <row r="84" spans="1:20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42"/>
      <c r="K84" s="17">
        <v>0.35749652242500002</v>
      </c>
      <c r="L84" s="17">
        <v>2.7975346410102913</v>
      </c>
      <c r="M84" s="17">
        <v>1405.5625059906479</v>
      </c>
      <c r="N84" s="17">
        <v>16.155890873455721</v>
      </c>
      <c r="O84" s="17">
        <v>1833.3158989999999</v>
      </c>
      <c r="P84" s="17">
        <f t="shared" si="2"/>
        <v>21.568422341176468</v>
      </c>
      <c r="Q84" s="17">
        <v>4653.7546632395824</v>
      </c>
      <c r="R84" s="17">
        <f t="shared" si="3"/>
        <v>54.750054861642148</v>
      </c>
      <c r="S84" s="17">
        <v>0.85878317022781403</v>
      </c>
    </row>
    <row r="85" spans="1:20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42"/>
      <c r="K85" s="17">
        <v>0.43179721906562496</v>
      </c>
      <c r="L85" s="17">
        <v>3.0501277207701154</v>
      </c>
      <c r="M85" s="17">
        <v>1465.91392868551</v>
      </c>
      <c r="N85" s="17">
        <v>17.045510798668719</v>
      </c>
      <c r="O85" s="17">
        <v>2134.2264064999999</v>
      </c>
      <c r="P85" s="17">
        <f t="shared" si="2"/>
        <v>24.816586122093021</v>
      </c>
      <c r="Q85" s="17">
        <v>5661.9411156508177</v>
      </c>
      <c r="R85" s="17">
        <f t="shared" si="3"/>
        <v>65.836524600590906</v>
      </c>
      <c r="S85" s="17">
        <v>0.89222296843405458</v>
      </c>
    </row>
    <row r="86" spans="1:20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42"/>
      <c r="K86" s="17">
        <v>0.38597135653124992</v>
      </c>
      <c r="L86" s="17">
        <v>2.8863396529695224</v>
      </c>
      <c r="M86" s="17">
        <v>1301.646007539146</v>
      </c>
      <c r="N86" s="17">
        <v>14.707864491967751</v>
      </c>
      <c r="O86" s="17">
        <v>1905.5950164999999</v>
      </c>
      <c r="P86" s="17">
        <f t="shared" si="2"/>
        <v>21.654488823863634</v>
      </c>
      <c r="Q86" s="17">
        <v>4967.6606231531205</v>
      </c>
      <c r="R86" s="17">
        <f t="shared" si="3"/>
        <v>56.450688899467281</v>
      </c>
      <c r="S86" s="17">
        <v>0.8742241509363653</v>
      </c>
    </row>
    <row r="87" spans="1:20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42"/>
      <c r="K87" s="17">
        <v>0.36167538115625003</v>
      </c>
      <c r="L87" s="17">
        <v>2.7728785285215025</v>
      </c>
      <c r="M87" s="17">
        <v>1176.7699725058933</v>
      </c>
      <c r="N87" s="17">
        <v>14.89582243678346</v>
      </c>
      <c r="O87" s="17">
        <v>1712.9950140000001</v>
      </c>
      <c r="P87" s="17">
        <f t="shared" si="2"/>
        <v>21.683481189873419</v>
      </c>
      <c r="Q87" s="17">
        <v>4259.5084110007392</v>
      </c>
      <c r="R87" s="17">
        <f t="shared" si="3"/>
        <v>53.917827987351131</v>
      </c>
      <c r="S87" s="17">
        <v>0.91386885172412546</v>
      </c>
    </row>
    <row r="88" spans="1:20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42"/>
      <c r="K88" s="17">
        <v>0.41539498402499997</v>
      </c>
      <c r="L88" s="17">
        <v>1.9669680944432906</v>
      </c>
      <c r="M88" s="17">
        <v>1200.4993473812447</v>
      </c>
      <c r="N88" s="17">
        <v>15.29298531695853</v>
      </c>
      <c r="O88" s="17">
        <v>1759.891678</v>
      </c>
      <c r="P88" s="17">
        <f>O88/D88</f>
        <v>27.075256584615385</v>
      </c>
      <c r="Q88" s="17">
        <v>2680.456057771431</v>
      </c>
      <c r="R88" s="17">
        <f>Q88/D88</f>
        <v>41.237785504175861</v>
      </c>
      <c r="S88" s="17">
        <v>0.87635382133740025</v>
      </c>
      <c r="T88" s="39"/>
    </row>
    <row r="89" spans="1:20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42"/>
      <c r="K89" s="17">
        <v>0.21680357945312498</v>
      </c>
      <c r="L89" s="17">
        <v>2.1271646986428281</v>
      </c>
      <c r="M89" s="17">
        <v>897.51258014315442</v>
      </c>
      <c r="N89" s="17">
        <v>14.246231430843721</v>
      </c>
      <c r="O89" s="17">
        <v>1430.9297505</v>
      </c>
      <c r="P89" s="17">
        <f t="shared" ref="P89:P100" si="4">O89/D89</f>
        <v>22.713170642857143</v>
      </c>
      <c r="Q89" s="17">
        <v>2666.6307850510902</v>
      </c>
      <c r="R89" s="17">
        <f t="shared" ref="R89:R100" si="5">Q89/D89</f>
        <v>42.327472778588735</v>
      </c>
      <c r="S89" s="17">
        <v>0.85593648206298578</v>
      </c>
    </row>
    <row r="90" spans="1:20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42"/>
      <c r="K90" s="17">
        <v>0.19663865539062503</v>
      </c>
      <c r="L90" s="17">
        <v>2.0154797228304262</v>
      </c>
      <c r="M90" s="17">
        <v>1052.9255188500479</v>
      </c>
      <c r="N90" s="17">
        <v>15.484198806618352</v>
      </c>
      <c r="O90" s="17">
        <v>1497.0954449999999</v>
      </c>
      <c r="P90" s="17">
        <f t="shared" si="4"/>
        <v>22.016109485294116</v>
      </c>
      <c r="Q90" s="17">
        <v>2583.6696818587229</v>
      </c>
      <c r="R90" s="17">
        <f t="shared" si="5"/>
        <v>37.99514238027534</v>
      </c>
      <c r="S90" s="17">
        <v>0.88055193122171627</v>
      </c>
    </row>
    <row r="91" spans="1:20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42"/>
      <c r="K91" s="17">
        <v>0.264819389515625</v>
      </c>
      <c r="L91" s="17">
        <v>2.3459655330075329</v>
      </c>
      <c r="M91" s="17">
        <v>1011.1596561743393</v>
      </c>
      <c r="N91" s="17">
        <v>14.654487770642598</v>
      </c>
      <c r="O91" s="17">
        <v>1636.5320855</v>
      </c>
      <c r="P91" s="17">
        <f t="shared" si="4"/>
        <v>23.717856311594204</v>
      </c>
      <c r="Q91" s="17">
        <v>3269.3881014625099</v>
      </c>
      <c r="R91" s="17">
        <f t="shared" si="5"/>
        <v>47.382436253079852</v>
      </c>
      <c r="S91" s="17">
        <v>0.89762517197320213</v>
      </c>
    </row>
    <row r="92" spans="1:20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42"/>
      <c r="K92" s="17">
        <v>0.22246385524999995</v>
      </c>
      <c r="L92" s="17">
        <v>1.7625771152440193</v>
      </c>
      <c r="M92" s="17">
        <v>1223.6521112819314</v>
      </c>
      <c r="N92" s="17">
        <v>13.905137628203766</v>
      </c>
      <c r="O92" s="17">
        <v>1573.576401</v>
      </c>
      <c r="P92" s="17">
        <f t="shared" si="4"/>
        <v>17.881550011363636</v>
      </c>
      <c r="Q92" s="17">
        <v>2555.3946992078854</v>
      </c>
      <c r="R92" s="17">
        <f t="shared" si="5"/>
        <v>29.038576127362333</v>
      </c>
      <c r="S92" s="17">
        <v>0.86990838226158695</v>
      </c>
    </row>
    <row r="93" spans="1:20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42"/>
      <c r="K93" s="17">
        <v>0.29677374562499997</v>
      </c>
      <c r="L93" s="17">
        <v>2.6680819307831349</v>
      </c>
      <c r="M93" s="17">
        <v>1244.9072503400348</v>
      </c>
      <c r="N93" s="17">
        <v>16.59876333786713</v>
      </c>
      <c r="O93" s="17">
        <v>1890.7262154999999</v>
      </c>
      <c r="P93" s="17">
        <f t="shared" si="4"/>
        <v>23.256165012300123</v>
      </c>
      <c r="Q93" s="17">
        <v>4248.4251222608409</v>
      </c>
      <c r="R93" s="17">
        <f t="shared" si="5"/>
        <v>52.256151565323997</v>
      </c>
      <c r="S93" s="17">
        <v>0.8955441898732347</v>
      </c>
    </row>
    <row r="94" spans="1:20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42"/>
      <c r="K94" s="17">
        <v>0.19222995330000001</v>
      </c>
      <c r="L94" s="17">
        <v>2.0581198646285368</v>
      </c>
      <c r="M94" s="17">
        <v>1159.7351004215507</v>
      </c>
      <c r="N94" s="17">
        <v>13.643942357900595</v>
      </c>
      <c r="O94" s="17">
        <v>1552.449926</v>
      </c>
      <c r="P94" s="17">
        <f t="shared" si="4"/>
        <v>18.199881899179367</v>
      </c>
      <c r="Q94" s="17">
        <v>2944.5754188810297</v>
      </c>
      <c r="R94" s="17">
        <f t="shared" si="5"/>
        <v>34.520227653939386</v>
      </c>
      <c r="S94" s="17">
        <v>0.90781204047659858</v>
      </c>
    </row>
    <row r="95" spans="1:20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42"/>
      <c r="K95" s="17">
        <v>0.31139178328125</v>
      </c>
      <c r="L95" s="17">
        <v>2.7179597933111315</v>
      </c>
      <c r="M95" s="17">
        <v>1204.5704282207992</v>
      </c>
      <c r="N95" s="17">
        <v>15.643771795075313</v>
      </c>
      <c r="O95" s="17">
        <v>1557.6346149999999</v>
      </c>
      <c r="P95" s="17">
        <f t="shared" si="4"/>
        <v>20.202783592736708</v>
      </c>
      <c r="Q95" s="17">
        <v>3833.406981012733</v>
      </c>
      <c r="R95" s="17">
        <f t="shared" si="5"/>
        <v>49.719934902888888</v>
      </c>
      <c r="S95" s="17">
        <v>0.84728583775516997</v>
      </c>
    </row>
    <row r="96" spans="1:20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42"/>
      <c r="K96" s="17">
        <v>0.30600731951562499</v>
      </c>
      <c r="L96" s="17">
        <v>2.6618824682020223</v>
      </c>
      <c r="M96" s="17">
        <v>1154.6599474274842</v>
      </c>
      <c r="N96" s="17">
        <v>15.39546596569979</v>
      </c>
      <c r="O96" s="17">
        <v>1779.3951135</v>
      </c>
      <c r="P96" s="17">
        <f t="shared" si="4"/>
        <v>23.630745199203187</v>
      </c>
      <c r="Q96" s="17">
        <v>4112.0763286718475</v>
      </c>
      <c r="R96" s="17">
        <f t="shared" si="5"/>
        <v>54.60924739272042</v>
      </c>
      <c r="S96" s="17">
        <v>0.89975204129270403</v>
      </c>
    </row>
    <row r="97" spans="1:19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42"/>
      <c r="K97" s="17">
        <v>0.25325734916562498</v>
      </c>
      <c r="L97" s="17">
        <v>2.35663161780941</v>
      </c>
      <c r="M97" s="17">
        <v>1286.3689817526192</v>
      </c>
      <c r="N97" s="17">
        <v>17.383364618278637</v>
      </c>
      <c r="O97" s="17">
        <v>1941.0853575000001</v>
      </c>
      <c r="P97" s="17">
        <f t="shared" si="4"/>
        <v>26.301969613821139</v>
      </c>
      <c r="Q97" s="17">
        <v>3737.1189013463754</v>
      </c>
      <c r="R97" s="17">
        <f t="shared" si="5"/>
        <v>50.63846749791837</v>
      </c>
      <c r="S97" s="17">
        <v>0.90071557341909192</v>
      </c>
    </row>
    <row r="98" spans="1:19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42"/>
      <c r="K98" s="17">
        <v>0.29677374562499997</v>
      </c>
      <c r="L98" s="17">
        <v>2.6680819307831349</v>
      </c>
      <c r="M98" s="17">
        <v>1244.9072503400348</v>
      </c>
      <c r="N98" s="17">
        <v>16.59876333786713</v>
      </c>
      <c r="O98" s="17">
        <v>1890.7262154999999</v>
      </c>
      <c r="P98" s="17">
        <f t="shared" si="4"/>
        <v>25.209682873333332</v>
      </c>
      <c r="Q98" s="17">
        <v>4248.4251222608409</v>
      </c>
      <c r="R98" s="17">
        <f t="shared" si="5"/>
        <v>56.645668296811209</v>
      </c>
      <c r="S98" s="17">
        <v>0.8955441898732347</v>
      </c>
    </row>
    <row r="99" spans="1:19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42"/>
      <c r="K99" s="17">
        <v>0.25059055328125002</v>
      </c>
      <c r="L99" s="17">
        <v>2.27873879397319</v>
      </c>
      <c r="M99" s="17">
        <v>1375.9606843490924</v>
      </c>
      <c r="N99" s="17">
        <v>15.725264963989627</v>
      </c>
      <c r="O99" s="17">
        <v>2216.4601210000001</v>
      </c>
      <c r="P99" s="17">
        <f t="shared" si="4"/>
        <v>25.476553114942529</v>
      </c>
      <c r="Q99" s="17">
        <v>4184.4064291193008</v>
      </c>
      <c r="R99" s="17">
        <f t="shared" si="5"/>
        <v>48.096625622060927</v>
      </c>
      <c r="S99" s="17">
        <v>0.90812079668485912</v>
      </c>
    </row>
    <row r="100" spans="1:19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42"/>
      <c r="K100" s="17">
        <v>0.40248698096249991</v>
      </c>
      <c r="L100" s="17">
        <v>3.0327053983791075</v>
      </c>
      <c r="M100" s="17">
        <v>1667.7669243226351</v>
      </c>
      <c r="N100" s="17">
        <v>19.392638654914361</v>
      </c>
      <c r="O100" s="17">
        <v>2637.6283720000001</v>
      </c>
      <c r="P100" s="17">
        <f t="shared" si="4"/>
        <v>30.67009734883721</v>
      </c>
      <c r="Q100" s="17">
        <v>6137.542540682779</v>
      </c>
      <c r="R100" s="17">
        <f t="shared" si="5"/>
        <v>71.366773728869518</v>
      </c>
      <c r="S100" s="17">
        <v>0.89327953169666285</v>
      </c>
    </row>
    <row r="101" spans="1:19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42"/>
    </row>
    <row r="102" spans="1:19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42"/>
    </row>
    <row r="103" spans="1:19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42"/>
    </row>
    <row r="104" spans="1:19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42"/>
    </row>
    <row r="105" spans="1:19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42"/>
    </row>
    <row r="106" spans="1:19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42"/>
    </row>
    <row r="107" spans="1:19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42"/>
    </row>
    <row r="108" spans="1:19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42"/>
    </row>
    <row r="109" spans="1:19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42"/>
    </row>
    <row r="110" spans="1:19" x14ac:dyDescent="0.25">
      <c r="J110" s="42"/>
    </row>
    <row r="111" spans="1:19" x14ac:dyDescent="0.25">
      <c r="J111" s="42"/>
    </row>
    <row r="112" spans="1:19" x14ac:dyDescent="0.25">
      <c r="J112" s="42"/>
    </row>
    <row r="113" spans="10:10" x14ac:dyDescent="0.25">
      <c r="J113" s="42"/>
    </row>
    <row r="114" spans="10:10" x14ac:dyDescent="0.25">
      <c r="J114" s="42"/>
    </row>
    <row r="115" spans="10:10" x14ac:dyDescent="0.25">
      <c r="J115" s="42"/>
    </row>
    <row r="116" spans="10:10" x14ac:dyDescent="0.25">
      <c r="J116" s="42"/>
    </row>
    <row r="117" spans="10:10" x14ac:dyDescent="0.25">
      <c r="J117" s="42"/>
    </row>
    <row r="118" spans="10:10" x14ac:dyDescent="0.25">
      <c r="J118" s="42"/>
    </row>
    <row r="119" spans="10:10" x14ac:dyDescent="0.25">
      <c r="J119" s="42"/>
    </row>
    <row r="120" spans="10:10" x14ac:dyDescent="0.25">
      <c r="J120" s="42"/>
    </row>
    <row r="121" spans="10:10" x14ac:dyDescent="0.25">
      <c r="J121" s="42"/>
    </row>
    <row r="122" spans="10:10" x14ac:dyDescent="0.25">
      <c r="J122" s="42"/>
    </row>
    <row r="123" spans="10:10" x14ac:dyDescent="0.25">
      <c r="J123" s="42"/>
    </row>
    <row r="124" spans="10:10" x14ac:dyDescent="0.25">
      <c r="J124" s="42"/>
    </row>
    <row r="125" spans="10:10" x14ac:dyDescent="0.25">
      <c r="J125" s="42"/>
    </row>
    <row r="126" spans="10:10" x14ac:dyDescent="0.25">
      <c r="J126" s="42"/>
    </row>
  </sheetData>
  <mergeCells count="1">
    <mergeCell ref="J1:J8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DC16-BA29-4878-963A-57127DCE4239}">
  <sheetPr codeName="Feuil6"/>
  <dimension ref="A1:CT132"/>
  <sheetViews>
    <sheetView zoomScale="85" zoomScaleNormal="85" workbookViewId="0">
      <pane ySplit="1" topLeftCell="A84" activePane="bottomLeft" state="frozen"/>
      <selection activeCell="D1" sqref="D1"/>
      <selection pane="bottomLeft" sqref="A1:I109"/>
    </sheetView>
  </sheetViews>
  <sheetFormatPr baseColWidth="10" defaultColWidth="11.42578125" defaultRowHeight="15" x14ac:dyDescent="0.25"/>
  <cols>
    <col min="1" max="1" width="16.140625" style="7" bestFit="1" customWidth="1"/>
    <col min="2" max="3" width="21" style="7" bestFit="1" customWidth="1"/>
    <col min="4" max="4" width="61.42578125" style="7" bestFit="1" customWidth="1"/>
    <col min="5" max="5" width="11.28515625" style="7" bestFit="1" customWidth="1"/>
    <col min="6" max="6" width="10" style="7" bestFit="1" customWidth="1"/>
    <col min="7" max="7" width="14.42578125" style="7" bestFit="1" customWidth="1"/>
    <col min="8" max="8" width="6.7109375" style="7" bestFit="1" customWidth="1"/>
    <col min="9" max="9" width="10" style="7" bestFit="1" customWidth="1"/>
    <col min="10" max="10" width="10.140625" style="7" bestFit="1" customWidth="1"/>
    <col min="11" max="11" width="17.7109375" style="4" bestFit="1" customWidth="1"/>
    <col min="12" max="12" width="17.7109375" style="5" bestFit="1" customWidth="1"/>
    <col min="13" max="13" width="15.85546875" style="4" bestFit="1" customWidth="1"/>
    <col min="14" max="16" width="22.140625" style="4" bestFit="1" customWidth="1"/>
    <col min="17" max="17" width="19.140625" style="4" bestFit="1" customWidth="1"/>
    <col min="18" max="18" width="19.140625" style="4" customWidth="1"/>
    <col min="19" max="19" width="18.7109375" style="4" bestFit="1" customWidth="1"/>
    <col min="20" max="20" width="19.140625" style="4" bestFit="1" customWidth="1"/>
    <col min="21" max="21" width="16.85546875" style="4" bestFit="1" customWidth="1"/>
    <col min="22" max="22" width="21.7109375" style="4" bestFit="1" customWidth="1"/>
    <col min="23" max="23" width="19.42578125" style="4" bestFit="1" customWidth="1"/>
    <col min="24" max="24" width="19.42578125" style="4" customWidth="1"/>
    <col min="25" max="25" width="19.42578125" style="4" bestFit="1" customWidth="1"/>
    <col min="26" max="26" width="19.42578125" style="4" customWidth="1"/>
    <col min="27" max="28" width="19.140625" style="4" bestFit="1" customWidth="1"/>
    <col min="29" max="29" width="17.28515625" style="4" bestFit="1" customWidth="1"/>
    <col min="30" max="30" width="20.7109375" style="4" bestFit="1" customWidth="1"/>
    <col min="31" max="32" width="15.85546875" style="4" bestFit="1" customWidth="1"/>
    <col min="33" max="33" width="16.7109375" style="4" bestFit="1" customWidth="1"/>
    <col min="34" max="34" width="19.42578125" style="4" bestFit="1" customWidth="1"/>
    <col min="35" max="35" width="19.42578125" style="4" customWidth="1"/>
    <col min="36" max="36" width="15.85546875" style="4" bestFit="1" customWidth="1"/>
    <col min="37" max="37" width="19.42578125" style="4" bestFit="1" customWidth="1"/>
    <col min="38" max="38" width="16.85546875" style="4" bestFit="1" customWidth="1"/>
    <col min="39" max="39" width="18.7109375" style="4" bestFit="1" customWidth="1"/>
    <col min="40" max="41" width="17.28515625" style="4" bestFit="1" customWidth="1"/>
    <col min="42" max="42" width="17" style="4" bestFit="1" customWidth="1"/>
    <col min="43" max="43" width="18.28515625" style="4" bestFit="1" customWidth="1"/>
    <col min="44" max="44" width="17.28515625" style="4" bestFit="1" customWidth="1"/>
    <col min="45" max="45" width="17.42578125" style="4" bestFit="1" customWidth="1"/>
    <col min="46" max="46" width="17.7109375" style="4" bestFit="1" customWidth="1"/>
    <col min="47" max="47" width="15.85546875" style="4" bestFit="1" customWidth="1"/>
    <col min="48" max="48" width="19.42578125" style="4" bestFit="1" customWidth="1"/>
    <col min="49" max="49" width="19.42578125" style="4" customWidth="1"/>
    <col min="50" max="50" width="19.140625" style="4" bestFit="1" customWidth="1"/>
    <col min="51" max="51" width="19.42578125" style="4" bestFit="1" customWidth="1"/>
    <col min="52" max="52" width="17.7109375" style="4" bestFit="1" customWidth="1"/>
    <col min="53" max="53" width="19.42578125" style="4" bestFit="1" customWidth="1"/>
    <col min="54" max="54" width="19.42578125" style="4" customWidth="1"/>
    <col min="55" max="56" width="19.140625" style="4" bestFit="1" customWidth="1"/>
    <col min="57" max="57" width="18.140625" style="4" bestFit="1" customWidth="1"/>
    <col min="58" max="58" width="19.42578125" style="4" bestFit="1" customWidth="1"/>
    <col min="59" max="59" width="19.42578125" style="4" customWidth="1"/>
    <col min="60" max="61" width="19.42578125" style="4" bestFit="1" customWidth="1"/>
    <col min="62" max="62" width="17.85546875" style="4" bestFit="1" customWidth="1"/>
    <col min="63" max="63" width="17.140625" style="4" bestFit="1" customWidth="1"/>
    <col min="64" max="65" width="18.28515625" style="4" bestFit="1" customWidth="1"/>
    <col min="66" max="66" width="17.7109375" style="4" bestFit="1" customWidth="1"/>
    <col min="67" max="67" width="18.28515625" style="4" bestFit="1" customWidth="1"/>
    <col min="68" max="68" width="17.85546875" style="7" bestFit="1" customWidth="1"/>
    <col min="69" max="69" width="18.28515625" style="7" bestFit="1" customWidth="1"/>
    <col min="70" max="70" width="18.140625" style="7" bestFit="1" customWidth="1"/>
    <col min="71" max="71" width="17.7109375" style="7" bestFit="1" customWidth="1"/>
    <col min="72" max="72" width="19" style="7" bestFit="1" customWidth="1"/>
    <col min="73" max="73" width="18.28515625" style="7" bestFit="1" customWidth="1"/>
    <col min="74" max="74" width="20.7109375" style="7" bestFit="1" customWidth="1"/>
    <col min="75" max="75" width="18.42578125" style="7" bestFit="1" customWidth="1"/>
    <col min="76" max="76" width="18.140625" style="7" bestFit="1" customWidth="1"/>
    <col min="77" max="77" width="18.28515625" style="7" bestFit="1" customWidth="1"/>
    <col min="78" max="78" width="19" style="7" bestFit="1" customWidth="1"/>
    <col min="79" max="81" width="15.85546875" style="7" bestFit="1" customWidth="1"/>
    <col min="82" max="83" width="20.7109375" style="7" bestFit="1" customWidth="1"/>
    <col min="84" max="84" width="19.28515625" style="7" bestFit="1" customWidth="1"/>
    <col min="85" max="85" width="22.140625" style="7" bestFit="1" customWidth="1"/>
    <col min="86" max="86" width="22.7109375" style="7" bestFit="1" customWidth="1"/>
    <col min="87" max="87" width="23.42578125" style="7" bestFit="1" customWidth="1"/>
    <col min="88" max="88" width="23.7109375" style="7" bestFit="1" customWidth="1"/>
    <col min="89" max="89" width="24" style="7" bestFit="1" customWidth="1"/>
    <col min="90" max="90" width="24.85546875" style="7" bestFit="1" customWidth="1"/>
    <col min="91" max="91" width="17.140625" style="7" bestFit="1" customWidth="1"/>
    <col min="92" max="16384" width="11.42578125" style="7"/>
  </cols>
  <sheetData>
    <row r="1" spans="1:92" s="19" customFormat="1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5" t="s">
        <v>140</v>
      </c>
      <c r="K1" s="13" t="s">
        <v>202</v>
      </c>
      <c r="L1" s="13" t="s">
        <v>203</v>
      </c>
      <c r="M1" s="13" t="s">
        <v>141</v>
      </c>
      <c r="N1" s="13" t="s">
        <v>204</v>
      </c>
      <c r="O1" s="13" t="s">
        <v>205</v>
      </c>
      <c r="P1" s="13" t="s">
        <v>206</v>
      </c>
      <c r="Q1" s="13" t="s">
        <v>207</v>
      </c>
      <c r="R1" s="13" t="s">
        <v>413</v>
      </c>
      <c r="S1" s="13" t="s">
        <v>208</v>
      </c>
      <c r="T1" s="13" t="s">
        <v>209</v>
      </c>
      <c r="U1" s="13" t="s">
        <v>210</v>
      </c>
      <c r="V1" s="13" t="s">
        <v>211</v>
      </c>
      <c r="W1" s="13" t="s">
        <v>212</v>
      </c>
      <c r="X1" s="13" t="s">
        <v>409</v>
      </c>
      <c r="Y1" s="13" t="s">
        <v>213</v>
      </c>
      <c r="Z1" s="13" t="s">
        <v>410</v>
      </c>
      <c r="AA1" s="13" t="s">
        <v>214</v>
      </c>
      <c r="AB1" s="13" t="s">
        <v>215</v>
      </c>
      <c r="AC1" s="13" t="s">
        <v>216</v>
      </c>
      <c r="AD1" s="13" t="s">
        <v>217</v>
      </c>
      <c r="AE1" s="13" t="s">
        <v>218</v>
      </c>
      <c r="AF1" s="13" t="s">
        <v>219</v>
      </c>
      <c r="AG1" s="13" t="s">
        <v>220</v>
      </c>
      <c r="AH1" s="13" t="s">
        <v>221</v>
      </c>
      <c r="AI1" s="13" t="s">
        <v>411</v>
      </c>
      <c r="AJ1" s="13" t="s">
        <v>222</v>
      </c>
      <c r="AK1" s="13" t="s">
        <v>223</v>
      </c>
      <c r="AL1" s="13" t="s">
        <v>224</v>
      </c>
      <c r="AM1" s="13" t="s">
        <v>225</v>
      </c>
      <c r="AN1" s="13" t="s">
        <v>226</v>
      </c>
      <c r="AO1" s="13" t="s">
        <v>227</v>
      </c>
      <c r="AP1" s="13" t="s">
        <v>228</v>
      </c>
      <c r="AQ1" s="13" t="s">
        <v>229</v>
      </c>
      <c r="AR1" s="13" t="s">
        <v>230</v>
      </c>
      <c r="AS1" s="13" t="s">
        <v>231</v>
      </c>
      <c r="AT1" s="13" t="s">
        <v>232</v>
      </c>
      <c r="AU1" s="13" t="s">
        <v>233</v>
      </c>
      <c r="AV1" s="13" t="s">
        <v>234</v>
      </c>
      <c r="AW1" s="13" t="s">
        <v>421</v>
      </c>
      <c r="AX1" s="13" t="s">
        <v>235</v>
      </c>
      <c r="AY1" s="13" t="s">
        <v>236</v>
      </c>
      <c r="AZ1" s="13" t="s">
        <v>237</v>
      </c>
      <c r="BA1" s="13" t="s">
        <v>238</v>
      </c>
      <c r="BB1" s="13" t="s">
        <v>416</v>
      </c>
      <c r="BC1" s="13" t="s">
        <v>239</v>
      </c>
      <c r="BD1" s="13" t="s">
        <v>240</v>
      </c>
      <c r="BE1" s="13" t="s">
        <v>241</v>
      </c>
      <c r="BF1" s="13" t="s">
        <v>242</v>
      </c>
      <c r="BG1" s="13" t="s">
        <v>412</v>
      </c>
      <c r="BH1" s="13" t="s">
        <v>243</v>
      </c>
      <c r="BI1" s="13" t="s">
        <v>244</v>
      </c>
      <c r="BJ1" s="13" t="s">
        <v>245</v>
      </c>
      <c r="BK1" s="13" t="s">
        <v>246</v>
      </c>
      <c r="BL1" s="13" t="s">
        <v>247</v>
      </c>
      <c r="BM1" s="13" t="s">
        <v>248</v>
      </c>
      <c r="BN1" s="13" t="s">
        <v>249</v>
      </c>
      <c r="BO1" s="13" t="s">
        <v>250</v>
      </c>
      <c r="BP1" s="13" t="s">
        <v>251</v>
      </c>
      <c r="BQ1" s="13" t="s">
        <v>252</v>
      </c>
      <c r="BR1" s="13" t="s">
        <v>253</v>
      </c>
      <c r="BS1" s="13" t="s">
        <v>254</v>
      </c>
      <c r="BT1" s="13" t="s">
        <v>255</v>
      </c>
      <c r="BU1" s="13" t="s">
        <v>256</v>
      </c>
      <c r="BV1" s="13" t="s">
        <v>257</v>
      </c>
      <c r="BW1" s="13" t="s">
        <v>258</v>
      </c>
      <c r="BX1" s="13" t="s">
        <v>259</v>
      </c>
      <c r="BY1" s="13" t="s">
        <v>260</v>
      </c>
      <c r="BZ1" s="13" t="s">
        <v>261</v>
      </c>
      <c r="CA1" s="13" t="s">
        <v>262</v>
      </c>
      <c r="CB1" s="13" t="s">
        <v>263</v>
      </c>
      <c r="CC1" s="13" t="s">
        <v>264</v>
      </c>
      <c r="CD1" s="13" t="s">
        <v>265</v>
      </c>
      <c r="CE1" s="13" t="s">
        <v>266</v>
      </c>
      <c r="CF1" s="13" t="s">
        <v>267</v>
      </c>
      <c r="CG1" s="13" t="s">
        <v>268</v>
      </c>
      <c r="CH1" s="13" t="s">
        <v>269</v>
      </c>
      <c r="CI1" s="13" t="s">
        <v>270</v>
      </c>
      <c r="CJ1" s="13" t="s">
        <v>271</v>
      </c>
      <c r="CK1" s="13" t="s">
        <v>272</v>
      </c>
      <c r="CL1" s="13" t="s">
        <v>273</v>
      </c>
      <c r="CM1" s="13" t="s">
        <v>201</v>
      </c>
      <c r="CN1" s="27"/>
    </row>
    <row r="2" spans="1:92" s="19" customFormat="1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65"/>
      <c r="K2" s="14">
        <v>0.21010257292499998</v>
      </c>
      <c r="L2" s="14" t="s">
        <v>276</v>
      </c>
      <c r="M2" s="14">
        <v>2.84</v>
      </c>
      <c r="N2" s="14">
        <v>493432.96364399983</v>
      </c>
      <c r="O2" s="14">
        <v>228878.42915200008</v>
      </c>
      <c r="P2" s="14">
        <v>228877.11269100007</v>
      </c>
      <c r="Q2" s="14">
        <v>1262.0002729795397</v>
      </c>
      <c r="R2" s="14">
        <v>15.4656896198473</v>
      </c>
      <c r="S2" s="14">
        <v>608.7419604521275</v>
      </c>
      <c r="T2" s="14">
        <v>676.93024169309467</v>
      </c>
      <c r="U2" s="14">
        <v>-5.303706584554825</v>
      </c>
      <c r="V2" s="14">
        <v>1.8475821140044353</v>
      </c>
      <c r="W2" s="14">
        <v>2331.6491322257125</v>
      </c>
      <c r="X2" s="14">
        <v>28.574131522373929</v>
      </c>
      <c r="Y2" s="14">
        <v>1574.270698</v>
      </c>
      <c r="Z2" s="14">
        <v>19.292533063725493</v>
      </c>
      <c r="AA2" s="14">
        <v>735.77533700000004</v>
      </c>
      <c r="AB2" s="14">
        <v>838.495361</v>
      </c>
      <c r="AC2" s="14">
        <v>-6.5249276462109416</v>
      </c>
      <c r="AD2" s="14">
        <v>-7.5105642242004613</v>
      </c>
      <c r="AE2" s="14">
        <v>0.53734673382352938</v>
      </c>
      <c r="AF2" s="14">
        <v>1.3696599677683357</v>
      </c>
      <c r="AG2" s="14">
        <v>8.2902476474035858</v>
      </c>
      <c r="AH2" s="14">
        <v>4626.4454714437679</v>
      </c>
      <c r="AI2" s="14">
        <v>56.696635679457941</v>
      </c>
      <c r="AJ2" s="14">
        <v>3.1036839544940991</v>
      </c>
      <c r="AK2" s="14">
        <v>1490.630341</v>
      </c>
      <c r="AL2" s="14">
        <v>4.2999999999999997E-2</v>
      </c>
      <c r="AM2" s="14">
        <v>0.28999999999999998</v>
      </c>
      <c r="AN2" s="14">
        <v>0.247</v>
      </c>
      <c r="AO2" s="14">
        <v>0.28999999999999998</v>
      </c>
      <c r="AP2" s="14">
        <v>-8.0074487895716935</v>
      </c>
      <c r="AQ2" s="14">
        <v>0.39100000000000001</v>
      </c>
      <c r="AR2" s="14">
        <v>0.376</v>
      </c>
      <c r="AS2" s="14">
        <v>0.39100000000000001</v>
      </c>
      <c r="AT2" s="14">
        <v>-1.9556714471968728</v>
      </c>
      <c r="AU2" s="14">
        <v>0.41399999999999998</v>
      </c>
      <c r="AV2" s="14">
        <v>1957.487014</v>
      </c>
      <c r="AW2" s="14">
        <v>23.988811446078433</v>
      </c>
      <c r="AX2" s="14">
        <v>991.07856800000002</v>
      </c>
      <c r="AY2" s="14">
        <v>1200.305664</v>
      </c>
      <c r="AZ2" s="14">
        <v>-9.5477138579684713</v>
      </c>
      <c r="BA2" s="14">
        <v>1364.8929206103451</v>
      </c>
      <c r="BB2" s="14">
        <v>16.726628929048349</v>
      </c>
      <c r="BC2" s="14">
        <v>652.62388019838068</v>
      </c>
      <c r="BD2" s="14">
        <v>809.97628107241383</v>
      </c>
      <c r="BE2" s="14">
        <v>-10.75840171775422</v>
      </c>
      <c r="BF2" s="14">
        <v>2342.4526500000002</v>
      </c>
      <c r="BG2" s="14">
        <v>28.706527573529417</v>
      </c>
      <c r="BH2" s="14">
        <v>1352.528227</v>
      </c>
      <c r="BI2" s="14">
        <v>1141.155098</v>
      </c>
      <c r="BJ2" s="14">
        <v>8.4763420792413591</v>
      </c>
      <c r="BK2" s="14">
        <v>36.049384999999987</v>
      </c>
      <c r="BL2" s="14">
        <v>134.74787499999999</v>
      </c>
      <c r="BM2" s="14">
        <v>117.183044</v>
      </c>
      <c r="BN2" s="14">
        <v>6.9720822953057215</v>
      </c>
      <c r="BO2" s="14">
        <v>88.761920000000003</v>
      </c>
      <c r="BP2" s="14">
        <v>42.361182999999997</v>
      </c>
      <c r="BQ2" s="14">
        <v>56.950453000000003</v>
      </c>
      <c r="BR2" s="14">
        <v>-14.690393379482749</v>
      </c>
      <c r="BS2" s="14">
        <v>-9.771733723785168</v>
      </c>
      <c r="BT2" s="14">
        <v>-104.55824779787234</v>
      </c>
      <c r="BU2" s="14">
        <v>90.729436685422016</v>
      </c>
      <c r="BV2" s="14">
        <v>1412.1798533170604</v>
      </c>
      <c r="BW2" s="14">
        <v>25.764359342710996</v>
      </c>
      <c r="BX2" s="14">
        <v>13.311419484042556</v>
      </c>
      <c r="BY2" s="14">
        <v>12.432928179028133</v>
      </c>
      <c r="BZ2" s="14">
        <v>3.4123657608717974</v>
      </c>
      <c r="CA2" s="14">
        <v>0.9265419180595017</v>
      </c>
      <c r="CB2" s="14">
        <v>0.80598960945104114</v>
      </c>
      <c r="CC2" s="14">
        <v>0.82803818435125021</v>
      </c>
      <c r="CD2" s="14">
        <v>-184.89916431989207</v>
      </c>
      <c r="CE2" s="14">
        <v>177.38860009569348</v>
      </c>
      <c r="CF2" s="14">
        <v>4823.7090263913342</v>
      </c>
      <c r="CG2" s="14">
        <v>645.04347992955468</v>
      </c>
      <c r="CH2" s="14">
        <v>5271.91204960102</v>
      </c>
      <c r="CI2" s="14">
        <v>4522.5980414191308</v>
      </c>
      <c r="CJ2" s="14">
        <v>9.214906856136496</v>
      </c>
      <c r="CK2" s="14">
        <v>75.313029280014575</v>
      </c>
      <c r="CL2" s="14">
        <v>64.608543448844728</v>
      </c>
      <c r="CM2" s="14">
        <v>33.41348291570327</v>
      </c>
      <c r="CN2" s="27"/>
    </row>
    <row r="3" spans="1:92" s="19" customFormat="1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5"/>
      <c r="K3" s="3"/>
      <c r="L3" s="3"/>
      <c r="M3" s="8"/>
      <c r="N3" s="8"/>
      <c r="O3" s="8"/>
      <c r="P3" s="8"/>
      <c r="Q3" s="8"/>
      <c r="R3" s="14"/>
      <c r="S3" s="8"/>
      <c r="T3" s="8"/>
      <c r="U3" s="8"/>
      <c r="V3" s="8"/>
      <c r="W3" s="8"/>
      <c r="X3" s="14"/>
      <c r="Y3" s="8"/>
      <c r="Z3" s="14"/>
      <c r="AA3" s="8"/>
      <c r="AB3" s="8"/>
      <c r="AC3" s="8"/>
      <c r="AD3" s="8"/>
      <c r="AE3" s="8"/>
      <c r="AF3" s="8"/>
      <c r="AG3" s="8"/>
      <c r="AH3" s="8"/>
      <c r="AI3" s="14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14"/>
      <c r="AX3" s="8"/>
      <c r="AY3" s="8"/>
      <c r="AZ3" s="8"/>
      <c r="BA3" s="8"/>
      <c r="BB3" s="14"/>
      <c r="BC3" s="8"/>
      <c r="BD3" s="8"/>
      <c r="BE3" s="8"/>
      <c r="BF3" s="8"/>
      <c r="BG3" s="14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27"/>
    </row>
    <row r="4" spans="1:92" s="19" customFormat="1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5"/>
      <c r="K4" s="3"/>
      <c r="L4" s="3"/>
      <c r="M4" s="8"/>
      <c r="N4" s="8"/>
      <c r="O4" s="8"/>
      <c r="P4" s="8"/>
      <c r="Q4" s="8"/>
      <c r="R4" s="14"/>
      <c r="S4" s="8"/>
      <c r="T4" s="8"/>
      <c r="U4" s="8"/>
      <c r="V4" s="8"/>
      <c r="W4" s="8"/>
      <c r="X4" s="14"/>
      <c r="Y4" s="8"/>
      <c r="Z4" s="14"/>
      <c r="AA4" s="8"/>
      <c r="AB4" s="8"/>
      <c r="AC4" s="8"/>
      <c r="AD4" s="8"/>
      <c r="AE4" s="8"/>
      <c r="AF4" s="8"/>
      <c r="AG4" s="8"/>
      <c r="AH4" s="8"/>
      <c r="AI4" s="14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14"/>
      <c r="AX4" s="8"/>
      <c r="AY4" s="8"/>
      <c r="AZ4" s="8"/>
      <c r="BA4" s="8"/>
      <c r="BB4" s="14"/>
      <c r="BC4" s="8"/>
      <c r="BD4" s="8"/>
      <c r="BE4" s="8"/>
      <c r="BF4" s="8"/>
      <c r="BG4" s="14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27"/>
    </row>
    <row r="5" spans="1:92" s="19" customFormat="1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5"/>
      <c r="K5" s="8">
        <v>0.32009028183124999</v>
      </c>
      <c r="L5" s="8" t="s">
        <v>277</v>
      </c>
      <c r="M5" s="8">
        <v>1.99</v>
      </c>
      <c r="N5" s="8">
        <v>247937.42661500012</v>
      </c>
      <c r="O5" s="8">
        <v>123273.85640000003</v>
      </c>
      <c r="P5" s="8">
        <v>123272.07106300004</v>
      </c>
      <c r="Q5" s="8">
        <v>957.30748400386085</v>
      </c>
      <c r="R5" s="14">
        <v>14.016214992735884</v>
      </c>
      <c r="S5" s="8">
        <v>475.96988718918914</v>
      </c>
      <c r="T5" s="8">
        <v>483.21016632558138</v>
      </c>
      <c r="U5" s="8">
        <v>-0.75484046085626322</v>
      </c>
      <c r="V5" s="8">
        <v>0.63395178992013923</v>
      </c>
      <c r="W5" s="8">
        <v>606.88679298819261</v>
      </c>
      <c r="X5" s="14">
        <v>8.8856045825504051</v>
      </c>
      <c r="Y5" s="8">
        <v>1197.5284689999999</v>
      </c>
      <c r="Z5" s="14">
        <v>17.533359721815518</v>
      </c>
      <c r="AA5" s="8">
        <v>602.79476499999998</v>
      </c>
      <c r="AB5" s="8">
        <v>596.30263500000001</v>
      </c>
      <c r="AC5" s="8">
        <v>0.54141806995828479</v>
      </c>
      <c r="AD5" s="8">
        <v>-2385.7298940669921</v>
      </c>
      <c r="AE5" s="8">
        <v>1.2358698140202702</v>
      </c>
      <c r="AF5" s="8">
        <v>0.24433587972656146</v>
      </c>
      <c r="AG5" s="8">
        <v>4.3022262173923727</v>
      </c>
      <c r="AH5" s="8">
        <v>1265.7046803555522</v>
      </c>
      <c r="AI5" s="14">
        <v>18.531547296567382</v>
      </c>
      <c r="AJ5" s="8">
        <v>1.1187077752676893</v>
      </c>
      <c r="AK5" s="8">
        <v>1131.3988410000002</v>
      </c>
      <c r="AL5" s="8">
        <v>2E-3</v>
      </c>
      <c r="AM5" s="8">
        <v>0.35899999999999999</v>
      </c>
      <c r="AN5" s="8">
        <v>0.35699999999999998</v>
      </c>
      <c r="AO5" s="8">
        <v>0.35899999999999999</v>
      </c>
      <c r="AP5" s="8">
        <v>-0.27932960893854775</v>
      </c>
      <c r="AQ5" s="8">
        <v>0.25900000000000001</v>
      </c>
      <c r="AR5" s="8">
        <v>0.25900000000000001</v>
      </c>
      <c r="AS5" s="8">
        <v>0.25800000000000001</v>
      </c>
      <c r="AT5" s="8">
        <v>0.19342359767891701</v>
      </c>
      <c r="AU5" s="8">
        <v>0.51100000000000001</v>
      </c>
      <c r="AV5" s="8">
        <v>3372.9708860000001</v>
      </c>
      <c r="AW5" s="14">
        <v>49.384639619326506</v>
      </c>
      <c r="AX5" s="8">
        <v>1731.524643</v>
      </c>
      <c r="AY5" s="8">
        <v>1641.4462430000001</v>
      </c>
      <c r="AZ5" s="8">
        <v>2.6705952421315944</v>
      </c>
      <c r="BA5" s="8">
        <v>1204.2482638997217</v>
      </c>
      <c r="BB5" s="14">
        <v>17.631746177155517</v>
      </c>
      <c r="BC5" s="8">
        <v>595.15201315686272</v>
      </c>
      <c r="BD5" s="8">
        <v>612.41532693314753</v>
      </c>
      <c r="BE5" s="8">
        <v>-1.4295942928531027</v>
      </c>
      <c r="BF5" s="8">
        <v>3223.5256200000003</v>
      </c>
      <c r="BG5" s="14">
        <v>47.196568374816991</v>
      </c>
      <c r="BH5" s="8">
        <v>1699.6590880000001</v>
      </c>
      <c r="BI5" s="8">
        <v>1589.2386469999999</v>
      </c>
      <c r="BJ5" s="8">
        <v>3.3573692433462123</v>
      </c>
      <c r="BK5" s="8">
        <v>16.158205000000009</v>
      </c>
      <c r="BL5" s="8">
        <v>114.45994899999999</v>
      </c>
      <c r="BM5" s="8">
        <v>104.108608</v>
      </c>
      <c r="BN5" s="8">
        <v>4.7359698677975857</v>
      </c>
      <c r="BO5" s="8">
        <v>162.60995700000001</v>
      </c>
      <c r="BP5" s="8">
        <v>96.191806999999997</v>
      </c>
      <c r="BQ5" s="8">
        <v>66.832927999999995</v>
      </c>
      <c r="BR5" s="8">
        <v>18.008849393314456</v>
      </c>
      <c r="BS5" s="8">
        <v>-5.8170897528957521</v>
      </c>
      <c r="BT5" s="8">
        <v>-83.809958478764472</v>
      </c>
      <c r="BU5" s="8">
        <v>78.294048298449624</v>
      </c>
      <c r="BV5" s="8">
        <v>2938.8442066321181</v>
      </c>
      <c r="BW5" s="8">
        <v>-41.784313509652499</v>
      </c>
      <c r="BX5" s="8">
        <v>-16.518459999999997</v>
      </c>
      <c r="BY5" s="8">
        <v>-25.366928589147289</v>
      </c>
      <c r="BZ5" s="8">
        <v>-21.125430340259456</v>
      </c>
      <c r="CA5" s="8">
        <v>0.87010927878962463</v>
      </c>
      <c r="CB5" s="8">
        <v>0.74103797783652947</v>
      </c>
      <c r="CC5" s="8">
        <v>0.77720060645465627</v>
      </c>
      <c r="CD5" s="8">
        <v>-689.56101012987176</v>
      </c>
      <c r="CE5" s="8">
        <v>-1696.1688839371193</v>
      </c>
      <c r="CF5" s="8">
        <v>-42.192868367477566</v>
      </c>
      <c r="CG5" s="8">
        <v>6586.3338731412032</v>
      </c>
      <c r="CH5" s="8">
        <v>10239.335561896914</v>
      </c>
      <c r="CI5" s="8">
        <v>23227.491684499419</v>
      </c>
      <c r="CJ5" s="8">
        <v>96.432413955215281</v>
      </c>
      <c r="CK5" s="8">
        <v>149.91706532791969</v>
      </c>
      <c r="CL5" s="8">
        <v>340.08040533674114</v>
      </c>
      <c r="CM5" s="8">
        <v>77.993124367572747</v>
      </c>
      <c r="CN5" s="27"/>
    </row>
    <row r="6" spans="1:92" s="19" customFormat="1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5"/>
      <c r="K6" s="14">
        <v>0.34433599812500004</v>
      </c>
      <c r="L6" s="14">
        <v>0.29092087185242749</v>
      </c>
      <c r="M6" s="14">
        <v>2.3891143768653329</v>
      </c>
      <c r="N6" s="14">
        <v>449727.7641720004</v>
      </c>
      <c r="O6" s="14">
        <v>217040.94039000009</v>
      </c>
      <c r="P6" s="14">
        <v>217040.45348000008</v>
      </c>
      <c r="Q6" s="14">
        <v>1427.7141723301586</v>
      </c>
      <c r="R6" s="14">
        <v>17.284675209808217</v>
      </c>
      <c r="S6" s="14">
        <v>691.22438523248388</v>
      </c>
      <c r="T6" s="14">
        <v>738.69531394920648</v>
      </c>
      <c r="U6" s="14">
        <v>-3.3198317880290129</v>
      </c>
      <c r="V6" s="14">
        <v>1.3846392085014751</v>
      </c>
      <c r="W6" s="14">
        <v>1976.8690215415695</v>
      </c>
      <c r="X6" s="14">
        <v>23.933039001713919</v>
      </c>
      <c r="Y6" s="14">
        <v>1738.2873079999999</v>
      </c>
      <c r="Z6" s="14">
        <v>21.044640532687652</v>
      </c>
      <c r="AA6" s="14">
        <v>843.94154400000002</v>
      </c>
      <c r="AB6" s="14">
        <v>894.38183600000002</v>
      </c>
      <c r="AC6" s="14">
        <v>-2.9016633257271152</v>
      </c>
      <c r="AD6" s="14">
        <v>-2648.3409254682474</v>
      </c>
      <c r="AE6" s="14">
        <v>1.0931301527777779</v>
      </c>
      <c r="AF6" s="14">
        <v>0.9235583233410396</v>
      </c>
      <c r="AG6" s="14">
        <v>7.5844900852867712</v>
      </c>
      <c r="AH6" s="14">
        <v>3840.6225926864859</v>
      </c>
      <c r="AI6" s="14">
        <v>46.496641557947775</v>
      </c>
      <c r="AJ6" s="14">
        <v>2.3144285143793573</v>
      </c>
      <c r="AK6" s="14">
        <v>1659.425888</v>
      </c>
      <c r="AL6" s="14">
        <v>5.0000000000000001E-3</v>
      </c>
      <c r="AM6" s="14">
        <v>0.373</v>
      </c>
      <c r="AN6" s="14">
        <v>0.36799999999999999</v>
      </c>
      <c r="AO6" s="14">
        <v>0.373</v>
      </c>
      <c r="AP6" s="14">
        <v>-0.6747638326585701</v>
      </c>
      <c r="AQ6" s="14">
        <v>0.315</v>
      </c>
      <c r="AR6" s="14">
        <v>0.314</v>
      </c>
      <c r="AS6" s="14">
        <v>0.315</v>
      </c>
      <c r="AT6" s="14">
        <v>-0.15898251192368854</v>
      </c>
      <c r="AU6" s="14">
        <v>0.53</v>
      </c>
      <c r="AV6" s="14">
        <v>3529.4313360000001</v>
      </c>
      <c r="AW6" s="14">
        <v>42.729192929782087</v>
      </c>
      <c r="AX6" s="14">
        <v>1608.516754</v>
      </c>
      <c r="AY6" s="14">
        <v>890.34225500000002</v>
      </c>
      <c r="AZ6" s="14">
        <v>28.740096836731936</v>
      </c>
      <c r="BA6" s="14">
        <v>1433.7832615227881</v>
      </c>
      <c r="BB6" s="14">
        <v>17.358150865893318</v>
      </c>
      <c r="BC6" s="14">
        <v>667.99064656250016</v>
      </c>
      <c r="BD6" s="14">
        <v>774.76451174798922</v>
      </c>
      <c r="BE6" s="14">
        <v>-7.4006919726091667</v>
      </c>
      <c r="BF6" s="14">
        <v>3740.2634120000002</v>
      </c>
      <c r="BG6" s="14">
        <v>45.281639370460056</v>
      </c>
      <c r="BH6" s="14">
        <v>1849.6454470000001</v>
      </c>
      <c r="BI6" s="14">
        <v>1908.9583130000001</v>
      </c>
      <c r="BJ6" s="14">
        <v>-1.5780558363513153</v>
      </c>
      <c r="BK6" s="14">
        <v>25.193099999999987</v>
      </c>
      <c r="BL6" s="14">
        <v>148.994507</v>
      </c>
      <c r="BM6" s="14">
        <v>149.842094</v>
      </c>
      <c r="BN6" s="14">
        <v>-0.28362891197521162</v>
      </c>
      <c r="BO6" s="14">
        <v>155.107935</v>
      </c>
      <c r="BP6" s="14">
        <v>69.826521</v>
      </c>
      <c r="BQ6" s="14">
        <v>87.030681999999999</v>
      </c>
      <c r="BR6" s="14">
        <v>-10.968040147955461</v>
      </c>
      <c r="BS6" s="14">
        <v>-4.0472796888888887</v>
      </c>
      <c r="BT6" s="14">
        <v>-121.42016121019108</v>
      </c>
      <c r="BU6" s="14">
        <v>116.98713444444445</v>
      </c>
      <c r="BV6" s="14">
        <v>5377.980063120187</v>
      </c>
      <c r="BW6" s="14">
        <v>-7.6121717968253924</v>
      </c>
      <c r="BX6" s="14">
        <v>3.273577789808916</v>
      </c>
      <c r="BY6" s="14">
        <v>-10.884402755555559</v>
      </c>
      <c r="BZ6" s="14">
        <v>-186.02425635964602</v>
      </c>
      <c r="CA6" s="14">
        <v>0.90602411629475854</v>
      </c>
      <c r="CB6" s="14">
        <v>0.79410168012578441</v>
      </c>
      <c r="CC6" s="14">
        <v>0.79061055443458372</v>
      </c>
      <c r="CD6" s="14">
        <v>-1405.8076298974879</v>
      </c>
      <c r="CE6" s="14">
        <v>-1242.533295570759</v>
      </c>
      <c r="CF6" s="14">
        <v>6.1651554283125662</v>
      </c>
      <c r="CG6" s="14">
        <v>822.18165671526754</v>
      </c>
      <c r="CH6" s="14">
        <v>3646.705360313088</v>
      </c>
      <c r="CI6" s="14">
        <v>15497.539231142764</v>
      </c>
      <c r="CJ6" s="14">
        <v>9.9537730837199465</v>
      </c>
      <c r="CK6" s="14">
        <v>44.148975306453856</v>
      </c>
      <c r="CL6" s="14">
        <v>187.62154032860491</v>
      </c>
      <c r="CM6" s="14">
        <v>71.815873201619922</v>
      </c>
      <c r="CN6" s="27"/>
    </row>
    <row r="7" spans="1:92" s="19" customFormat="1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5"/>
      <c r="K7" s="14">
        <v>0.32134430719999996</v>
      </c>
      <c r="L7" s="14">
        <v>0.33683672063289277</v>
      </c>
      <c r="M7" s="14">
        <v>2.5707462844118547</v>
      </c>
      <c r="N7" s="14">
        <v>313549.92304699979</v>
      </c>
      <c r="O7" s="14">
        <v>160343.37291599993</v>
      </c>
      <c r="P7" s="14">
        <v>160342.52533199993</v>
      </c>
      <c r="Q7" s="14">
        <v>1144.3556190510951</v>
      </c>
      <c r="R7" s="14">
        <v>19.072593650851584</v>
      </c>
      <c r="S7" s="14">
        <v>591.68806851660531</v>
      </c>
      <c r="T7" s="14">
        <v>559.17938762408755</v>
      </c>
      <c r="U7" s="14">
        <v>2.8247111097860076</v>
      </c>
      <c r="V7" s="14">
        <v>1.5316341691260031</v>
      </c>
      <c r="W7" s="14">
        <v>1752.7341677699972</v>
      </c>
      <c r="X7" s="14">
        <v>29.212236129499953</v>
      </c>
      <c r="Y7" s="14">
        <v>1375.0342559999999</v>
      </c>
      <c r="Z7" s="14">
        <v>22.9172376</v>
      </c>
      <c r="AA7" s="14">
        <v>715.81201899999996</v>
      </c>
      <c r="AB7" s="14">
        <v>660.88135499999999</v>
      </c>
      <c r="AC7" s="14">
        <v>3.9900434648274827</v>
      </c>
      <c r="AD7" s="14">
        <v>-2207.8477199726563</v>
      </c>
      <c r="AE7" s="14">
        <v>1.1727894423357661</v>
      </c>
      <c r="AF7" s="14">
        <v>1.2293310972003384</v>
      </c>
      <c r="AG7" s="14">
        <v>9.3822857095323151</v>
      </c>
      <c r="AH7" s="14">
        <v>3081.8113933277655</v>
      </c>
      <c r="AI7" s="14">
        <v>51.363523222129423</v>
      </c>
      <c r="AJ7" s="14">
        <v>2.4250277911286746</v>
      </c>
      <c r="AK7" s="14">
        <v>1270.8354949999998</v>
      </c>
      <c r="AL7" s="14">
        <v>8.9999999999999993E-3</v>
      </c>
      <c r="AM7" s="14">
        <v>0.28199999999999997</v>
      </c>
      <c r="AN7" s="14">
        <v>0.27300000000000002</v>
      </c>
      <c r="AO7" s="14">
        <v>0.28199999999999997</v>
      </c>
      <c r="AP7" s="14">
        <v>-1.6216216216216135</v>
      </c>
      <c r="AQ7" s="14">
        <v>0.27400000000000002</v>
      </c>
      <c r="AR7" s="14">
        <v>0.27100000000000002</v>
      </c>
      <c r="AS7" s="14">
        <v>0.27400000000000002</v>
      </c>
      <c r="AT7" s="14">
        <v>-0.55045871559633075</v>
      </c>
      <c r="AU7" s="14">
        <v>0.51200000000000001</v>
      </c>
      <c r="AV7" s="14">
        <v>2151.5297209999999</v>
      </c>
      <c r="AW7" s="14">
        <v>35.858828683333329</v>
      </c>
      <c r="AX7" s="14">
        <v>792.68971599999998</v>
      </c>
      <c r="AY7" s="14">
        <v>1603.7197719999999</v>
      </c>
      <c r="AZ7" s="14">
        <v>-33.843550530960009</v>
      </c>
      <c r="BA7" s="14">
        <v>1188.1567612943263</v>
      </c>
      <c r="BB7" s="14">
        <v>19.802612688238771</v>
      </c>
      <c r="BC7" s="14">
        <v>540.13463114652018</v>
      </c>
      <c r="BD7" s="14">
        <v>665.38843203546105</v>
      </c>
      <c r="BE7" s="14">
        <v>-10.389996236018341</v>
      </c>
      <c r="BF7" s="14">
        <v>2737.787605</v>
      </c>
      <c r="BG7" s="14">
        <v>45.629793416666665</v>
      </c>
      <c r="BH7" s="14">
        <v>1122.941055</v>
      </c>
      <c r="BI7" s="14">
        <v>1668.8755799999999</v>
      </c>
      <c r="BJ7" s="14">
        <v>-19.554813097529948</v>
      </c>
      <c r="BK7" s="14">
        <v>35.003427999999992</v>
      </c>
      <c r="BL7" s="14">
        <v>111.610626</v>
      </c>
      <c r="BM7" s="14">
        <v>111.08765</v>
      </c>
      <c r="BN7" s="14">
        <v>0.23483612419163943</v>
      </c>
      <c r="BO7" s="14">
        <v>167.56922900000001</v>
      </c>
      <c r="BP7" s="14">
        <v>76.138321000000005</v>
      </c>
      <c r="BQ7" s="14">
        <v>91.557143999999994</v>
      </c>
      <c r="BR7" s="14">
        <v>-9.1945378487128355</v>
      </c>
      <c r="BS7" s="14">
        <v>-5.9737649416058387</v>
      </c>
      <c r="BT7" s="14">
        <v>-84.918607955719565</v>
      </c>
      <c r="BU7" s="14">
        <v>78.011128244525537</v>
      </c>
      <c r="BV7" s="14">
        <v>2358.7436085582221</v>
      </c>
      <c r="BW7" s="14">
        <v>-38.545342496350372</v>
      </c>
      <c r="BX7" s="14">
        <v>-16.577636977859783</v>
      </c>
      <c r="BY7" s="14">
        <v>-22.174617645985396</v>
      </c>
      <c r="BZ7" s="14">
        <v>-14.442980730937032</v>
      </c>
      <c r="CA7" s="14">
        <v>0.87159497379814033</v>
      </c>
      <c r="CB7" s="14">
        <v>0.79221219810861099</v>
      </c>
      <c r="CC7" s="14">
        <v>0.76532871154547988</v>
      </c>
      <c r="CD7" s="14">
        <v>-1218.3579113465476</v>
      </c>
      <c r="CE7" s="14">
        <v>-989.48980862610949</v>
      </c>
      <c r="CF7" s="14">
        <v>10.366118127171942</v>
      </c>
      <c r="CG7" s="14">
        <v>992.25878764657921</v>
      </c>
      <c r="CH7" s="14">
        <v>10046.002685831651</v>
      </c>
      <c r="CI7" s="14">
        <v>13577.346925152826</v>
      </c>
      <c r="CJ7" s="14">
        <v>16.537646460776319</v>
      </c>
      <c r="CK7" s="14">
        <v>167.43337809719418</v>
      </c>
      <c r="CL7" s="14">
        <v>226.28911541921377</v>
      </c>
      <c r="CM7" s="14">
        <v>62.089081780339484</v>
      </c>
      <c r="CN7" s="27"/>
    </row>
    <row r="8" spans="1:92" s="19" customFormat="1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5"/>
      <c r="K8" s="8">
        <v>0.30768486958124996</v>
      </c>
      <c r="L8" s="8">
        <v>0.28939067225296156</v>
      </c>
      <c r="M8" s="8">
        <v>2.3828229035333504</v>
      </c>
      <c r="N8" s="8">
        <v>339292.86233800004</v>
      </c>
      <c r="O8" s="8">
        <v>162981.99264499993</v>
      </c>
      <c r="P8" s="8">
        <v>162980.02697099993</v>
      </c>
      <c r="Q8" s="8">
        <v>1009.8178972083331</v>
      </c>
      <c r="R8" s="14">
        <v>16.830298286805551</v>
      </c>
      <c r="S8" s="8">
        <v>487.98709969161678</v>
      </c>
      <c r="T8" s="8">
        <v>524.75823945833326</v>
      </c>
      <c r="U8" s="8">
        <v>-3.630837718550294</v>
      </c>
      <c r="V8" s="8">
        <v>1.3437986191631495</v>
      </c>
      <c r="W8" s="8">
        <v>1356.9918958747933</v>
      </c>
      <c r="X8" s="14">
        <v>22.61653159791322</v>
      </c>
      <c r="Y8" s="8">
        <v>1166.2399869999999</v>
      </c>
      <c r="Z8" s="14">
        <v>19.437333116666665</v>
      </c>
      <c r="AA8" s="8">
        <v>562.705826</v>
      </c>
      <c r="AB8" s="8">
        <v>606.87039200000004</v>
      </c>
      <c r="AC8" s="8">
        <v>-3.7761169661539777</v>
      </c>
      <c r="AD8" s="8">
        <v>-1340.5334256185581</v>
      </c>
      <c r="AE8" s="8">
        <v>0.91572877851562484</v>
      </c>
      <c r="AF8" s="8">
        <v>0.86128176265762357</v>
      </c>
      <c r="AG8" s="8">
        <v>7.0917348319444944</v>
      </c>
      <c r="AH8" s="8">
        <v>2575.4454923340822</v>
      </c>
      <c r="AI8" s="14">
        <v>42.924091538901372</v>
      </c>
      <c r="AJ8" s="8">
        <v>2.283909379572461</v>
      </c>
      <c r="AK8" s="8">
        <v>1127.6478460000001</v>
      </c>
      <c r="AL8" s="8">
        <v>1E-3</v>
      </c>
      <c r="AM8" s="8">
        <v>0.33500000000000002</v>
      </c>
      <c r="AN8" s="8">
        <v>0.33400000000000002</v>
      </c>
      <c r="AO8" s="8">
        <v>0.33500000000000002</v>
      </c>
      <c r="AP8" s="8">
        <v>-0.14947683109118098</v>
      </c>
      <c r="AQ8" s="8">
        <v>0.33600000000000002</v>
      </c>
      <c r="AR8" s="8">
        <v>0.33400000000000002</v>
      </c>
      <c r="AS8" s="8">
        <v>0.33600000000000002</v>
      </c>
      <c r="AT8" s="8">
        <v>-0.29850746268656742</v>
      </c>
      <c r="AU8" s="8">
        <v>0.501</v>
      </c>
      <c r="AV8" s="8">
        <v>2659.8638989999999</v>
      </c>
      <c r="AW8" s="14">
        <v>44.331064983333334</v>
      </c>
      <c r="AX8" s="8">
        <v>1545.1462630000001</v>
      </c>
      <c r="AY8" s="8">
        <v>1161.641365</v>
      </c>
      <c r="AZ8" s="8">
        <v>14.168266990468162</v>
      </c>
      <c r="BA8" s="8">
        <v>1093.8636023104477</v>
      </c>
      <c r="BB8" s="14">
        <v>18.231060038507461</v>
      </c>
      <c r="BC8" s="8">
        <v>559.67293064371256</v>
      </c>
      <c r="BD8" s="8">
        <v>535.86230610746259</v>
      </c>
      <c r="BE8" s="8">
        <v>2.1734238879308632</v>
      </c>
      <c r="BF8" s="8">
        <v>2530.3999260000001</v>
      </c>
      <c r="BG8" s="14">
        <v>42.173332100000003</v>
      </c>
      <c r="BH8" s="8">
        <v>1562.548738</v>
      </c>
      <c r="BI8" s="8">
        <v>1190.4772949999999</v>
      </c>
      <c r="BJ8" s="8">
        <v>13.514999078833631</v>
      </c>
      <c r="BK8" s="8">
        <v>25.589832000000001</v>
      </c>
      <c r="BL8" s="8">
        <v>109.176075</v>
      </c>
      <c r="BM8" s="8">
        <v>91.791579999999996</v>
      </c>
      <c r="BN8" s="8">
        <v>8.6503945124900845</v>
      </c>
      <c r="BO8" s="8">
        <v>90.078377999999987</v>
      </c>
      <c r="BP8" s="8">
        <v>53.019106000000001</v>
      </c>
      <c r="BQ8" s="8">
        <v>42.216915</v>
      </c>
      <c r="BR8" s="8">
        <v>11.342547585015129</v>
      </c>
      <c r="BS8" s="8">
        <v>-12.099223687500004</v>
      </c>
      <c r="BT8" s="8">
        <v>-84.509255895209577</v>
      </c>
      <c r="BU8" s="8">
        <v>71.903243901785714</v>
      </c>
      <c r="BV8" s="8">
        <v>1240.77701876367</v>
      </c>
      <c r="BW8" s="8">
        <v>-9.6825454464285716</v>
      </c>
      <c r="BX8" s="8">
        <v>-10.806079395209581</v>
      </c>
      <c r="BY8" s="8">
        <v>1.0336642916666661</v>
      </c>
      <c r="BZ8" s="8">
        <v>121.15473566594441</v>
      </c>
      <c r="CA8" s="8">
        <v>0.90976872581773494</v>
      </c>
      <c r="CB8" s="8">
        <v>0.77625195794492818</v>
      </c>
      <c r="CC8" s="8">
        <v>0.81912226498634189</v>
      </c>
      <c r="CD8" s="8">
        <v>-497.54667140121308</v>
      </c>
      <c r="CE8" s="8">
        <v>-842.98675421734606</v>
      </c>
      <c r="CF8" s="8">
        <v>-25.768852623479894</v>
      </c>
      <c r="CG8" s="8">
        <v>7823.6371797832417</v>
      </c>
      <c r="CH8" s="8">
        <v>5437.0272679314394</v>
      </c>
      <c r="CI8" s="8">
        <v>14421.863151951116</v>
      </c>
      <c r="CJ8" s="8">
        <v>130.39395299638736</v>
      </c>
      <c r="CK8" s="8">
        <v>90.617121132190661</v>
      </c>
      <c r="CL8" s="8">
        <v>240.36438586585194</v>
      </c>
      <c r="CM8" s="8">
        <v>68.901107146460049</v>
      </c>
      <c r="CN8" s="27"/>
    </row>
    <row r="9" spans="1:92" s="19" customFormat="1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5"/>
      <c r="K9" s="14">
        <v>0.28243151999999999</v>
      </c>
      <c r="L9" s="14">
        <v>0.22710313033837196</v>
      </c>
      <c r="M9" s="14">
        <v>2.110867929842807</v>
      </c>
      <c r="N9" s="14">
        <v>378072.22691299982</v>
      </c>
      <c r="O9" s="14">
        <v>183151.47044599999</v>
      </c>
      <c r="P9" s="14">
        <v>183148.42274899999</v>
      </c>
      <c r="Q9" s="14">
        <v>1095.8812336869566</v>
      </c>
      <c r="R9" s="14">
        <v>15.859352151764931</v>
      </c>
      <c r="S9" s="14">
        <v>530.89316788115946</v>
      </c>
      <c r="T9" s="14">
        <v>571.6352178181819</v>
      </c>
      <c r="U9" s="14">
        <v>-3.695328888170029</v>
      </c>
      <c r="V9" s="14">
        <v>1.1879601025312787</v>
      </c>
      <c r="W9" s="14">
        <v>1301.8631827328611</v>
      </c>
      <c r="X9" s="14">
        <v>18.840277608290322</v>
      </c>
      <c r="Y9" s="14">
        <v>1337.0552709999999</v>
      </c>
      <c r="Z9" s="14">
        <v>19.34956976845152</v>
      </c>
      <c r="AA9" s="14">
        <v>640.84590500000002</v>
      </c>
      <c r="AB9" s="14">
        <v>696.51595299999997</v>
      </c>
      <c r="AC9" s="14">
        <v>-4.1626765162312527</v>
      </c>
      <c r="AD9" s="14">
        <v>-1668.0567515516043</v>
      </c>
      <c r="AE9" s="14">
        <v>0.81864208695652174</v>
      </c>
      <c r="AF9" s="14">
        <v>0.65826994300977382</v>
      </c>
      <c r="AG9" s="14">
        <v>6.1184577676603107</v>
      </c>
      <c r="AH9" s="14">
        <v>2614.6197533440854</v>
      </c>
      <c r="AI9" s="14">
        <v>37.838201929726274</v>
      </c>
      <c r="AJ9" s="14">
        <v>2.0335091302233659</v>
      </c>
      <c r="AK9" s="14">
        <v>1285.7674029999998</v>
      </c>
      <c r="AL9" s="14">
        <v>-6.0000000000000001E-3</v>
      </c>
      <c r="AM9" s="14">
        <v>0.38100000000000001</v>
      </c>
      <c r="AN9" s="14">
        <v>0.38100000000000001</v>
      </c>
      <c r="AO9" s="14">
        <v>0.375</v>
      </c>
      <c r="AP9" s="14">
        <v>0.79365079365079427</v>
      </c>
      <c r="AQ9" s="14">
        <v>0.34499999999999997</v>
      </c>
      <c r="AR9" s="14">
        <v>0.34499999999999997</v>
      </c>
      <c r="AS9" s="14">
        <v>0.34100000000000003</v>
      </c>
      <c r="AT9" s="14">
        <v>0.58309037900873883</v>
      </c>
      <c r="AU9" s="14">
        <v>0.48</v>
      </c>
      <c r="AV9" s="14">
        <v>1845.876389</v>
      </c>
      <c r="AW9" s="14">
        <v>26.713117062228658</v>
      </c>
      <c r="AX9" s="14">
        <v>870.12648799999999</v>
      </c>
      <c r="AY9" s="14">
        <v>992.44911200000001</v>
      </c>
      <c r="AZ9" s="14">
        <v>-6.5673910900583055</v>
      </c>
      <c r="BA9" s="14">
        <v>1186.8316408320211</v>
      </c>
      <c r="BB9" s="14">
        <v>17.175566437511161</v>
      </c>
      <c r="BC9" s="14">
        <v>576.82778948818896</v>
      </c>
      <c r="BD9" s="14">
        <v>619.78497634133328</v>
      </c>
      <c r="BE9" s="14">
        <v>-3.5898987608882238</v>
      </c>
      <c r="BF9" s="14">
        <v>4756.7515709999998</v>
      </c>
      <c r="BG9" s="14">
        <v>68.838662387843712</v>
      </c>
      <c r="BH9" s="14">
        <v>2308.6754299999998</v>
      </c>
      <c r="BI9" s="14">
        <v>2504.6296769999999</v>
      </c>
      <c r="BJ9" s="14">
        <v>-4.0710954872780336</v>
      </c>
      <c r="BK9" s="14">
        <v>37.383878999999993</v>
      </c>
      <c r="BL9" s="14">
        <v>110.690907</v>
      </c>
      <c r="BM9" s="14">
        <v>144.08933999999999</v>
      </c>
      <c r="BN9" s="14">
        <v>-13.108721493625053</v>
      </c>
      <c r="BO9" s="14">
        <v>139.31040400000001</v>
      </c>
      <c r="BP9" s="14">
        <v>64.308207999999993</v>
      </c>
      <c r="BQ9" s="14">
        <v>75.849780999999993</v>
      </c>
      <c r="BR9" s="14">
        <v>-8.2346879277784168</v>
      </c>
      <c r="BS9" s="14">
        <v>5.9064839536231855</v>
      </c>
      <c r="BT9" s="14">
        <v>-83.817492663768121</v>
      </c>
      <c r="BU9" s="14">
        <v>90.781058258064519</v>
      </c>
      <c r="BV9" s="14">
        <v>-2507.3153768356819</v>
      </c>
      <c r="BW9" s="14">
        <v>-29.395521223188403</v>
      </c>
      <c r="BX9" s="14">
        <v>-10.148796628985508</v>
      </c>
      <c r="BY9" s="14">
        <v>-19.484497469208215</v>
      </c>
      <c r="BZ9" s="14">
        <v>-31.504094041275543</v>
      </c>
      <c r="CA9" s="14">
        <v>0.88327376709502892</v>
      </c>
      <c r="CB9" s="14">
        <v>0.78549956093376649</v>
      </c>
      <c r="CC9" s="14">
        <v>0.76001101719035269</v>
      </c>
      <c r="CD9" s="14">
        <v>-1100.4988121667807</v>
      </c>
      <c r="CE9" s="14">
        <v>-567.55793938482361</v>
      </c>
      <c r="CF9" s="14">
        <v>31.949804602644516</v>
      </c>
      <c r="CG9" s="14">
        <v>409.78810331912132</v>
      </c>
      <c r="CH9" s="14">
        <v>4470.8585615667389</v>
      </c>
      <c r="CI9" s="14">
        <v>8167.1210465931781</v>
      </c>
      <c r="CJ9" s="14">
        <v>5.9303632897123206</v>
      </c>
      <c r="CK9" s="14">
        <v>64.701281643512871</v>
      </c>
      <c r="CL9" s="14">
        <v>118.19277925605179</v>
      </c>
      <c r="CM9" s="14">
        <v>42.608712408206664</v>
      </c>
      <c r="CN9" s="27"/>
    </row>
    <row r="10" spans="1:92" s="19" customFormat="1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5"/>
      <c r="K10" s="14">
        <v>0.36946676458125</v>
      </c>
      <c r="L10" s="14">
        <v>0.34042148545997181</v>
      </c>
      <c r="M10" s="14">
        <v>2.5843895884182491</v>
      </c>
      <c r="N10" s="14">
        <v>325850.21103100013</v>
      </c>
      <c r="O10" s="14">
        <v>171994.79002000004</v>
      </c>
      <c r="P10" s="14">
        <v>171988.96513200004</v>
      </c>
      <c r="Q10" s="14">
        <v>1522.7204925887852</v>
      </c>
      <c r="R10" s="14">
        <v>21.691175108102353</v>
      </c>
      <c r="S10" s="14">
        <v>811.31506369339638</v>
      </c>
      <c r="T10" s="14">
        <v>719.05017221962612</v>
      </c>
      <c r="U10" s="14">
        <v>6.0289458560998117</v>
      </c>
      <c r="V10" s="14">
        <v>1.6349939944390326</v>
      </c>
      <c r="W10" s="14">
        <v>2489.6388605919092</v>
      </c>
      <c r="X10" s="14">
        <v>35.46494103407278</v>
      </c>
      <c r="Y10" s="14">
        <v>1936.513825</v>
      </c>
      <c r="Z10" s="14">
        <v>27.585667022792023</v>
      </c>
      <c r="AA10" s="14">
        <v>1068.154648</v>
      </c>
      <c r="AB10" s="14">
        <v>868.35917700000005</v>
      </c>
      <c r="AC10" s="14">
        <v>10.317275736464206</v>
      </c>
      <c r="AD10" s="14">
        <v>-2198.6833600410146</v>
      </c>
      <c r="AE10" s="14">
        <v>1.7264802083235982</v>
      </c>
      <c r="AF10" s="14">
        <v>1.5907546049531394</v>
      </c>
      <c r="AG10" s="14">
        <v>12.076586861767518</v>
      </c>
      <c r="AH10" s="14">
        <v>3600.4097708105014</v>
      </c>
      <c r="AI10" s="14">
        <v>51.287888473084067</v>
      </c>
      <c r="AJ10" s="14">
        <v>2.3742849961663595</v>
      </c>
      <c r="AK10" s="14">
        <v>1516.418533</v>
      </c>
      <c r="AL10" s="14">
        <v>-3.0000000000000001E-3</v>
      </c>
      <c r="AM10" s="14">
        <v>0.183</v>
      </c>
      <c r="AN10" s="14">
        <v>0.183</v>
      </c>
      <c r="AO10" s="14">
        <v>0.18</v>
      </c>
      <c r="AP10" s="14">
        <v>0.82644628099173623</v>
      </c>
      <c r="AQ10" s="14">
        <v>0.214</v>
      </c>
      <c r="AR10" s="14">
        <v>0.21199999999999999</v>
      </c>
      <c r="AS10" s="14">
        <v>0.214</v>
      </c>
      <c r="AT10" s="14">
        <v>-0.46948356807511782</v>
      </c>
      <c r="AU10" s="14">
        <v>0.54900000000000004</v>
      </c>
      <c r="AV10" s="14">
        <v>3078.2460170000004</v>
      </c>
      <c r="AW10" s="14">
        <v>43.849658361823366</v>
      </c>
      <c r="AX10" s="14">
        <v>1779.584503</v>
      </c>
      <c r="AY10" s="14">
        <v>1472.8310550000001</v>
      </c>
      <c r="AZ10" s="14">
        <v>9.431557638613409</v>
      </c>
      <c r="BA10" s="14">
        <v>1773.7288392404371</v>
      </c>
      <c r="BB10" s="14">
        <v>25.266792581772606</v>
      </c>
      <c r="BC10" s="14">
        <v>1016.1685793989071</v>
      </c>
      <c r="BD10" s="14">
        <v>770.23435406111105</v>
      </c>
      <c r="BE10" s="14">
        <v>13.767007472466201</v>
      </c>
      <c r="BF10" s="14">
        <v>3543.6419450000003</v>
      </c>
      <c r="BG10" s="14">
        <v>50.479229985754991</v>
      </c>
      <c r="BH10" s="14">
        <v>2007.5125430000001</v>
      </c>
      <c r="BI10" s="14">
        <v>1608.3544010000001</v>
      </c>
      <c r="BJ10" s="14">
        <v>11.03907163017556</v>
      </c>
      <c r="BK10" s="14">
        <v>40.611911999999997</v>
      </c>
      <c r="BL10" s="14">
        <v>183.09625199999999</v>
      </c>
      <c r="BM10" s="14">
        <v>183.078217</v>
      </c>
      <c r="BN10" s="14">
        <v>4.9252478058478674E-3</v>
      </c>
      <c r="BO10" s="14">
        <v>110.54664099999999</v>
      </c>
      <c r="BP10" s="14">
        <v>49.863207000000003</v>
      </c>
      <c r="BQ10" s="14">
        <v>65.642700000000005</v>
      </c>
      <c r="BR10" s="14">
        <v>-13.661200028497245</v>
      </c>
      <c r="BS10" s="14">
        <v>11.026854626168227</v>
      </c>
      <c r="BT10" s="14">
        <v>-133.83377157547167</v>
      </c>
      <c r="BU10" s="14">
        <v>143.5970342990654</v>
      </c>
      <c r="BV10" s="14">
        <v>-2841.5788218430584</v>
      </c>
      <c r="BW10" s="14">
        <v>-53.517223644859818</v>
      </c>
      <c r="BX10" s="14">
        <v>-25.42787054716981</v>
      </c>
      <c r="BY10" s="14">
        <v>-28.440507995327103</v>
      </c>
      <c r="BZ10" s="14">
        <v>-5.5925898081016392</v>
      </c>
      <c r="CA10" s="14">
        <v>0.92759469608693546</v>
      </c>
      <c r="CB10" s="14">
        <v>0.82095385966021184</v>
      </c>
      <c r="CC10" s="14">
        <v>0.77734728392716301</v>
      </c>
      <c r="CD10" s="14">
        <v>-1527.6203469583081</v>
      </c>
      <c r="CE10" s="14">
        <v>-671.06301308270758</v>
      </c>
      <c r="CF10" s="14">
        <v>38.957739410900068</v>
      </c>
      <c r="CG10" s="14">
        <v>5553.347431391564</v>
      </c>
      <c r="CH10" s="14">
        <v>3960.2841529508655</v>
      </c>
      <c r="CI10" s="14">
        <v>11563.187506301492</v>
      </c>
      <c r="CJ10" s="14">
        <v>79.107513267686087</v>
      </c>
      <c r="CK10" s="14">
        <v>56.414304173089249</v>
      </c>
      <c r="CL10" s="14">
        <v>164.71777074503549</v>
      </c>
      <c r="CM10" s="14">
        <v>48.375456989992763</v>
      </c>
      <c r="CN10" s="27"/>
    </row>
    <row r="11" spans="1:92" s="19" customFormat="1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5"/>
      <c r="K11" s="14">
        <v>0.26164632532500004</v>
      </c>
      <c r="L11" s="14">
        <v>0.18747179941838116</v>
      </c>
      <c r="M11" s="14">
        <v>1.9178625353733354</v>
      </c>
      <c r="N11" s="14">
        <v>341261.96278399986</v>
      </c>
      <c r="O11" s="14">
        <v>180227.17812300011</v>
      </c>
      <c r="P11" s="14">
        <v>180223.3730100001</v>
      </c>
      <c r="Q11" s="14">
        <v>1254.6685423345591</v>
      </c>
      <c r="R11" s="14">
        <v>16.751248896322551</v>
      </c>
      <c r="S11" s="14">
        <v>662.62113569852932</v>
      </c>
      <c r="T11" s="14">
        <v>605.48043487218058</v>
      </c>
      <c r="U11" s="14">
        <v>4.5060034742037676</v>
      </c>
      <c r="V11" s="14">
        <v>1.2629067741074465</v>
      </c>
      <c r="W11" s="14">
        <v>1584.5294013738301</v>
      </c>
      <c r="X11" s="14">
        <v>21.155265705925633</v>
      </c>
      <c r="Y11" s="14">
        <v>1603.3770829999999</v>
      </c>
      <c r="Z11" s="14">
        <v>21.40690364485981</v>
      </c>
      <c r="AA11" s="14">
        <v>829.42439300000001</v>
      </c>
      <c r="AB11" s="14">
        <v>773.95268999999996</v>
      </c>
      <c r="AC11" s="14">
        <v>3.459679172675318</v>
      </c>
      <c r="AD11" s="14">
        <v>-2277.472988243303</v>
      </c>
      <c r="AE11" s="14">
        <v>0.96193501957720595</v>
      </c>
      <c r="AF11" s="14">
        <v>0.68923455668522482</v>
      </c>
      <c r="AG11" s="14">
        <v>7.0509652035784383</v>
      </c>
      <c r="AH11" s="14">
        <v>2561.7407716513985</v>
      </c>
      <c r="AI11" s="14">
        <v>34.202146483997311</v>
      </c>
      <c r="AJ11" s="14">
        <v>1.909313219637613</v>
      </c>
      <c r="AK11" s="14">
        <v>1341.7079739999999</v>
      </c>
      <c r="AL11" s="14">
        <v>0.01</v>
      </c>
      <c r="AM11" s="14">
        <v>0.28000000000000003</v>
      </c>
      <c r="AN11" s="14">
        <v>0.27</v>
      </c>
      <c r="AO11" s="14">
        <v>0.28000000000000003</v>
      </c>
      <c r="AP11" s="14">
        <v>-1.8181818181818195</v>
      </c>
      <c r="AQ11" s="14">
        <v>0.27200000000000002</v>
      </c>
      <c r="AR11" s="14">
        <v>0.27200000000000002</v>
      </c>
      <c r="AS11" s="14">
        <v>0.26600000000000001</v>
      </c>
      <c r="AT11" s="14">
        <v>1.1152416356877333</v>
      </c>
      <c r="AU11" s="14">
        <v>0.46200000000000002</v>
      </c>
      <c r="AV11" s="14">
        <v>2133.8566970000002</v>
      </c>
      <c r="AW11" s="14">
        <v>28.489408504672898</v>
      </c>
      <c r="AX11" s="14">
        <v>870.86585200000002</v>
      </c>
      <c r="AY11" s="14">
        <v>1272.5126499999999</v>
      </c>
      <c r="AZ11" s="14">
        <v>-18.738958034020623</v>
      </c>
      <c r="BA11" s="14">
        <v>1486.6951997892859</v>
      </c>
      <c r="BB11" s="14">
        <v>19.849068087974445</v>
      </c>
      <c r="BC11" s="14">
        <v>725.62690525185189</v>
      </c>
      <c r="BD11" s="14">
        <v>787.27175846428565</v>
      </c>
      <c r="BE11" s="14">
        <v>-4.0746187891405317</v>
      </c>
      <c r="BF11" s="14">
        <v>2894.1578280000003</v>
      </c>
      <c r="BG11" s="14">
        <v>38.64029142857143</v>
      </c>
      <c r="BH11" s="14">
        <v>1772.5513309999999</v>
      </c>
      <c r="BI11" s="14">
        <v>1313.322903</v>
      </c>
      <c r="BJ11" s="14">
        <v>14.88163136851934</v>
      </c>
      <c r="BK11" s="14">
        <v>50.674723</v>
      </c>
      <c r="BL11" s="14">
        <v>112.277878</v>
      </c>
      <c r="BM11" s="14">
        <v>149.44535099999999</v>
      </c>
      <c r="BN11" s="14">
        <v>-14.201060082443039</v>
      </c>
      <c r="BO11" s="14">
        <v>76.174386999999996</v>
      </c>
      <c r="BP11" s="14">
        <v>57.130791000000002</v>
      </c>
      <c r="BQ11" s="14">
        <v>33.488599000000001</v>
      </c>
      <c r="BR11" s="14">
        <v>26.089551033172921</v>
      </c>
      <c r="BS11" s="14">
        <v>19.18594419485294</v>
      </c>
      <c r="BT11" s="14">
        <v>-88.331495187500025</v>
      </c>
      <c r="BU11" s="14">
        <v>109.95213620676694</v>
      </c>
      <c r="BV11" s="14">
        <v>-917.10338845906313</v>
      </c>
      <c r="BW11" s="14">
        <v>-24.788659573529412</v>
      </c>
      <c r="BX11" s="14">
        <v>-15.871852205882352</v>
      </c>
      <c r="BY11" s="14">
        <v>-9.1661412481203026</v>
      </c>
      <c r="BZ11" s="14">
        <v>26.782141987859866</v>
      </c>
      <c r="CA11" s="14">
        <v>0.92668640059132423</v>
      </c>
      <c r="CB11" s="14">
        <v>0.83039341062580885</v>
      </c>
      <c r="CC11" s="14">
        <v>0.80882380174102964</v>
      </c>
      <c r="CD11" s="14">
        <v>-1154.1130658373031</v>
      </c>
      <c r="CE11" s="14">
        <v>-1123.3599224060015</v>
      </c>
      <c r="CF11" s="14">
        <v>1.3503186904983933</v>
      </c>
      <c r="CG11" s="14">
        <v>1255.848550604632</v>
      </c>
      <c r="CH11" s="14">
        <v>6100.6591867179577</v>
      </c>
      <c r="CI11" s="14">
        <v>6728.9915582437134</v>
      </c>
      <c r="CJ11" s="14">
        <v>16.767003345856235</v>
      </c>
      <c r="CK11" s="14">
        <v>81.45072345417833</v>
      </c>
      <c r="CL11" s="14">
        <v>89.839673674815927</v>
      </c>
      <c r="CM11" s="14">
        <v>42.805469752686029</v>
      </c>
      <c r="CN11" s="27"/>
    </row>
    <row r="12" spans="1:92" s="19" customFormat="1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5"/>
      <c r="K12" s="14">
        <v>0.35217641480000006</v>
      </c>
      <c r="L12" s="14">
        <v>0.37757778167725109</v>
      </c>
      <c r="M12" s="14">
        <v>2.7217781093446369</v>
      </c>
      <c r="N12" s="14">
        <v>288772.20134000026</v>
      </c>
      <c r="O12" s="14">
        <v>139912.424252</v>
      </c>
      <c r="P12" s="14">
        <v>139911.55863399999</v>
      </c>
      <c r="Q12" s="14">
        <v>1519.869731773684</v>
      </c>
      <c r="R12" s="14">
        <v>23.897322826630251</v>
      </c>
      <c r="S12" s="14">
        <v>768.76642847802191</v>
      </c>
      <c r="T12" s="14">
        <v>783.60652992105258</v>
      </c>
      <c r="U12" s="14">
        <v>-0.95596237764505532</v>
      </c>
      <c r="V12" s="14">
        <v>1.8029139684573472</v>
      </c>
      <c r="W12" s="14">
        <v>2740.1943696502963</v>
      </c>
      <c r="X12" s="14">
        <v>43.084817132866291</v>
      </c>
      <c r="Y12" s="14">
        <v>2163.5942679999998</v>
      </c>
      <c r="Z12" s="14">
        <v>34.018777798742136</v>
      </c>
      <c r="AA12" s="14">
        <v>1081.8061520000001</v>
      </c>
      <c r="AB12" s="14">
        <v>1081.7881159999999</v>
      </c>
      <c r="AC12" s="14">
        <v>8.336128574068485E-4</v>
      </c>
      <c r="AD12" s="14">
        <v>-5871.8618172248143</v>
      </c>
      <c r="AE12" s="14">
        <v>1.8535600778947372</v>
      </c>
      <c r="AF12" s="14">
        <v>1.9872514825118479</v>
      </c>
      <c r="AG12" s="14">
        <v>14.325147943919141</v>
      </c>
      <c r="AH12" s="14">
        <v>3765.768043846258</v>
      </c>
      <c r="AI12" s="14">
        <v>59.210189368651854</v>
      </c>
      <c r="AJ12" s="14">
        <v>2.551574147969534</v>
      </c>
      <c r="AK12" s="14">
        <v>1475.8607139999999</v>
      </c>
      <c r="AL12" s="14">
        <v>6.0000000000000001E-3</v>
      </c>
      <c r="AM12" s="14">
        <v>0.13400000000000001</v>
      </c>
      <c r="AN12" s="14">
        <v>0.128</v>
      </c>
      <c r="AO12" s="14">
        <v>0.13400000000000001</v>
      </c>
      <c r="AP12" s="14">
        <v>-2.2900763358778646</v>
      </c>
      <c r="AQ12" s="14">
        <v>0.19</v>
      </c>
      <c r="AR12" s="14">
        <v>0.182</v>
      </c>
      <c r="AS12" s="14">
        <v>0.19</v>
      </c>
      <c r="AT12" s="14">
        <v>-2.1505376344086042</v>
      </c>
      <c r="AU12" s="14">
        <v>0.53600000000000003</v>
      </c>
      <c r="AV12" s="14">
        <v>2909.73893</v>
      </c>
      <c r="AW12" s="14">
        <v>45.75061210691824</v>
      </c>
      <c r="AX12" s="14">
        <v>1338.4258420000001</v>
      </c>
      <c r="AY12" s="14">
        <v>1610.3020320000001</v>
      </c>
      <c r="AZ12" s="14">
        <v>-9.2201180175773647</v>
      </c>
      <c r="BA12" s="14">
        <v>1966.4220459179105</v>
      </c>
      <c r="BB12" s="14">
        <v>30.918585627640102</v>
      </c>
      <c r="BC12" s="14">
        <v>954.46154114843762</v>
      </c>
      <c r="BD12" s="14">
        <v>1054.8325723656717</v>
      </c>
      <c r="BE12" s="14">
        <v>-4.9953379419249098</v>
      </c>
      <c r="BF12" s="14">
        <v>3708.379829</v>
      </c>
      <c r="BG12" s="14">
        <v>58.307858946540875</v>
      </c>
      <c r="BH12" s="14">
        <v>1902.466179</v>
      </c>
      <c r="BI12" s="14">
        <v>1902.3940580000001</v>
      </c>
      <c r="BJ12" s="14">
        <v>1.8954966939019426E-3</v>
      </c>
      <c r="BK12" s="14">
        <v>35.562470000000005</v>
      </c>
      <c r="BL12" s="14">
        <v>136.208607</v>
      </c>
      <c r="BM12" s="14">
        <v>113.792706</v>
      </c>
      <c r="BN12" s="14">
        <v>8.9663133089225031</v>
      </c>
      <c r="BO12" s="14">
        <v>167.334789</v>
      </c>
      <c r="BP12" s="14">
        <v>76.715401</v>
      </c>
      <c r="BQ12" s="14">
        <v>92.945740000000001</v>
      </c>
      <c r="BR12" s="14">
        <v>-9.566326681723778</v>
      </c>
      <c r="BS12" s="14">
        <v>-17.825467178947367</v>
      </c>
      <c r="BT12" s="14">
        <v>-106.03018489010991</v>
      </c>
      <c r="BU12" s="14">
        <v>83.718648426315767</v>
      </c>
      <c r="BV12" s="14">
        <v>850.45166487901463</v>
      </c>
      <c r="BW12" s="14">
        <v>-108.33171916315787</v>
      </c>
      <c r="BX12" s="14">
        <v>-53.625315571428565</v>
      </c>
      <c r="BY12" s="14">
        <v>-57.138289452631582</v>
      </c>
      <c r="BZ12" s="14">
        <v>-3.1715958328007887</v>
      </c>
      <c r="CA12" s="14">
        <v>0.91426241899238381</v>
      </c>
      <c r="CB12" s="14">
        <v>0.83554564914128515</v>
      </c>
      <c r="CC12" s="14">
        <v>0.83955437776997877</v>
      </c>
      <c r="CD12" s="14">
        <v>-3037.5574141489742</v>
      </c>
      <c r="CE12" s="14">
        <v>-2834.3044030758388</v>
      </c>
      <c r="CF12" s="14">
        <v>3.4614746974614232</v>
      </c>
      <c r="CG12" s="14">
        <v>6733.2018060400987</v>
      </c>
      <c r="CH12" s="14">
        <v>8139.506719092934</v>
      </c>
      <c r="CI12" s="14">
        <v>16041.112401972372</v>
      </c>
      <c r="CJ12" s="14">
        <v>105.86795292515879</v>
      </c>
      <c r="CK12" s="14">
        <v>127.97966539454299</v>
      </c>
      <c r="CL12" s="14">
        <v>252.2187484586851</v>
      </c>
      <c r="CM12" s="14">
        <v>25.643010591331649</v>
      </c>
      <c r="CN12" s="27"/>
    </row>
    <row r="13" spans="1:92" s="19" customFormat="1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5"/>
      <c r="K13" s="3"/>
      <c r="L13" s="3"/>
      <c r="M13" s="8"/>
      <c r="N13" s="8"/>
      <c r="O13" s="8"/>
      <c r="P13" s="8"/>
      <c r="Q13" s="8"/>
      <c r="R13" s="14"/>
      <c r="S13" s="8"/>
      <c r="T13" s="8"/>
      <c r="U13" s="8"/>
      <c r="V13" s="8"/>
      <c r="W13" s="8"/>
      <c r="X13" s="14"/>
      <c r="Y13" s="8"/>
      <c r="Z13" s="14"/>
      <c r="AA13" s="8"/>
      <c r="AB13" s="8"/>
      <c r="AC13" s="8"/>
      <c r="AD13" s="8"/>
      <c r="AE13" s="8"/>
      <c r="AF13" s="8"/>
      <c r="AG13" s="8"/>
      <c r="AH13" s="8"/>
      <c r="AI13" s="14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14"/>
      <c r="AX13" s="8"/>
      <c r="AY13" s="8"/>
      <c r="AZ13" s="8"/>
      <c r="BA13" s="8"/>
      <c r="BB13" s="14"/>
      <c r="BC13" s="8"/>
      <c r="BD13" s="8"/>
      <c r="BE13" s="8"/>
      <c r="BF13" s="8"/>
      <c r="BG13" s="14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27"/>
    </row>
    <row r="14" spans="1:92" s="19" customFormat="1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5"/>
      <c r="K14" s="14">
        <v>0.26619661092500002</v>
      </c>
      <c r="L14" s="14">
        <v>0.19038657665355319</v>
      </c>
      <c r="M14" s="14">
        <v>1.9327143177259059</v>
      </c>
      <c r="N14" s="14">
        <v>320424.69756300008</v>
      </c>
      <c r="O14" s="14">
        <v>149737.27934899999</v>
      </c>
      <c r="P14" s="14">
        <v>149733.546371</v>
      </c>
      <c r="Q14" s="14">
        <v>1297.3286254493926</v>
      </c>
      <c r="R14" s="14">
        <v>17.531467911478277</v>
      </c>
      <c r="S14" s="14">
        <v>648.26571414718615</v>
      </c>
      <c r="T14" s="14">
        <v>691.81594926720652</v>
      </c>
      <c r="U14" s="14">
        <v>-3.2498194930194608</v>
      </c>
      <c r="V14" s="14">
        <v>1.2323312819982164</v>
      </c>
      <c r="W14" s="14">
        <v>1598.7386481730339</v>
      </c>
      <c r="X14" s="14">
        <v>21.60457632666262</v>
      </c>
      <c r="Y14" s="14">
        <v>1590.2846300000001</v>
      </c>
      <c r="Z14" s="14">
        <v>21.49033283783784</v>
      </c>
      <c r="AA14" s="14">
        <v>767.11792800000001</v>
      </c>
      <c r="AB14" s="14">
        <v>827.33246599999995</v>
      </c>
      <c r="AC14" s="14">
        <v>-3.7765074552705058</v>
      </c>
      <c r="AD14" s="14">
        <v>-2402.7436650033842</v>
      </c>
      <c r="AE14" s="14">
        <v>1.0777190725708503</v>
      </c>
      <c r="AF14" s="14">
        <v>0.77079585689697649</v>
      </c>
      <c r="AG14" s="14">
        <v>7.8247543227769469</v>
      </c>
      <c r="AH14" s="14">
        <v>2677.6390089270321</v>
      </c>
      <c r="AI14" s="14">
        <v>36.184310931446383</v>
      </c>
      <c r="AJ14" s="14">
        <v>1.9027071975561602</v>
      </c>
      <c r="AK14" s="14">
        <v>1407.2785410000001</v>
      </c>
      <c r="AL14" s="14">
        <v>1.4E-2</v>
      </c>
      <c r="AM14" s="14">
        <v>0.26400000000000001</v>
      </c>
      <c r="AN14" s="14">
        <v>0.25</v>
      </c>
      <c r="AO14" s="14">
        <v>0.26400000000000001</v>
      </c>
      <c r="AP14" s="14">
        <v>-2.7237354085603136</v>
      </c>
      <c r="AQ14" s="14">
        <v>0.247</v>
      </c>
      <c r="AR14" s="14">
        <v>0.23100000000000001</v>
      </c>
      <c r="AS14" s="14">
        <v>0.247</v>
      </c>
      <c r="AT14" s="14">
        <v>-3.3472803347280311</v>
      </c>
      <c r="AU14" s="14">
        <v>0.46600000000000003</v>
      </c>
      <c r="AV14" s="14">
        <v>2561.1293640000004</v>
      </c>
      <c r="AW14" s="14">
        <v>34.609856270270278</v>
      </c>
      <c r="AX14" s="14">
        <v>1305.1356350000001</v>
      </c>
      <c r="AY14" s="14">
        <v>0.95578700000000005</v>
      </c>
      <c r="AZ14" s="14">
        <v>99.853641638877548</v>
      </c>
      <c r="BA14" s="14">
        <v>1511.498289712121</v>
      </c>
      <c r="BB14" s="14">
        <v>20.425652563677311</v>
      </c>
      <c r="BC14" s="14">
        <v>686.28709277599989</v>
      </c>
      <c r="BD14" s="14">
        <v>862.20681124621206</v>
      </c>
      <c r="BE14" s="14">
        <v>-11.360698160532683</v>
      </c>
      <c r="BF14" s="14">
        <v>2683.5782769999996</v>
      </c>
      <c r="BG14" s="14">
        <v>36.264571310810808</v>
      </c>
      <c r="BH14" s="14">
        <v>1308.2374110000001</v>
      </c>
      <c r="BI14" s="14">
        <v>1404.3570400000001</v>
      </c>
      <c r="BJ14" s="14">
        <v>-3.5434574071537108</v>
      </c>
      <c r="BK14" s="14">
        <v>42.884159000000004</v>
      </c>
      <c r="BL14" s="14">
        <v>176.89265399999999</v>
      </c>
      <c r="BM14" s="14">
        <v>153.520973</v>
      </c>
      <c r="BN14" s="14">
        <v>7.0734615918247199</v>
      </c>
      <c r="BO14" s="14">
        <v>136.262709</v>
      </c>
      <c r="BP14" s="14">
        <v>84.217421999999999</v>
      </c>
      <c r="BQ14" s="14">
        <v>53.740454</v>
      </c>
      <c r="BR14" s="14">
        <v>22.09150277146917</v>
      </c>
      <c r="BS14" s="14">
        <v>-15.076181259109317</v>
      </c>
      <c r="BT14" s="14">
        <v>-149.11090658008658</v>
      </c>
      <c r="BU14" s="14">
        <v>124.30679687854254</v>
      </c>
      <c r="BV14" s="14">
        <v>1102.3080721240688</v>
      </c>
      <c r="BW14" s="14">
        <v>-32.255151056680155</v>
      </c>
      <c r="BX14" s="14">
        <v>-31.469369445887438</v>
      </c>
      <c r="BY14" s="14">
        <v>-3.8763713238866391</v>
      </c>
      <c r="BZ14" s="14">
        <v>78.065977741784849</v>
      </c>
      <c r="CA14" s="14">
        <v>0.89875456144954413</v>
      </c>
      <c r="CB14" s="14">
        <v>0.74605819430687281</v>
      </c>
      <c r="CC14" s="14">
        <v>0.79966880879317148</v>
      </c>
      <c r="CD14" s="14">
        <v>-1842.5927138345594</v>
      </c>
      <c r="CE14" s="14">
        <v>-560.15095116882708</v>
      </c>
      <c r="CF14" s="14">
        <v>53.374056556462705</v>
      </c>
      <c r="CG14" s="14">
        <v>2934.500222149034</v>
      </c>
      <c r="CH14" s="14">
        <v>2.7036811641588283</v>
      </c>
      <c r="CI14" s="14">
        <v>7427.9025563944806</v>
      </c>
      <c r="CJ14" s="14">
        <v>39.65540840741938</v>
      </c>
      <c r="CK14" s="14">
        <v>3.6536231948092274E-2</v>
      </c>
      <c r="CL14" s="14">
        <v>100.37706157289838</v>
      </c>
      <c r="CM14" s="14">
        <v>51.788845797638515</v>
      </c>
      <c r="CN14" s="27"/>
    </row>
    <row r="15" spans="1:92" s="19" customFormat="1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5"/>
      <c r="K15" s="14">
        <v>0.31261761453124998</v>
      </c>
      <c r="L15" s="14">
        <v>0.25033918083098483</v>
      </c>
      <c r="M15" s="14">
        <v>2.2162253332871913</v>
      </c>
      <c r="N15" s="14">
        <v>245649.3102310001</v>
      </c>
      <c r="O15" s="14">
        <v>118376.13561399996</v>
      </c>
      <c r="P15" s="14">
        <v>118372.60100699996</v>
      </c>
      <c r="Q15" s="14">
        <v>1335.0998977554345</v>
      </c>
      <c r="R15" s="14">
        <v>21.638572086797964</v>
      </c>
      <c r="S15" s="14">
        <v>650.45449405494514</v>
      </c>
      <c r="T15" s="14">
        <v>691.77916927173897</v>
      </c>
      <c r="U15" s="14">
        <v>-3.0787988966371107</v>
      </c>
      <c r="V15" s="14">
        <v>1.4890233503425763</v>
      </c>
      <c r="W15" s="14">
        <v>1987.9949227978282</v>
      </c>
      <c r="X15" s="14">
        <v>32.220339105313258</v>
      </c>
      <c r="Y15" s="14">
        <v>1862.8461159999999</v>
      </c>
      <c r="Z15" s="14">
        <v>30.191995397082657</v>
      </c>
      <c r="AA15" s="14">
        <v>925.27355999999997</v>
      </c>
      <c r="AB15" s="14">
        <v>937.57255599999996</v>
      </c>
      <c r="AC15" s="14">
        <v>-0.66022608600698762</v>
      </c>
      <c r="AD15" s="14">
        <v>-3601.6869985782541</v>
      </c>
      <c r="AE15" s="14">
        <v>1.6990087746263587</v>
      </c>
      <c r="AF15" s="14">
        <v>1.3605390262553523</v>
      </c>
      <c r="AG15" s="14">
        <v>12.044702898299953</v>
      </c>
      <c r="AH15" s="14">
        <v>2715.785307745341</v>
      </c>
      <c r="AI15" s="14">
        <v>44.015969331366954</v>
      </c>
      <c r="AJ15" s="14">
        <v>2.0302654027150853</v>
      </c>
      <c r="AK15" s="14">
        <v>1337.65039</v>
      </c>
      <c r="AL15" s="14">
        <v>-0.01</v>
      </c>
      <c r="AM15" s="14">
        <v>0.153</v>
      </c>
      <c r="AN15" s="14">
        <v>0.153</v>
      </c>
      <c r="AO15" s="14">
        <v>0.14299999999999999</v>
      </c>
      <c r="AP15" s="14">
        <v>3.3783783783783812</v>
      </c>
      <c r="AQ15" s="14">
        <v>0.184</v>
      </c>
      <c r="AR15" s="14">
        <v>0.182</v>
      </c>
      <c r="AS15" s="14">
        <v>0.184</v>
      </c>
      <c r="AT15" s="14">
        <v>-0.54644808743169448</v>
      </c>
      <c r="AU15" s="14">
        <v>0.505</v>
      </c>
      <c r="AV15" s="14">
        <v>3046.8853300000001</v>
      </c>
      <c r="AW15" s="14">
        <v>49.382258184764993</v>
      </c>
      <c r="AX15" s="14">
        <v>1576.6691740000001</v>
      </c>
      <c r="AY15" s="14">
        <v>1472.7769470000001</v>
      </c>
      <c r="AZ15" s="14">
        <v>3.4069212203667605</v>
      </c>
      <c r="BA15" s="14">
        <v>1741.5539736666665</v>
      </c>
      <c r="BB15" s="14">
        <v>28.22615840626688</v>
      </c>
      <c r="BC15" s="14">
        <v>908.18667867973852</v>
      </c>
      <c r="BD15" s="14">
        <v>891.76932472727265</v>
      </c>
      <c r="BE15" s="14">
        <v>0.91209751357203217</v>
      </c>
      <c r="BF15" s="14">
        <v>2485.4419330000001</v>
      </c>
      <c r="BG15" s="14">
        <v>40.282689351701784</v>
      </c>
      <c r="BH15" s="14">
        <v>1375.160484</v>
      </c>
      <c r="BI15" s="14">
        <v>1115.1505279999999</v>
      </c>
      <c r="BJ15" s="14">
        <v>10.440862797742795</v>
      </c>
      <c r="BK15" s="14">
        <v>48.691012999999998</v>
      </c>
      <c r="BL15" s="14">
        <v>124.57686200000001</v>
      </c>
      <c r="BM15" s="14">
        <v>128.36394100000001</v>
      </c>
      <c r="BN15" s="14">
        <v>-1.4972194897317557</v>
      </c>
      <c r="BO15" s="14">
        <v>94.983548000000013</v>
      </c>
      <c r="BP15" s="14">
        <v>33.272193000000001</v>
      </c>
      <c r="BQ15" s="14">
        <v>75.777648999999997</v>
      </c>
      <c r="BR15" s="14">
        <v>-38.978007872767016</v>
      </c>
      <c r="BS15" s="14">
        <v>21.221167456521737</v>
      </c>
      <c r="BT15" s="14">
        <v>-77.565461137362632</v>
      </c>
      <c r="BU15" s="14">
        <v>97.936861119565194</v>
      </c>
      <c r="BV15" s="14">
        <v>-861.51330988667996</v>
      </c>
      <c r="BW15" s="14">
        <v>-38.867740244565212</v>
      </c>
      <c r="BX15" s="14">
        <v>-10.485809313186813</v>
      </c>
      <c r="BY15" s="14">
        <v>-28.596758679347825</v>
      </c>
      <c r="BZ15" s="14">
        <v>-46.340223522723683</v>
      </c>
      <c r="CA15" s="14">
        <v>0.92839617221647008</v>
      </c>
      <c r="CB15" s="14">
        <v>0.85426483316480284</v>
      </c>
      <c r="CC15" s="14">
        <v>0.82119728417554361</v>
      </c>
      <c r="CD15" s="14">
        <v>-2351.1568395898739</v>
      </c>
      <c r="CE15" s="14">
        <v>-1250.5301589883757</v>
      </c>
      <c r="CF15" s="14">
        <v>30.558643242346317</v>
      </c>
      <c r="CG15" s="14">
        <v>5515.2331345678022</v>
      </c>
      <c r="CH15" s="14">
        <v>4733.7263469428417</v>
      </c>
      <c r="CI15" s="14">
        <v>13197.433146651967</v>
      </c>
      <c r="CJ15" s="14">
        <v>89.387895211795822</v>
      </c>
      <c r="CK15" s="14">
        <v>76.721658783514442</v>
      </c>
      <c r="CL15" s="14">
        <v>213.89680950813559</v>
      </c>
      <c r="CM15" s="14">
        <v>51.516083705060211</v>
      </c>
      <c r="CN15" s="27"/>
    </row>
    <row r="16" spans="1:92" s="19" customFormat="1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5"/>
      <c r="K16" s="14">
        <v>0.42382379969999989</v>
      </c>
      <c r="L16" s="14">
        <v>0.42343871454412285</v>
      </c>
      <c r="M16" s="14">
        <v>2.8823371730863983</v>
      </c>
      <c r="N16" s="14">
        <v>378344.26504499972</v>
      </c>
      <c r="O16" s="14">
        <v>189452.62905199992</v>
      </c>
      <c r="P16" s="14">
        <v>189449.94202899991</v>
      </c>
      <c r="Q16" s="14">
        <v>1727.6193114292239</v>
      </c>
      <c r="R16" s="14">
        <v>22.731833045121366</v>
      </c>
      <c r="S16" s="14">
        <v>865.09046178538813</v>
      </c>
      <c r="T16" s="14">
        <v>882.70970747196259</v>
      </c>
      <c r="U16" s="14">
        <v>-1.0080812438678826</v>
      </c>
      <c r="V16" s="14">
        <v>1.9611027818798286</v>
      </c>
      <c r="W16" s="14">
        <v>3388.0390376731648</v>
      </c>
      <c r="X16" s="14">
        <v>44.579461022015323</v>
      </c>
      <c r="Y16" s="14">
        <v>2474.4052430000002</v>
      </c>
      <c r="Z16" s="14">
        <v>32.55796372368421</v>
      </c>
      <c r="AA16" s="14">
        <v>1232.4958039999999</v>
      </c>
      <c r="AB16" s="14">
        <v>1241.909439</v>
      </c>
      <c r="AC16" s="14">
        <v>-0.3804403109244508</v>
      </c>
      <c r="AD16" s="14">
        <v>-4962.9495039371768</v>
      </c>
      <c r="AE16" s="14">
        <v>1.9352684917808214</v>
      </c>
      <c r="AF16" s="14">
        <v>1.9335101120736202</v>
      </c>
      <c r="AG16" s="14">
        <v>13.161356954732412</v>
      </c>
      <c r="AH16" s="14">
        <v>4599.8885275396688</v>
      </c>
      <c r="AI16" s="14">
        <v>60.524849046574587</v>
      </c>
      <c r="AJ16" s="14">
        <v>2.6922482834840045</v>
      </c>
      <c r="AK16" s="14">
        <v>1708.567726</v>
      </c>
      <c r="AL16" s="14">
        <v>6.0000000000000001E-3</v>
      </c>
      <c r="AM16" s="14">
        <v>0.17</v>
      </c>
      <c r="AN16" s="14">
        <v>0.16400000000000001</v>
      </c>
      <c r="AO16" s="14">
        <v>0.17</v>
      </c>
      <c r="AP16" s="14">
        <v>-1.7964071856287438</v>
      </c>
      <c r="AQ16" s="14">
        <v>0.219</v>
      </c>
      <c r="AR16" s="14">
        <v>0.219</v>
      </c>
      <c r="AS16" s="14">
        <v>0.214</v>
      </c>
      <c r="AT16" s="14">
        <v>1.1547344110854514</v>
      </c>
      <c r="AU16" s="14">
        <v>0.58799999999999997</v>
      </c>
      <c r="AV16" s="14">
        <v>2894.735009</v>
      </c>
      <c r="AW16" s="14">
        <v>38.088618539473686</v>
      </c>
      <c r="AX16" s="14">
        <v>1420.9120330000001</v>
      </c>
      <c r="AY16" s="14">
        <v>1592.574936</v>
      </c>
      <c r="AZ16" s="14">
        <v>-5.6964873173805293</v>
      </c>
      <c r="BA16" s="14">
        <v>2010.6113546352942</v>
      </c>
      <c r="BB16" s="14">
        <v>26.455412560990712</v>
      </c>
      <c r="BC16" s="14">
        <v>935.99833950609764</v>
      </c>
      <c r="BD16" s="14">
        <v>1106.7911190470591</v>
      </c>
      <c r="BE16" s="14">
        <v>-8.3607627220638072</v>
      </c>
      <c r="BF16" s="14">
        <v>4433.1906209999997</v>
      </c>
      <c r="BG16" s="14">
        <v>58.33145553947368</v>
      </c>
      <c r="BH16" s="14">
        <v>2060.3693389999999</v>
      </c>
      <c r="BI16" s="14">
        <v>2418.1761320000001</v>
      </c>
      <c r="BJ16" s="14">
        <v>-7.9893526886555586</v>
      </c>
      <c r="BK16" s="14">
        <v>18.448484999999998</v>
      </c>
      <c r="BL16" s="14">
        <v>164.34118699999999</v>
      </c>
      <c r="BM16" s="14">
        <v>166.05439799999999</v>
      </c>
      <c r="BN16" s="14">
        <v>-0.51853326066690664</v>
      </c>
      <c r="BO16" s="14">
        <v>161.004955</v>
      </c>
      <c r="BP16" s="14">
        <v>81.855007000000001</v>
      </c>
      <c r="BQ16" s="14">
        <v>84.704329999999999</v>
      </c>
      <c r="BR16" s="14">
        <v>-1.7106954502346501</v>
      </c>
      <c r="BS16" s="14">
        <v>3.0798115707762568</v>
      </c>
      <c r="BT16" s="14">
        <v>-133.80757071689499</v>
      </c>
      <c r="BU16" s="14">
        <v>140.09301707476635</v>
      </c>
      <c r="BV16" s="14">
        <v>-4357.6950974794536</v>
      </c>
      <c r="BW16" s="14">
        <v>-72.305457648401827</v>
      </c>
      <c r="BX16" s="14">
        <v>-28.747379621004569</v>
      </c>
      <c r="BY16" s="14">
        <v>-44.604020471962627</v>
      </c>
      <c r="BZ16" s="14">
        <v>-21.617366309110665</v>
      </c>
      <c r="CA16" s="14">
        <v>0.93238018243038456</v>
      </c>
      <c r="CB16" s="14">
        <v>0.83350407364549761</v>
      </c>
      <c r="CC16" s="14">
        <v>0.83200638055812437</v>
      </c>
      <c r="CD16" s="14">
        <v>-2605.0248291319476</v>
      </c>
      <c r="CE16" s="14">
        <v>-2357.9246748052242</v>
      </c>
      <c r="CF16" s="14">
        <v>4.9788972088209977</v>
      </c>
      <c r="CG16" s="14">
        <v>3170.4720533043992</v>
      </c>
      <c r="CH16" s="14">
        <v>4660.1921802548713</v>
      </c>
      <c r="CI16" s="14">
        <v>9827.4136832014428</v>
      </c>
      <c r="CJ16" s="14">
        <v>41.716737543478935</v>
      </c>
      <c r="CK16" s="14">
        <v>61.318318161248307</v>
      </c>
      <c r="CL16" s="14">
        <v>129.30807477896636</v>
      </c>
      <c r="CM16" s="14">
        <v>21.968877290073209</v>
      </c>
      <c r="CN16" s="27"/>
    </row>
    <row r="17" spans="1:92" s="19" customFormat="1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5"/>
      <c r="K17" s="3"/>
      <c r="L17" s="3"/>
      <c r="M17" s="8"/>
      <c r="N17" s="8"/>
      <c r="O17" s="8"/>
      <c r="P17" s="8"/>
      <c r="Q17" s="8"/>
      <c r="R17" s="14"/>
      <c r="S17" s="8"/>
      <c r="T17" s="8"/>
      <c r="U17" s="8"/>
      <c r="V17" s="8"/>
      <c r="W17" s="8"/>
      <c r="X17" s="14"/>
      <c r="Y17" s="8"/>
      <c r="Z17" s="14"/>
      <c r="AA17" s="8"/>
      <c r="AB17" s="8"/>
      <c r="AC17" s="8"/>
      <c r="AD17" s="8"/>
      <c r="AE17" s="8"/>
      <c r="AF17" s="8"/>
      <c r="AG17" s="8"/>
      <c r="AH17" s="8"/>
      <c r="AI17" s="14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14"/>
      <c r="AX17" s="8"/>
      <c r="AY17" s="8"/>
      <c r="AZ17" s="8"/>
      <c r="BA17" s="8"/>
      <c r="BB17" s="14"/>
      <c r="BC17" s="8"/>
      <c r="BD17" s="8"/>
      <c r="BE17" s="8"/>
      <c r="BF17" s="8"/>
      <c r="BG17" s="14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27"/>
    </row>
    <row r="18" spans="1:92" s="19" customFormat="1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5"/>
      <c r="K18" s="3"/>
      <c r="L18" s="3"/>
      <c r="M18" s="8"/>
      <c r="N18" s="8"/>
      <c r="O18" s="8"/>
      <c r="P18" s="8"/>
      <c r="Q18" s="8"/>
      <c r="R18" s="14"/>
      <c r="S18" s="8"/>
      <c r="T18" s="8"/>
      <c r="U18" s="8"/>
      <c r="V18" s="8"/>
      <c r="W18" s="8"/>
      <c r="X18" s="14"/>
      <c r="Y18" s="8"/>
      <c r="Z18" s="14"/>
      <c r="AA18" s="8"/>
      <c r="AB18" s="8"/>
      <c r="AC18" s="8"/>
      <c r="AD18" s="8"/>
      <c r="AE18" s="8"/>
      <c r="AF18" s="8"/>
      <c r="AG18" s="8"/>
      <c r="AH18" s="8"/>
      <c r="AI18" s="14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14"/>
      <c r="AX18" s="8"/>
      <c r="AY18" s="8"/>
      <c r="AZ18" s="8"/>
      <c r="BA18" s="8"/>
      <c r="BB18" s="14"/>
      <c r="BC18" s="8"/>
      <c r="BD18" s="8"/>
      <c r="BE18" s="8"/>
      <c r="BF18" s="8"/>
      <c r="BG18" s="14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27"/>
    </row>
    <row r="19" spans="1:92" s="19" customFormat="1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5"/>
      <c r="K19" s="14">
        <v>0.38855050548124992</v>
      </c>
      <c r="L19" s="14">
        <v>0.42077130685021907</v>
      </c>
      <c r="M19" s="14">
        <v>2.8732443405323709</v>
      </c>
      <c r="N19" s="14">
        <v>468668.15452300006</v>
      </c>
      <c r="O19" s="14">
        <v>229919.37124699983</v>
      </c>
      <c r="P19" s="14">
        <v>229914.37590899982</v>
      </c>
      <c r="Q19" s="14">
        <v>2415.8416293659793</v>
      </c>
      <c r="R19" s="14">
        <v>24.402440700666457</v>
      </c>
      <c r="S19" s="14">
        <v>1185.1832825257732</v>
      </c>
      <c r="T19" s="14">
        <v>1237.0606975388603</v>
      </c>
      <c r="U19" s="14">
        <v>-2.1417089046373783</v>
      </c>
      <c r="V19" s="14">
        <v>1.9809598265795785</v>
      </c>
      <c r="W19" s="14">
        <v>4785.6852151525563</v>
      </c>
      <c r="X19" s="14">
        <v>48.34025469851067</v>
      </c>
      <c r="Y19" s="14">
        <v>3684.4851840000001</v>
      </c>
      <c r="Z19" s="14">
        <v>37.217022060606062</v>
      </c>
      <c r="AA19" s="14">
        <v>1808.4744720000001</v>
      </c>
      <c r="AB19" s="14">
        <v>1876.010712</v>
      </c>
      <c r="AC19" s="14">
        <v>-1.8329898649960183</v>
      </c>
      <c r="AD19" s="14">
        <v>-9157.970715980864</v>
      </c>
      <c r="AE19" s="14">
        <v>2.0028376571198447</v>
      </c>
      <c r="AF19" s="14">
        <v>2.168924262114531</v>
      </c>
      <c r="AG19" s="14">
        <v>14.810537837795726</v>
      </c>
      <c r="AH19" s="14">
        <v>6235.9273861610418</v>
      </c>
      <c r="AI19" s="14">
        <v>62.989165516778201</v>
      </c>
      <c r="AJ19" s="14">
        <v>2.5974072502048067</v>
      </c>
      <c r="AK19" s="14">
        <v>2400.8277429999998</v>
      </c>
      <c r="AL19" s="14">
        <v>-8.9999999999999993E-3</v>
      </c>
      <c r="AM19" s="14">
        <v>0.153</v>
      </c>
      <c r="AN19" s="14">
        <v>0.153</v>
      </c>
      <c r="AO19" s="14">
        <v>0.14399999999999999</v>
      </c>
      <c r="AP19" s="14">
        <v>3.0303030303030329</v>
      </c>
      <c r="AQ19" s="14">
        <v>0.19400000000000001</v>
      </c>
      <c r="AR19" s="14">
        <v>0.19400000000000001</v>
      </c>
      <c r="AS19" s="14">
        <v>0.193</v>
      </c>
      <c r="AT19" s="14">
        <v>0.25839793281653767</v>
      </c>
      <c r="AU19" s="14">
        <v>0.56299999999999994</v>
      </c>
      <c r="AV19" s="14">
        <v>4245.8205109999999</v>
      </c>
      <c r="AW19" s="14">
        <v>42.887075868686871</v>
      </c>
      <c r="AX19" s="14">
        <v>1924.954254</v>
      </c>
      <c r="AY19" s="14">
        <v>2320.8662570000001</v>
      </c>
      <c r="AZ19" s="14">
        <v>-9.3247465825340008</v>
      </c>
      <c r="BA19" s="14">
        <v>2794.0973149934639</v>
      </c>
      <c r="BB19" s="14">
        <v>28.22320520195418</v>
      </c>
      <c r="BC19" s="14">
        <v>1403.5085555947712</v>
      </c>
      <c r="BD19" s="14">
        <v>1477.5571626666665</v>
      </c>
      <c r="BE19" s="14">
        <v>-2.5701811174435645</v>
      </c>
      <c r="BF19" s="14">
        <v>4790.0597680000001</v>
      </c>
      <c r="BG19" s="14">
        <v>48.384442101010102</v>
      </c>
      <c r="BH19" s="14">
        <v>2075.7340389999999</v>
      </c>
      <c r="BI19" s="14">
        <v>2818.1637420000002</v>
      </c>
      <c r="BJ19" s="14">
        <v>-15.170519210319409</v>
      </c>
      <c r="BK19" s="14">
        <v>65.354168000000001</v>
      </c>
      <c r="BL19" s="14">
        <v>168.84962100000001</v>
      </c>
      <c r="BM19" s="14">
        <v>121.16849499999999</v>
      </c>
      <c r="BN19" s="14">
        <v>16.440740550152398</v>
      </c>
      <c r="BO19" s="14">
        <v>216.35041100000001</v>
      </c>
      <c r="BP19" s="14">
        <v>86.940513999999993</v>
      </c>
      <c r="BQ19" s="14">
        <v>135.79383100000001</v>
      </c>
      <c r="BR19" s="14">
        <v>-21.933445872480966</v>
      </c>
      <c r="BS19" s="14">
        <v>-10.467917525773194</v>
      </c>
      <c r="BT19" s="14">
        <v>-98.642717005154609</v>
      </c>
      <c r="BU19" s="14">
        <v>88.632784989637329</v>
      </c>
      <c r="BV19" s="14">
        <v>1870.8968423010231</v>
      </c>
      <c r="BW19" s="14">
        <v>-121.64647967010309</v>
      </c>
      <c r="BX19" s="14">
        <v>-53.276504252577332</v>
      </c>
      <c r="BY19" s="14">
        <v>-68.728989378238353</v>
      </c>
      <c r="BZ19" s="14">
        <v>-12.665401094494724</v>
      </c>
      <c r="CA19" s="14">
        <v>0.92897349954659758</v>
      </c>
      <c r="CB19" s="14">
        <v>0.87608655686262027</v>
      </c>
      <c r="CC19" s="14">
        <v>0.87952856345481845</v>
      </c>
      <c r="CD19" s="14">
        <v>-4423.4306960902295</v>
      </c>
      <c r="CE19" s="14">
        <v>-4734.54001989064</v>
      </c>
      <c r="CF19" s="14">
        <v>-3.3971425924906873</v>
      </c>
      <c r="CG19" s="14">
        <v>4997.4575713489367</v>
      </c>
      <c r="CH19" s="14">
        <v>6632.6162831585561</v>
      </c>
      <c r="CI19" s="14">
        <v>15463.951714939258</v>
      </c>
      <c r="CJ19" s="14">
        <v>50.479369407565017</v>
      </c>
      <c r="CK19" s="14">
        <v>66.996124072308646</v>
      </c>
      <c r="CL19" s="14">
        <v>156.20153247413393</v>
      </c>
      <c r="CM19" s="14">
        <v>46.3</v>
      </c>
      <c r="CN19" s="27"/>
    </row>
    <row r="20" spans="1:92" s="19" customFormat="1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5"/>
      <c r="K20" s="14">
        <v>0.4109488940812499</v>
      </c>
      <c r="L20" s="14">
        <v>0.39066055613178102</v>
      </c>
      <c r="M20" s="14">
        <v>2.7685303161254247</v>
      </c>
      <c r="N20" s="14">
        <v>594471.22072599991</v>
      </c>
      <c r="O20" s="14">
        <v>288669.31875299994</v>
      </c>
      <c r="P20" s="14">
        <v>288667.01043799997</v>
      </c>
      <c r="Q20" s="14">
        <v>1655.9650042200556</v>
      </c>
      <c r="R20" s="14">
        <v>17.431210570737427</v>
      </c>
      <c r="S20" s="14">
        <v>820.09225753409078</v>
      </c>
      <c r="T20" s="14">
        <v>852.169675178273</v>
      </c>
      <c r="U20" s="14">
        <v>-1.9182053371360017</v>
      </c>
      <c r="V20" s="14">
        <v>1.5093332572206604</v>
      </c>
      <c r="W20" s="14">
        <v>2499.4030536628811</v>
      </c>
      <c r="X20" s="14">
        <v>26.309505828030328</v>
      </c>
      <c r="Y20" s="14">
        <v>2235.0618589999999</v>
      </c>
      <c r="Z20" s="14">
        <v>23.526966936842104</v>
      </c>
      <c r="AA20" s="14">
        <v>1106.638565</v>
      </c>
      <c r="AB20" s="14">
        <v>1128.910202</v>
      </c>
      <c r="AC20" s="14">
        <v>-0.99624921311323167</v>
      </c>
      <c r="AD20" s="14">
        <v>-4096.6122935065014</v>
      </c>
      <c r="AE20" s="14">
        <v>1.1447044403377435</v>
      </c>
      <c r="AF20" s="14">
        <v>1.0881909641553789</v>
      </c>
      <c r="AG20" s="14">
        <v>7.7117836103772275</v>
      </c>
      <c r="AH20" s="14">
        <v>5635.1811208308982</v>
      </c>
      <c r="AI20" s="14">
        <v>59.317696008746296</v>
      </c>
      <c r="AJ20" s="14">
        <v>2.6201611602172834</v>
      </c>
      <c r="AK20" s="14">
        <v>2150.7001959999998</v>
      </c>
      <c r="AL20" s="14">
        <v>1.4999999999999999E-2</v>
      </c>
      <c r="AM20" s="14">
        <v>0.30399999999999999</v>
      </c>
      <c r="AN20" s="14">
        <v>0.28899999999999998</v>
      </c>
      <c r="AO20" s="14">
        <v>0.30399999999999999</v>
      </c>
      <c r="AP20" s="14">
        <v>-2.5295109612141675</v>
      </c>
      <c r="AQ20" s="14">
        <v>0.35899999999999999</v>
      </c>
      <c r="AR20" s="14">
        <v>0.35199999999999998</v>
      </c>
      <c r="AS20" s="14">
        <v>0.35899999999999999</v>
      </c>
      <c r="AT20" s="14">
        <v>-0.98452883263009938</v>
      </c>
      <c r="AU20" s="14">
        <v>0.57899999999999996</v>
      </c>
      <c r="AV20" s="14">
        <v>3043.7474830000001</v>
      </c>
      <c r="AW20" s="14">
        <v>32.039447189473684</v>
      </c>
      <c r="AX20" s="14">
        <v>1485.5628509999999</v>
      </c>
      <c r="AY20" s="14">
        <v>1590.3567499999999</v>
      </c>
      <c r="AZ20" s="14">
        <v>-3.406912812868415</v>
      </c>
      <c r="BA20" s="14">
        <v>1809.9633261381578</v>
      </c>
      <c r="BB20" s="14">
        <v>19.052245538296397</v>
      </c>
      <c r="BC20" s="14">
        <v>848.09402714878888</v>
      </c>
      <c r="BD20" s="14">
        <v>1004.7034486480267</v>
      </c>
      <c r="BE20" s="14">
        <v>-8.4525925550436227</v>
      </c>
      <c r="BF20" s="14">
        <v>6019.3636779999997</v>
      </c>
      <c r="BG20" s="14">
        <v>63.361722926315785</v>
      </c>
      <c r="BH20" s="14">
        <v>3172.6344600000002</v>
      </c>
      <c r="BI20" s="14">
        <v>2906.1323090000001</v>
      </c>
      <c r="BJ20" s="14">
        <v>4.3841483170416433</v>
      </c>
      <c r="BK20" s="14">
        <v>40.954554000000002</v>
      </c>
      <c r="BL20" s="14">
        <v>255.15895800000001</v>
      </c>
      <c r="BM20" s="14">
        <v>238.27941100000001</v>
      </c>
      <c r="BN20" s="14">
        <v>3.4208014739931993</v>
      </c>
      <c r="BO20" s="14">
        <v>451.00503500000002</v>
      </c>
      <c r="BP20" s="14">
        <v>221.12934899999999</v>
      </c>
      <c r="BQ20" s="14">
        <v>230.182266</v>
      </c>
      <c r="BR20" s="14">
        <v>-2.0059126995878467</v>
      </c>
      <c r="BS20" s="14">
        <v>8.0180187883008358</v>
      </c>
      <c r="BT20" s="14">
        <v>-141.11941128693181</v>
      </c>
      <c r="BU20" s="14">
        <v>146.22595613649025</v>
      </c>
      <c r="BV20" s="14">
        <v>-5627.0017377457934</v>
      </c>
      <c r="BW20" s="14">
        <v>-20.138077509749294</v>
      </c>
      <c r="BX20" s="14">
        <v>-12.325579238636363</v>
      </c>
      <c r="BY20" s="14">
        <v>-8.493475303621171</v>
      </c>
      <c r="BZ20" s="14">
        <v>18.406714518360904</v>
      </c>
      <c r="CA20" s="14">
        <v>0.81959819591415251</v>
      </c>
      <c r="CB20" s="14">
        <v>0.69910908998707044</v>
      </c>
      <c r="CC20" s="14">
        <v>0.70672973328335398</v>
      </c>
      <c r="CD20" s="14">
        <v>-1796.1303090225606</v>
      </c>
      <c r="CE20" s="14">
        <v>-2300.4819844839412</v>
      </c>
      <c r="CF20" s="14">
        <v>-12.311432943283975</v>
      </c>
      <c r="CG20" s="14">
        <v>846.73830546176043</v>
      </c>
      <c r="CH20" s="14">
        <v>4469.7889818091653</v>
      </c>
      <c r="CI20" s="14">
        <v>6262.8479376886407</v>
      </c>
      <c r="CJ20" s="14">
        <v>8.9130347943343207</v>
      </c>
      <c r="CK20" s="14">
        <v>47.050410334833316</v>
      </c>
      <c r="CL20" s="14">
        <v>65.924715133564646</v>
      </c>
      <c r="CM20" s="14">
        <v>50.36585907872437</v>
      </c>
      <c r="CN20" s="27"/>
    </row>
    <row r="21" spans="1:92" s="19" customFormat="1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5"/>
      <c r="K21" s="14">
        <v>0.33274086033125005</v>
      </c>
      <c r="L21" s="14">
        <v>0.30126597085399948</v>
      </c>
      <c r="M21" s="14">
        <v>2.4312215752899755</v>
      </c>
      <c r="N21" s="14">
        <v>534791.40051400044</v>
      </c>
      <c r="O21" s="14">
        <v>260741.64939499987</v>
      </c>
      <c r="P21" s="14">
        <v>260740.56737199987</v>
      </c>
      <c r="Q21" s="14">
        <v>1876.4747220912279</v>
      </c>
      <c r="R21" s="14">
        <v>18.218201185351727</v>
      </c>
      <c r="S21" s="14">
        <v>934.57430092114703</v>
      </c>
      <c r="T21" s="14">
        <v>961.65084170526291</v>
      </c>
      <c r="U21" s="14">
        <v>-1.4279180343855633</v>
      </c>
      <c r="V21" s="14">
        <v>1.6495944915036198</v>
      </c>
      <c r="W21" s="14">
        <v>3095.4223650074755</v>
      </c>
      <c r="X21" s="14">
        <v>30.052644320460928</v>
      </c>
      <c r="Y21" s="14">
        <v>2408.4379960000001</v>
      </c>
      <c r="Z21" s="14">
        <v>23.382893165048547</v>
      </c>
      <c r="AA21" s="14">
        <v>1236.9321520000001</v>
      </c>
      <c r="AB21" s="14">
        <v>1183.2457730000001</v>
      </c>
      <c r="AC21" s="14">
        <v>2.2182823190571819</v>
      </c>
      <c r="AD21" s="14">
        <v>-1864.9056998222677</v>
      </c>
      <c r="AE21" s="14">
        <v>1.1675117906359651</v>
      </c>
      <c r="AF21" s="14">
        <v>1.0570735819438579</v>
      </c>
      <c r="AG21" s="14">
        <v>8.5306020185613178</v>
      </c>
      <c r="AH21" s="14">
        <v>4878.3177218001993</v>
      </c>
      <c r="AI21" s="14">
        <v>47.362307978642711</v>
      </c>
      <c r="AJ21" s="14">
        <v>2.3676494501177299</v>
      </c>
      <c r="AK21" s="14">
        <v>2060.4054040000001</v>
      </c>
      <c r="AL21" s="14">
        <v>-1.9E-2</v>
      </c>
      <c r="AM21" s="14">
        <v>0.26900000000000002</v>
      </c>
      <c r="AN21" s="14">
        <v>0.26900000000000002</v>
      </c>
      <c r="AO21" s="14">
        <v>0.25</v>
      </c>
      <c r="AP21" s="14">
        <v>3.6608863198458601</v>
      </c>
      <c r="AQ21" s="14">
        <v>0.28499999999999998</v>
      </c>
      <c r="AR21" s="14">
        <v>0.27900000000000003</v>
      </c>
      <c r="AS21" s="14">
        <v>0.28499999999999998</v>
      </c>
      <c r="AT21" s="14">
        <v>-1.0638297872340334</v>
      </c>
      <c r="AU21" s="14">
        <v>0.52100000000000002</v>
      </c>
      <c r="AV21" s="14">
        <v>3865.25515</v>
      </c>
      <c r="AW21" s="14">
        <v>37.526749029126215</v>
      </c>
      <c r="AX21" s="14">
        <v>1919.5981830000001</v>
      </c>
      <c r="AY21" s="14">
        <v>1948.596436</v>
      </c>
      <c r="AZ21" s="14">
        <v>-0.74965858381491068</v>
      </c>
      <c r="BA21" s="14">
        <v>2088.6092488550189</v>
      </c>
      <c r="BB21" s="14">
        <v>20.277759697621544</v>
      </c>
      <c r="BC21" s="14">
        <v>1118.0085280706321</v>
      </c>
      <c r="BD21" s="14">
        <v>1044.3409840919999</v>
      </c>
      <c r="BE21" s="14">
        <v>3.4068287094325966</v>
      </c>
      <c r="BF21" s="14">
        <v>3976.883671</v>
      </c>
      <c r="BG21" s="14">
        <v>38.610521077669901</v>
      </c>
      <c r="BH21" s="14">
        <v>1614.269413</v>
      </c>
      <c r="BI21" s="14">
        <v>2362.6142580000001</v>
      </c>
      <c r="BJ21" s="14">
        <v>-18.817368243809515</v>
      </c>
      <c r="BK21" s="14">
        <v>46.851578000000018</v>
      </c>
      <c r="BL21" s="14">
        <v>300.76620500000001</v>
      </c>
      <c r="BM21" s="14">
        <v>295.64463799999999</v>
      </c>
      <c r="BN21" s="14">
        <v>0.85873136950999851</v>
      </c>
      <c r="BO21" s="14">
        <v>68.131357000000008</v>
      </c>
      <c r="BP21" s="14">
        <v>67.410005999999996</v>
      </c>
      <c r="BQ21" s="14">
        <v>38.267530999999998</v>
      </c>
      <c r="BR21" s="14">
        <v>27.576792407642881</v>
      </c>
      <c r="BS21" s="14">
        <v>-15.784178449122811</v>
      </c>
      <c r="BT21" s="14">
        <v>-231.95758539068103</v>
      </c>
      <c r="BU21" s="14">
        <v>211.28180017894735</v>
      </c>
      <c r="BV21" s="14">
        <v>2143.7608343797569</v>
      </c>
      <c r="BW21" s="14">
        <v>21.763017003508772</v>
      </c>
      <c r="BX21" s="14">
        <v>33.745012982078862</v>
      </c>
      <c r="BY21" s="14">
        <v>-11.330990978947366</v>
      </c>
      <c r="BZ21" s="14">
        <v>201.10627157735723</v>
      </c>
      <c r="CA21" s="14">
        <v>0.954433707992414</v>
      </c>
      <c r="CB21" s="14">
        <v>0.77062220876360854</v>
      </c>
      <c r="CC21" s="14">
        <v>0.77990942158611465</v>
      </c>
      <c r="CD21" s="14">
        <v>-1446.3730165140041</v>
      </c>
      <c r="CE21" s="14">
        <v>-418.53268330826359</v>
      </c>
      <c r="CF21" s="14">
        <v>55.114868987943865</v>
      </c>
      <c r="CG21" s="14">
        <v>2780.6164183505803</v>
      </c>
      <c r="CH21" s="14">
        <v>2510.6375894724833</v>
      </c>
      <c r="CI21" s="14">
        <v>8832.5313748139561</v>
      </c>
      <c r="CJ21" s="14">
        <v>26.996275906316313</v>
      </c>
      <c r="CK21" s="14">
        <v>24.375122227888188</v>
      </c>
      <c r="CL21" s="14">
        <v>85.75273179431025</v>
      </c>
      <c r="CM21" s="14">
        <v>48.999464446739047</v>
      </c>
      <c r="CN21" s="27"/>
    </row>
    <row r="22" spans="1:92" s="19" customFormat="1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5"/>
      <c r="K22" s="14">
        <v>0.32260078423124994</v>
      </c>
      <c r="L22" s="14">
        <v>0.22812032846869368</v>
      </c>
      <c r="M22" s="14">
        <v>2.1155899518942158</v>
      </c>
      <c r="N22" s="14">
        <v>619777.94268999971</v>
      </c>
      <c r="O22" s="14">
        <v>298731.94802100025</v>
      </c>
      <c r="P22" s="14">
        <v>298726.86251500028</v>
      </c>
      <c r="Q22" s="14">
        <v>1791.2904354566476</v>
      </c>
      <c r="R22" s="14">
        <v>15.852127747403962</v>
      </c>
      <c r="S22" s="14">
        <v>873.49603781286555</v>
      </c>
      <c r="T22" s="14">
        <v>927.93076997398828</v>
      </c>
      <c r="U22" s="14">
        <v>-3.0217565279823173</v>
      </c>
      <c r="V22" s="14">
        <v>1.2946724280543478</v>
      </c>
      <c r="W22" s="14">
        <v>2319.1343374231878</v>
      </c>
      <c r="X22" s="14">
        <v>20.523312720559183</v>
      </c>
      <c r="Y22" s="14">
        <v>2352.0826420000003</v>
      </c>
      <c r="Z22" s="14">
        <v>20.814890637168144</v>
      </c>
      <c r="AA22" s="14">
        <v>1123.5001070000001</v>
      </c>
      <c r="AB22" s="14">
        <v>1228.582535</v>
      </c>
      <c r="AC22" s="14">
        <v>-4.4676333273157125</v>
      </c>
      <c r="AD22" s="14">
        <v>-6276.1671685714118</v>
      </c>
      <c r="AE22" s="14">
        <v>0.93237220876083804</v>
      </c>
      <c r="AF22" s="14">
        <v>0.65930730771298751</v>
      </c>
      <c r="AG22" s="14">
        <v>6.114421826283861</v>
      </c>
      <c r="AH22" s="14">
        <v>4206.162008328205</v>
      </c>
      <c r="AI22" s="14">
        <v>37.222672640072609</v>
      </c>
      <c r="AJ22" s="14">
        <v>2.0583229849225519</v>
      </c>
      <c r="AK22" s="14">
        <v>2043.4897920000001</v>
      </c>
      <c r="AL22" s="14">
        <v>5.0000000000000001E-3</v>
      </c>
      <c r="AM22" s="14">
        <v>0.36599999999999999</v>
      </c>
      <c r="AN22" s="14">
        <v>0.36099999999999999</v>
      </c>
      <c r="AO22" s="14">
        <v>0.36599999999999999</v>
      </c>
      <c r="AP22" s="14">
        <v>-0.6877579092159567</v>
      </c>
      <c r="AQ22" s="14">
        <v>0.34599999999999997</v>
      </c>
      <c r="AR22" s="14">
        <v>0.34200000000000003</v>
      </c>
      <c r="AS22" s="14">
        <v>0.34599999999999997</v>
      </c>
      <c r="AT22" s="14">
        <v>-0.58139534883720179</v>
      </c>
      <c r="AU22" s="14">
        <v>0.51300000000000001</v>
      </c>
      <c r="AV22" s="14">
        <v>3090.77945</v>
      </c>
      <c r="AW22" s="14">
        <v>27.352030530973451</v>
      </c>
      <c r="AX22" s="14">
        <v>1827.7524719999999</v>
      </c>
      <c r="AY22" s="14">
        <v>1384.6281739999999</v>
      </c>
      <c r="AZ22" s="14">
        <v>13.79426496519865</v>
      </c>
      <c r="BA22" s="14">
        <v>1974.4543230027321</v>
      </c>
      <c r="BB22" s="14">
        <v>17.473047106218868</v>
      </c>
      <c r="BC22" s="14">
        <v>980.78016898337944</v>
      </c>
      <c r="BD22" s="14">
        <v>1007.10737945082</v>
      </c>
      <c r="BE22" s="14">
        <v>-1.3243812753984849</v>
      </c>
      <c r="BF22" s="14">
        <v>3257.2846069999996</v>
      </c>
      <c r="BG22" s="14">
        <v>28.825527495575219</v>
      </c>
      <c r="BH22" s="14">
        <v>1491.8025210000001</v>
      </c>
      <c r="BI22" s="14">
        <v>1814.804367</v>
      </c>
      <c r="BJ22" s="14">
        <v>-9.7683775828389265</v>
      </c>
      <c r="BK22" s="14">
        <v>49.935344999999998</v>
      </c>
      <c r="BL22" s="14">
        <v>197.19861599999999</v>
      </c>
      <c r="BM22" s="14">
        <v>184.66518400000001</v>
      </c>
      <c r="BN22" s="14">
        <v>3.282173382237326</v>
      </c>
      <c r="BO22" s="14">
        <v>209.75006999999999</v>
      </c>
      <c r="BP22" s="14">
        <v>112.04343799999999</v>
      </c>
      <c r="BQ22" s="14">
        <v>97.760738000000003</v>
      </c>
      <c r="BR22" s="14">
        <v>6.8076338003872676</v>
      </c>
      <c r="BS22" s="14">
        <v>-2.1431967716762985</v>
      </c>
      <c r="BT22" s="14">
        <v>-150.0133586140351</v>
      </c>
      <c r="BU22" s="14">
        <v>146.13590336127166</v>
      </c>
      <c r="BV22" s="14">
        <v>7637.7222345568771</v>
      </c>
      <c r="BW22" s="14">
        <v>-72.014595341040462</v>
      </c>
      <c r="BX22" s="14">
        <v>-41.230490678362578</v>
      </c>
      <c r="BY22" s="14">
        <v>-31.262269231213875</v>
      </c>
      <c r="BZ22" s="14">
        <v>13.750644146508595</v>
      </c>
      <c r="CA22" s="14">
        <v>0.90057102723804394</v>
      </c>
      <c r="CB22" s="14">
        <v>0.78416070775486879</v>
      </c>
      <c r="CC22" s="14">
        <v>0.813087795312055</v>
      </c>
      <c r="CD22" s="14">
        <v>-3656.1370729870023</v>
      </c>
      <c r="CE22" s="14">
        <v>-2620.0300955844095</v>
      </c>
      <c r="CF22" s="14">
        <v>16.508594331123156</v>
      </c>
      <c r="CG22" s="14">
        <v>1793.3062316302667</v>
      </c>
      <c r="CH22" s="14">
        <v>1325.896271668923</v>
      </c>
      <c r="CI22" s="14">
        <v>5204.8617527171</v>
      </c>
      <c r="CJ22" s="14">
        <v>15.869966651595281</v>
      </c>
      <c r="CK22" s="14">
        <v>11.733595324503742</v>
      </c>
      <c r="CL22" s="14">
        <v>46.060723475372569</v>
      </c>
      <c r="CM22" s="14">
        <v>48.333324139320268</v>
      </c>
      <c r="CN22" s="27"/>
    </row>
    <row r="23" spans="1:92" s="19" customFormat="1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5"/>
      <c r="K23" s="14">
        <v>0.38717144532500009</v>
      </c>
      <c r="L23" s="14">
        <v>0.34791008735029977</v>
      </c>
      <c r="M23" s="14">
        <v>2.6126606962659507</v>
      </c>
      <c r="N23" s="14">
        <v>492933.97121099988</v>
      </c>
      <c r="O23" s="14">
        <v>242922.41518299971</v>
      </c>
      <c r="P23" s="14">
        <v>242918.93467699972</v>
      </c>
      <c r="Q23" s="14">
        <v>1925.5654506601561</v>
      </c>
      <c r="R23" s="14">
        <v>19.851190212991298</v>
      </c>
      <c r="S23" s="14">
        <v>948.93850822265597</v>
      </c>
      <c r="T23" s="14">
        <v>984.3284201771653</v>
      </c>
      <c r="U23" s="14">
        <v>-1.8305755627755869</v>
      </c>
      <c r="V23" s="14">
        <v>1.7532421013003929</v>
      </c>
      <c r="W23" s="14">
        <v>3375.9824169068502</v>
      </c>
      <c r="X23" s="14">
        <v>34.803942442338659</v>
      </c>
      <c r="Y23" s="14">
        <v>2762.4757689999997</v>
      </c>
      <c r="Z23" s="14">
        <v>28.479131639175254</v>
      </c>
      <c r="AA23" s="14">
        <v>1328.164673</v>
      </c>
      <c r="AB23" s="14">
        <v>1434.3110959999999</v>
      </c>
      <c r="AC23" s="14">
        <v>-3.8424381560611591</v>
      </c>
      <c r="AD23" s="14">
        <v>-5716.7219870539038</v>
      </c>
      <c r="AE23" s="14">
        <v>1.5123884583007816</v>
      </c>
      <c r="AF23" s="14">
        <v>1.3590237787121084</v>
      </c>
      <c r="AG23" s="14">
        <v>10.20570584478887</v>
      </c>
      <c r="AH23" s="14">
        <v>4658.0755716218073</v>
      </c>
      <c r="AI23" s="14">
        <v>48.021397645585644</v>
      </c>
      <c r="AJ23" s="14">
        <v>2.4896217004192387</v>
      </c>
      <c r="AK23" s="14">
        <v>1870.9973369999998</v>
      </c>
      <c r="AL23" s="14">
        <v>0.02</v>
      </c>
      <c r="AM23" s="14">
        <v>0.22500000000000001</v>
      </c>
      <c r="AN23" s="14">
        <v>0.20499999999999999</v>
      </c>
      <c r="AO23" s="14">
        <v>0.22500000000000001</v>
      </c>
      <c r="AP23" s="14">
        <v>-4.6511627906976782</v>
      </c>
      <c r="AQ23" s="14">
        <v>0.25600000000000001</v>
      </c>
      <c r="AR23" s="14">
        <v>0.25600000000000001</v>
      </c>
      <c r="AS23" s="14">
        <v>0.254</v>
      </c>
      <c r="AT23" s="14">
        <v>0.39215686274509837</v>
      </c>
      <c r="AU23" s="14">
        <v>0.56200000000000006</v>
      </c>
      <c r="AV23" s="14">
        <v>2684.4619299999999</v>
      </c>
      <c r="AW23" s="14">
        <v>27.674865257731959</v>
      </c>
      <c r="AX23" s="14">
        <v>1336.965103</v>
      </c>
      <c r="AY23" s="14">
        <v>1913.9716490000001</v>
      </c>
      <c r="AZ23" s="14">
        <v>-17.748931770051247</v>
      </c>
      <c r="BA23" s="14">
        <v>2167.5584085333335</v>
      </c>
      <c r="BB23" s="14">
        <v>22.345962974570448</v>
      </c>
      <c r="BC23" s="14">
        <v>1029.1928512780487</v>
      </c>
      <c r="BD23" s="14">
        <v>1229.9237452933332</v>
      </c>
      <c r="BE23" s="14">
        <v>-8.8853711366615613</v>
      </c>
      <c r="BF23" s="14">
        <v>5892.9653470000003</v>
      </c>
      <c r="BG23" s="14">
        <v>60.752220072164953</v>
      </c>
      <c r="BH23" s="14">
        <v>2703.4513550000001</v>
      </c>
      <c r="BI23" s="14">
        <v>3311.1152950000001</v>
      </c>
      <c r="BJ23" s="14">
        <v>-10.103204027176254</v>
      </c>
      <c r="BK23" s="14">
        <v>39.421689999999998</v>
      </c>
      <c r="BL23" s="14">
        <v>129.93287699999999</v>
      </c>
      <c r="BM23" s="14">
        <v>142.68270899999999</v>
      </c>
      <c r="BN23" s="14">
        <v>-4.676853655755397</v>
      </c>
      <c r="BO23" s="14">
        <v>153.53900099999998</v>
      </c>
      <c r="BP23" s="14">
        <v>89.320965000000001</v>
      </c>
      <c r="BQ23" s="14">
        <v>65.300060000000002</v>
      </c>
      <c r="BR23" s="14">
        <v>15.535341975646583</v>
      </c>
      <c r="BS23" s="14">
        <v>9.2429098671874996</v>
      </c>
      <c r="BT23" s="14">
        <v>-95.579293738281223</v>
      </c>
      <c r="BU23" s="14">
        <v>105.64892426771655</v>
      </c>
      <c r="BV23" s="14">
        <v>-1998.367441762354</v>
      </c>
      <c r="BW23" s="14">
        <v>-101.53753249218749</v>
      </c>
      <c r="BX23" s="14">
        <v>-62.215029425781246</v>
      </c>
      <c r="BY23" s="14">
        <v>-39.634330039370077</v>
      </c>
      <c r="BZ23" s="14">
        <v>22.170683748028242</v>
      </c>
      <c r="CA23" s="14">
        <v>0.93470991726210206</v>
      </c>
      <c r="CB23" s="14">
        <v>0.85830992722741217</v>
      </c>
      <c r="CC23" s="14">
        <v>0.87335837182829645</v>
      </c>
      <c r="CD23" s="14">
        <v>-2907.2633464387645</v>
      </c>
      <c r="CE23" s="14">
        <v>-2809.4586406151379</v>
      </c>
      <c r="CF23" s="14">
        <v>1.7108529336412592</v>
      </c>
      <c r="CG23" s="14">
        <v>3601.0121513557788</v>
      </c>
      <c r="CH23" s="14">
        <v>4998.1046667499058</v>
      </c>
      <c r="CI23" s="14">
        <v>7939.6581083598148</v>
      </c>
      <c r="CJ23" s="14">
        <v>37.123836611915245</v>
      </c>
      <c r="CK23" s="14">
        <v>51.526852234535113</v>
      </c>
      <c r="CL23" s="14">
        <v>81.852145447008397</v>
      </c>
      <c r="CM23" s="14">
        <v>49.733975627659575</v>
      </c>
      <c r="CN23" s="27"/>
    </row>
    <row r="24" spans="1:92" s="19" customFormat="1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5"/>
      <c r="K24" s="14">
        <v>0.34955313592499998</v>
      </c>
      <c r="L24" s="14">
        <v>0.23023505802422153</v>
      </c>
      <c r="M24" s="14">
        <v>2.1253733409533551</v>
      </c>
      <c r="N24" s="14">
        <v>396623.48554100015</v>
      </c>
      <c r="O24" s="14">
        <v>205423.82318800004</v>
      </c>
      <c r="P24" s="14">
        <v>205423.73301900004</v>
      </c>
      <c r="Q24" s="14">
        <v>1166.5646983852944</v>
      </c>
      <c r="R24" s="14">
        <v>15.980338334045129</v>
      </c>
      <c r="S24" s="14">
        <v>604.20224830588234</v>
      </c>
      <c r="T24" s="14">
        <v>565.68891810650871</v>
      </c>
      <c r="U24" s="14">
        <v>3.2920438503249225</v>
      </c>
      <c r="V24" s="14">
        <v>1.3757527029366894</v>
      </c>
      <c r="W24" s="14">
        <v>1604.9045369540925</v>
      </c>
      <c r="X24" s="14">
        <v>21.984993656905377</v>
      </c>
      <c r="Y24" s="14">
        <v>1660.2373809999999</v>
      </c>
      <c r="Z24" s="14">
        <v>22.742977821917808</v>
      </c>
      <c r="AA24" s="14">
        <v>908.50220899999999</v>
      </c>
      <c r="AB24" s="14">
        <v>751.73517200000003</v>
      </c>
      <c r="AC24" s="14">
        <v>9.4424471340101679</v>
      </c>
      <c r="AD24" s="14">
        <v>-4707.6043859741112</v>
      </c>
      <c r="AE24" s="14">
        <v>1.028097458602941</v>
      </c>
      <c r="AF24" s="14">
        <v>0.6771619353653574</v>
      </c>
      <c r="AG24" s="14">
        <v>6.2510980616275145</v>
      </c>
      <c r="AH24" s="14">
        <v>2716.4456287354064</v>
      </c>
      <c r="AI24" s="14">
        <v>37.211583955279544</v>
      </c>
      <c r="AJ24" s="14">
        <v>2.1031464002897282</v>
      </c>
      <c r="AK24" s="14">
        <v>1291.610336</v>
      </c>
      <c r="AL24" s="14">
        <v>1.0999999999999999E-2</v>
      </c>
      <c r="AM24" s="14">
        <v>0.32500000000000001</v>
      </c>
      <c r="AN24" s="14">
        <v>0.314</v>
      </c>
      <c r="AO24" s="14">
        <v>0.32500000000000001</v>
      </c>
      <c r="AP24" s="14">
        <v>-1.7214397496087652</v>
      </c>
      <c r="AQ24" s="14">
        <v>0.34</v>
      </c>
      <c r="AR24" s="14">
        <v>0.34</v>
      </c>
      <c r="AS24" s="14">
        <v>0.33800000000000002</v>
      </c>
      <c r="AT24" s="14">
        <v>0.2949852507374634</v>
      </c>
      <c r="AU24" s="14">
        <v>0.53400000000000003</v>
      </c>
      <c r="AV24" s="14">
        <v>1890.563926</v>
      </c>
      <c r="AW24" s="14">
        <v>25.898135972602741</v>
      </c>
      <c r="AX24" s="14">
        <v>1038.362934</v>
      </c>
      <c r="AY24" s="14">
        <v>1204.7239529999999</v>
      </c>
      <c r="AZ24" s="14">
        <v>-7.4166105630664294</v>
      </c>
      <c r="BA24" s="14">
        <v>1347.0298077107691</v>
      </c>
      <c r="BB24" s="14">
        <v>18.452463119325603</v>
      </c>
      <c r="BC24" s="14">
        <v>691.63267023248409</v>
      </c>
      <c r="BD24" s="14">
        <v>678.3296539138463</v>
      </c>
      <c r="BE24" s="14">
        <v>0.97104979342605957</v>
      </c>
      <c r="BF24" s="14">
        <v>3095.5583500000002</v>
      </c>
      <c r="BG24" s="14">
        <v>42.40490890410959</v>
      </c>
      <c r="BH24" s="14">
        <v>1487.7991030000001</v>
      </c>
      <c r="BI24" s="14">
        <v>1865.4249729999999</v>
      </c>
      <c r="BJ24" s="14">
        <v>-11.261575768311401</v>
      </c>
      <c r="BK24" s="14">
        <v>23.101185000000001</v>
      </c>
      <c r="BL24" s="14">
        <v>93.39658</v>
      </c>
      <c r="BM24" s="14">
        <v>89.194725000000005</v>
      </c>
      <c r="BN24" s="14">
        <v>2.3012349903518103</v>
      </c>
      <c r="BO24" s="14">
        <v>75.398938999999999</v>
      </c>
      <c r="BP24" s="14">
        <v>44.362926000000002</v>
      </c>
      <c r="BQ24" s="14">
        <v>31.396688000000001</v>
      </c>
      <c r="BR24" s="14">
        <v>17.114973685055997</v>
      </c>
      <c r="BS24" s="14">
        <v>5.7260739029411774</v>
      </c>
      <c r="BT24" s="14">
        <v>-45.635733752941185</v>
      </c>
      <c r="BU24" s="14">
        <v>51.666897470414206</v>
      </c>
      <c r="BV24" s="14">
        <v>-1613.3309553752908</v>
      </c>
      <c r="BW24" s="14">
        <v>-0.51910562058823528</v>
      </c>
      <c r="BX24" s="14">
        <v>-1.6517286647058822</v>
      </c>
      <c r="BY24" s="14">
        <v>1.1388447692307688</v>
      </c>
      <c r="BZ24" s="14">
        <v>544.09457160895749</v>
      </c>
      <c r="CA24" s="14">
        <v>0.94399384574447909</v>
      </c>
      <c r="CB24" s="14">
        <v>0.86833169557389389</v>
      </c>
      <c r="CC24" s="14">
        <v>0.86175886981594174</v>
      </c>
      <c r="CD24" s="14">
        <v>-3015.8626449351223</v>
      </c>
      <c r="CE24" s="14">
        <v>-1691.7417410389901</v>
      </c>
      <c r="CF24" s="14">
        <v>28.127276536686736</v>
      </c>
      <c r="CG24" s="14">
        <v>1170.2744288972642</v>
      </c>
      <c r="CH24" s="14">
        <v>5716.4111393193016</v>
      </c>
      <c r="CI24" s="14">
        <v>3500.3517481508493</v>
      </c>
      <c r="CJ24" s="14">
        <v>16.031156560236496</v>
      </c>
      <c r="CK24" s="14">
        <v>78.307001908483585</v>
      </c>
      <c r="CL24" s="14">
        <v>47.950023947271909</v>
      </c>
      <c r="CM24" s="14">
        <v>45.581151007321189</v>
      </c>
      <c r="CN24" s="27"/>
    </row>
    <row r="25" spans="1:92" s="19" customFormat="1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5"/>
      <c r="K25" s="14">
        <v>0.37081395312500004</v>
      </c>
      <c r="L25" s="14">
        <v>0.2606046849365764</v>
      </c>
      <c r="M25" s="14">
        <v>2.2612085083989113</v>
      </c>
      <c r="N25" s="14">
        <v>357934.8848649998</v>
      </c>
      <c r="O25" s="14">
        <v>179583.14032900002</v>
      </c>
      <c r="P25" s="14">
        <v>179579.78605900001</v>
      </c>
      <c r="Q25" s="14">
        <v>1688.3874951226419</v>
      </c>
      <c r="R25" s="14">
        <v>20.342018013525806</v>
      </c>
      <c r="S25" s="14">
        <v>847.09751506603766</v>
      </c>
      <c r="T25" s="14">
        <v>865.87901297572807</v>
      </c>
      <c r="U25" s="14">
        <v>-1.0964247088172876</v>
      </c>
      <c r="V25" s="14">
        <v>1.5420430078396195</v>
      </c>
      <c r="W25" s="14">
        <v>2603.5661313777196</v>
      </c>
      <c r="X25" s="14">
        <v>31.368266643105056</v>
      </c>
      <c r="Y25" s="14">
        <v>2253.2217810000002</v>
      </c>
      <c r="Z25" s="14">
        <v>27.147250373493979</v>
      </c>
      <c r="AA25" s="14">
        <v>1114.1586150000001</v>
      </c>
      <c r="AB25" s="14">
        <v>1141.8223459999999</v>
      </c>
      <c r="AC25" s="14">
        <v>-1.2262395595633695</v>
      </c>
      <c r="AD25" s="14">
        <v>-2814.6057089541173</v>
      </c>
      <c r="AE25" s="14">
        <v>1.7491224204009437</v>
      </c>
      <c r="AF25" s="14">
        <v>1.2292673817763038</v>
      </c>
      <c r="AG25" s="14">
        <v>10.666077869806186</v>
      </c>
      <c r="AH25" s="14">
        <v>3811.3494621711616</v>
      </c>
      <c r="AI25" s="14">
        <v>45.919873038206767</v>
      </c>
      <c r="AJ25" s="14">
        <v>2.0982044490864231</v>
      </c>
      <c r="AK25" s="14">
        <v>1816.4814510000001</v>
      </c>
      <c r="AL25" s="14">
        <v>8.0000000000000002E-3</v>
      </c>
      <c r="AM25" s="14">
        <v>0.19600000000000001</v>
      </c>
      <c r="AN25" s="14">
        <v>0.188</v>
      </c>
      <c r="AO25" s="14">
        <v>0.19600000000000001</v>
      </c>
      <c r="AP25" s="14">
        <v>-2.0833333333333353</v>
      </c>
      <c r="AQ25" s="14">
        <v>0.21199999999999999</v>
      </c>
      <c r="AR25" s="14">
        <v>0.21199999999999999</v>
      </c>
      <c r="AS25" s="14">
        <v>0.20599999999999999</v>
      </c>
      <c r="AT25" s="14">
        <v>1.4354066985645948</v>
      </c>
      <c r="AU25" s="14">
        <v>0.55000000000000004</v>
      </c>
      <c r="AV25" s="14">
        <v>2848.9293669999997</v>
      </c>
      <c r="AW25" s="14">
        <v>34.324450204819271</v>
      </c>
      <c r="AX25" s="14">
        <v>1367.460106</v>
      </c>
      <c r="AY25" s="14">
        <v>1485.833382</v>
      </c>
      <c r="AZ25" s="14">
        <v>-4.1486540553167242</v>
      </c>
      <c r="BA25" s="14">
        <v>2001.0675024285715</v>
      </c>
      <c r="BB25" s="14">
        <v>24.109247017211704</v>
      </c>
      <c r="BC25" s="14">
        <v>1020.1249240797872</v>
      </c>
      <c r="BD25" s="14">
        <v>1022.8150446071427</v>
      </c>
      <c r="BE25" s="14">
        <v>-0.13167888281536297</v>
      </c>
      <c r="BF25" s="14">
        <v>4098.9900360000001</v>
      </c>
      <c r="BG25" s="14">
        <v>49.385422120481927</v>
      </c>
      <c r="BH25" s="14">
        <v>2063.6875989999999</v>
      </c>
      <c r="BI25" s="14">
        <v>2035.64518</v>
      </c>
      <c r="BJ25" s="14">
        <v>0.68407276285680341</v>
      </c>
      <c r="BK25" s="14">
        <v>54.425734000000006</v>
      </c>
      <c r="BL25" s="14">
        <v>75.976016999999999</v>
      </c>
      <c r="BM25" s="14">
        <v>82.377986000000007</v>
      </c>
      <c r="BN25" s="14">
        <v>-4.042821070964659</v>
      </c>
      <c r="BO25" s="14">
        <v>150.59951000000001</v>
      </c>
      <c r="BP25" s="14">
        <v>74.371016999999995</v>
      </c>
      <c r="BQ25" s="14">
        <v>100.573999</v>
      </c>
      <c r="BR25" s="14">
        <v>-14.97783852270476</v>
      </c>
      <c r="BS25" s="14">
        <v>22.708182735849054</v>
      </c>
      <c r="BT25" s="14">
        <v>-38.335327943396223</v>
      </c>
      <c r="BU25" s="14">
        <v>62.832682417475731</v>
      </c>
      <c r="BV25" s="14">
        <v>-412.97524786979415</v>
      </c>
      <c r="BW25" s="14">
        <v>-80.895562377358488</v>
      </c>
      <c r="BX25" s="14">
        <v>-23.834779438679245</v>
      </c>
      <c r="BY25" s="14">
        <v>-58.790680296116491</v>
      </c>
      <c r="BZ25" s="14">
        <v>-42.306452478008296</v>
      </c>
      <c r="CA25" s="14">
        <v>0.91659697259269546</v>
      </c>
      <c r="CB25" s="14">
        <v>0.88110212546784761</v>
      </c>
      <c r="CC25" s="14">
        <v>0.86189950943426008</v>
      </c>
      <c r="CD25" s="14">
        <v>-1507.6009174708986</v>
      </c>
      <c r="CE25" s="14">
        <v>-1307.004791483218</v>
      </c>
      <c r="CF25" s="14">
        <v>7.1269707635965958</v>
      </c>
      <c r="CG25" s="14">
        <v>4249.8237420484866</v>
      </c>
      <c r="CH25" s="14">
        <v>3752.8551854923312</v>
      </c>
      <c r="CI25" s="14">
        <v>10299.323728331035</v>
      </c>
      <c r="CJ25" s="14">
        <v>51.202695687331165</v>
      </c>
      <c r="CK25" s="14">
        <v>45.215122716775078</v>
      </c>
      <c r="CL25" s="14">
        <v>124.08823769073537</v>
      </c>
      <c r="CM25" s="14">
        <v>37.70778168260567</v>
      </c>
      <c r="CN25" s="27"/>
    </row>
    <row r="26" spans="1:92" s="19" customFormat="1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5"/>
      <c r="K26" s="14">
        <v>0.39131598078124991</v>
      </c>
      <c r="L26" s="14">
        <v>0.22899122550535461</v>
      </c>
      <c r="M26" s="14">
        <v>2.1196244583451707</v>
      </c>
      <c r="N26" s="14">
        <v>408149.87555300002</v>
      </c>
      <c r="O26" s="14">
        <v>194640.87291199993</v>
      </c>
      <c r="P26" s="14">
        <v>194640.45813699992</v>
      </c>
      <c r="Q26" s="14">
        <v>1639.1799543895581</v>
      </c>
      <c r="R26" s="14">
        <v>18.213110604328424</v>
      </c>
      <c r="S26" s="14">
        <v>788.03652091093113</v>
      </c>
      <c r="T26" s="14">
        <v>857.49904449397604</v>
      </c>
      <c r="U26" s="14">
        <v>-4.2212714840929424</v>
      </c>
      <c r="V26" s="14">
        <v>1.2904654302241425</v>
      </c>
      <c r="W26" s="14">
        <v>2115.3050650561113</v>
      </c>
      <c r="X26" s="14">
        <v>23.503389611734569</v>
      </c>
      <c r="Y26" s="14">
        <v>2001.128643</v>
      </c>
      <c r="Z26" s="14">
        <v>22.234762700000001</v>
      </c>
      <c r="AA26" s="14">
        <v>996.54278599999998</v>
      </c>
      <c r="AB26" s="14">
        <v>1007.074514</v>
      </c>
      <c r="AC26" s="14">
        <v>-0.5256357089749647</v>
      </c>
      <c r="AD26" s="14">
        <v>2392.228774832502</v>
      </c>
      <c r="AE26" s="14">
        <v>1.5715501236194775</v>
      </c>
      <c r="AF26" s="14">
        <v>0.91964347592511897</v>
      </c>
      <c r="AG26" s="14">
        <v>8.5125480254826122</v>
      </c>
      <c r="AH26" s="14">
        <v>3774.8259393876751</v>
      </c>
      <c r="AI26" s="14">
        <v>41.942510437640834</v>
      </c>
      <c r="AJ26" s="14">
        <v>2.0310946254530888</v>
      </c>
      <c r="AK26" s="14">
        <v>1858.5180089999999</v>
      </c>
      <c r="AL26" s="14">
        <v>0</v>
      </c>
      <c r="AM26" s="14">
        <v>0.34699999999999998</v>
      </c>
      <c r="AN26" s="14">
        <v>0.34699999999999998</v>
      </c>
      <c r="AO26" s="14">
        <v>0.34699999999999998</v>
      </c>
      <c r="AP26" s="14">
        <v>0</v>
      </c>
      <c r="AQ26" s="14">
        <v>0.249</v>
      </c>
      <c r="AR26" s="14">
        <v>0.247</v>
      </c>
      <c r="AS26" s="14">
        <v>0.249</v>
      </c>
      <c r="AT26" s="14">
        <v>-0.40322580645161321</v>
      </c>
      <c r="AU26" s="14">
        <v>0.56499999999999995</v>
      </c>
      <c r="AV26" s="14">
        <v>3069.860357</v>
      </c>
      <c r="AW26" s="14">
        <v>34.10955952222222</v>
      </c>
      <c r="AX26" s="14">
        <v>1950.9227599999999</v>
      </c>
      <c r="AY26" s="14">
        <v>1520.6564470000001</v>
      </c>
      <c r="AZ26" s="14">
        <v>12.393965032755764</v>
      </c>
      <c r="BA26" s="14">
        <v>1612.8867378818443</v>
      </c>
      <c r="BB26" s="14">
        <v>17.920963754242713</v>
      </c>
      <c r="BC26" s="14">
        <v>798.02199071469738</v>
      </c>
      <c r="BD26" s="14">
        <v>814.8647471671469</v>
      </c>
      <c r="BE26" s="14">
        <v>-1.0442615750296642</v>
      </c>
      <c r="BF26" s="14">
        <v>8237.1672589999998</v>
      </c>
      <c r="BG26" s="14">
        <v>91.524080655555551</v>
      </c>
      <c r="BH26" s="14">
        <v>4556.0002439999998</v>
      </c>
      <c r="BI26" s="14">
        <v>4316.260147</v>
      </c>
      <c r="BJ26" s="14">
        <v>2.7021309839281957</v>
      </c>
      <c r="BK26" s="14">
        <v>50.584551000000005</v>
      </c>
      <c r="BL26" s="14">
        <v>140.48259400000001</v>
      </c>
      <c r="BM26" s="14">
        <v>129.355797</v>
      </c>
      <c r="BN26" s="14">
        <v>4.1235040569153147</v>
      </c>
      <c r="BO26" s="14">
        <v>162.15911499999999</v>
      </c>
      <c r="BP26" s="14">
        <v>77.544949000000003</v>
      </c>
      <c r="BQ26" s="14">
        <v>84.740399999999994</v>
      </c>
      <c r="BR26" s="14">
        <v>-4.4338266173368437</v>
      </c>
      <c r="BS26" s="14">
        <v>3.7450001044176706</v>
      </c>
      <c r="BT26" s="14">
        <v>-96.307090214574899</v>
      </c>
      <c r="BU26" s="14">
        <v>99.258188096385553</v>
      </c>
      <c r="BV26" s="14">
        <v>-6626.8651919797012</v>
      </c>
      <c r="BW26" s="14">
        <v>-37.132711277108442</v>
      </c>
      <c r="BX26" s="14">
        <v>-11.90969527530364</v>
      </c>
      <c r="BY26" s="14">
        <v>-25.36343456626506</v>
      </c>
      <c r="BZ26" s="14">
        <v>-36.095008248964355</v>
      </c>
      <c r="CA26" s="14">
        <v>0.90390427436345888</v>
      </c>
      <c r="CB26" s="14">
        <v>0.82048998086466496</v>
      </c>
      <c r="CC26" s="14">
        <v>0.82467955129329995</v>
      </c>
      <c r="CD26" s="14">
        <v>2125.902742802426</v>
      </c>
      <c r="CE26" s="14">
        <v>266.32603203007631</v>
      </c>
      <c r="CF26" s="14">
        <v>77.734066671886453</v>
      </c>
      <c r="CG26" s="14">
        <v>3435.2126369242055</v>
      </c>
      <c r="CH26" s="14">
        <v>9282.5614468487311</v>
      </c>
      <c r="CI26" s="14">
        <v>7688.7941064744355</v>
      </c>
      <c r="CJ26" s="14">
        <v>38.169029299157842</v>
      </c>
      <c r="CK26" s="14">
        <v>103.13957163165257</v>
      </c>
      <c r="CL26" s="14">
        <v>85.431045627493731</v>
      </c>
      <c r="CM26" s="14">
        <v>66.321838332400731</v>
      </c>
      <c r="CN26" s="27"/>
    </row>
    <row r="27" spans="1:92" s="19" customFormat="1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5"/>
      <c r="K27" s="14">
        <v>0.36543990892500006</v>
      </c>
      <c r="L27" s="14">
        <v>0.18925463227717632</v>
      </c>
      <c r="M27" s="14">
        <v>1.9269602708094942</v>
      </c>
      <c r="N27" s="14">
        <v>363292.03264400031</v>
      </c>
      <c r="O27" s="14">
        <v>181458.23139799992</v>
      </c>
      <c r="P27" s="14">
        <v>181454.0295439999</v>
      </c>
      <c r="Q27" s="14">
        <v>1816.6194910500001</v>
      </c>
      <c r="R27" s="14">
        <v>19.325739266489361</v>
      </c>
      <c r="S27" s="14">
        <v>907.38853902999995</v>
      </c>
      <c r="T27" s="14">
        <v>942.61853067875654</v>
      </c>
      <c r="U27" s="14">
        <v>-1.9043165956280801</v>
      </c>
      <c r="V27" s="14">
        <v>1.2875158952781345</v>
      </c>
      <c r="W27" s="14">
        <v>2338.9264703989497</v>
      </c>
      <c r="X27" s="14">
        <v>24.88219649360585</v>
      </c>
      <c r="Y27" s="14">
        <v>2392.0453029999999</v>
      </c>
      <c r="Z27" s="14">
        <v>25.447290457446808</v>
      </c>
      <c r="AA27" s="14">
        <v>1168.440102</v>
      </c>
      <c r="AB27" s="14">
        <v>1226.94146</v>
      </c>
      <c r="AC27" s="14">
        <v>-2.4422563372807651</v>
      </c>
      <c r="AD27" s="14">
        <v>5916.9739682159234</v>
      </c>
      <c r="AE27" s="14">
        <v>1.8271995446250002</v>
      </c>
      <c r="AF27" s="14">
        <v>0.94627316138588158</v>
      </c>
      <c r="AG27" s="14">
        <v>9.63480135404747</v>
      </c>
      <c r="AH27" s="14">
        <v>3623.9190072314518</v>
      </c>
      <c r="AI27" s="14">
        <v>38.552329864164378</v>
      </c>
      <c r="AJ27" s="14">
        <v>1.7682787170816896</v>
      </c>
      <c r="AK27" s="14">
        <v>2049.4048659999999</v>
      </c>
      <c r="AL27" s="14">
        <v>-1.0999999999999999E-2</v>
      </c>
      <c r="AM27" s="14">
        <v>0.25800000000000001</v>
      </c>
      <c r="AN27" s="14">
        <v>0.25800000000000001</v>
      </c>
      <c r="AO27" s="14">
        <v>0.247</v>
      </c>
      <c r="AP27" s="14">
        <v>2.1782178217821802</v>
      </c>
      <c r="AQ27" s="14">
        <v>0.2</v>
      </c>
      <c r="AR27" s="14">
        <v>0.2</v>
      </c>
      <c r="AS27" s="14">
        <v>0.193</v>
      </c>
      <c r="AT27" s="14">
        <v>1.7811704834605611</v>
      </c>
      <c r="AU27" s="14">
        <v>0.54600000000000004</v>
      </c>
      <c r="AV27" s="14">
        <v>2803.1778260000001</v>
      </c>
      <c r="AW27" s="14">
        <v>29.821040702127661</v>
      </c>
      <c r="AX27" s="14">
        <v>1302.7551120000001</v>
      </c>
      <c r="AY27" s="14">
        <v>4.5084270000000002</v>
      </c>
      <c r="AZ27" s="14">
        <v>99.310249713925515</v>
      </c>
      <c r="BA27" s="14">
        <v>1943.4909015465112</v>
      </c>
      <c r="BB27" s="14">
        <v>20.675435122835225</v>
      </c>
      <c r="BC27" s="14">
        <v>939.31860396511649</v>
      </c>
      <c r="BD27" s="14">
        <v>1049.4444842874495</v>
      </c>
      <c r="BE27" s="14">
        <v>-5.5374056856161564</v>
      </c>
      <c r="BF27" s="14">
        <v>4017.0809449999997</v>
      </c>
      <c r="BG27" s="14">
        <v>42.734903670212766</v>
      </c>
      <c r="BH27" s="14">
        <v>3304.6772769999998</v>
      </c>
      <c r="BI27" s="14">
        <v>838.71176300000002</v>
      </c>
      <c r="BJ27" s="14">
        <v>59.515664355766106</v>
      </c>
      <c r="BK27" s="14">
        <v>93.414615999999995</v>
      </c>
      <c r="BL27" s="14">
        <v>108.50882799999999</v>
      </c>
      <c r="BM27" s="14">
        <v>174.04332700000001</v>
      </c>
      <c r="BN27" s="14">
        <v>-23.193770721727468</v>
      </c>
      <c r="BO27" s="14">
        <v>183.49299099999999</v>
      </c>
      <c r="BP27" s="14">
        <v>102.485573</v>
      </c>
      <c r="BQ27" s="14">
        <v>122.971863</v>
      </c>
      <c r="BR27" s="14">
        <v>-9.0865443888042776</v>
      </c>
      <c r="BS27" s="14">
        <v>60.748082835000005</v>
      </c>
      <c r="BT27" s="14">
        <v>-81.517505935000003</v>
      </c>
      <c r="BU27" s="14">
        <v>147.42809687564764</v>
      </c>
      <c r="BV27" s="14">
        <v>-347.35783664390556</v>
      </c>
      <c r="BW27" s="14">
        <v>-50.474188560000002</v>
      </c>
      <c r="BX27" s="14">
        <v>-5.246096315</v>
      </c>
      <c r="BY27" s="14">
        <v>-47.096573740932641</v>
      </c>
      <c r="BZ27" s="14">
        <v>-79.954800512109543</v>
      </c>
      <c r="CA27" s="14">
        <v>0.89624859773190979</v>
      </c>
      <c r="CB27" s="14">
        <v>0.84704282766515671</v>
      </c>
      <c r="CC27" s="14">
        <v>0.8051025992110733</v>
      </c>
      <c r="CD27" s="14">
        <v>1856.9486792754456</v>
      </c>
      <c r="CE27" s="14">
        <v>4060.0252889404792</v>
      </c>
      <c r="CF27" s="14">
        <v>-37.233163801281705</v>
      </c>
      <c r="CG27" s="14">
        <v>1435.5048980532711</v>
      </c>
      <c r="CH27" s="14">
        <v>11.726336415406342</v>
      </c>
      <c r="CI27" s="14">
        <v>12485.04996143073</v>
      </c>
      <c r="CJ27" s="14">
        <v>15.271328702694372</v>
      </c>
      <c r="CK27" s="14">
        <v>0.12474825973836534</v>
      </c>
      <c r="CL27" s="14">
        <v>132.81968044075245</v>
      </c>
      <c r="CM27" s="14">
        <v>30.368436069385485</v>
      </c>
      <c r="CN27" s="27"/>
    </row>
    <row r="28" spans="1:92" s="19" customFormat="1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5"/>
      <c r="K28" s="14">
        <v>0.33146477000000002</v>
      </c>
      <c r="L28" s="14">
        <v>0.28701651137289663</v>
      </c>
      <c r="M28" s="14">
        <v>2.3730284349615856</v>
      </c>
      <c r="N28" s="14">
        <v>421895.00656100002</v>
      </c>
      <c r="O28" s="14">
        <v>209242.56929499991</v>
      </c>
      <c r="P28" s="14">
        <v>209240.76592399992</v>
      </c>
      <c r="Q28" s="14">
        <v>1654.5041537333334</v>
      </c>
      <c r="R28" s="14">
        <v>19.017289123371647</v>
      </c>
      <c r="S28" s="14">
        <v>820.57224927450977</v>
      </c>
      <c r="T28" s="14">
        <v>854.05011469076305</v>
      </c>
      <c r="U28" s="14">
        <v>-1.9991292446962401</v>
      </c>
      <c r="V28" s="14">
        <v>1.5569749874197825</v>
      </c>
      <c r="W28" s="14">
        <v>2576.0215839449347</v>
      </c>
      <c r="X28" s="14">
        <v>29.609443493619938</v>
      </c>
      <c r="Y28" s="14">
        <v>2104.1191490000001</v>
      </c>
      <c r="Z28" s="14">
        <v>24.185277574712646</v>
      </c>
      <c r="AA28" s="14">
        <v>1038.3268889999999</v>
      </c>
      <c r="AB28" s="14">
        <v>1069.615395</v>
      </c>
      <c r="AC28" s="14">
        <v>-1.484315117994004</v>
      </c>
      <c r="AD28" s="14">
        <v>-2926.3020222008608</v>
      </c>
      <c r="AE28" s="14">
        <v>1.2998618431372551</v>
      </c>
      <c r="AF28" s="14">
        <v>1.1255549465603789</v>
      </c>
      <c r="AG28" s="14">
        <v>9.3059938625944536</v>
      </c>
      <c r="AH28" s="14">
        <v>4041.5178235945823</v>
      </c>
      <c r="AI28" s="14">
        <v>46.454227857408995</v>
      </c>
      <c r="AJ28" s="14">
        <v>2.2805208746263288</v>
      </c>
      <c r="AK28" s="14">
        <v>1772.1906730000001</v>
      </c>
      <c r="AL28" s="14">
        <v>-4.0000000000000001E-3</v>
      </c>
      <c r="AM28" s="14">
        <v>0.214</v>
      </c>
      <c r="AN28" s="14">
        <v>0.214</v>
      </c>
      <c r="AO28" s="14">
        <v>0.21</v>
      </c>
      <c r="AP28" s="14">
        <v>0.94339622641509513</v>
      </c>
      <c r="AQ28" s="14">
        <v>0.255</v>
      </c>
      <c r="AR28" s="14">
        <v>0.255</v>
      </c>
      <c r="AS28" s="14">
        <v>0.249</v>
      </c>
      <c r="AT28" s="14">
        <v>1.1904761904761914</v>
      </c>
      <c r="AU28" s="14">
        <v>0.52</v>
      </c>
      <c r="AV28" s="14">
        <v>2870.6780399999998</v>
      </c>
      <c r="AW28" s="14">
        <v>32.996299310344824</v>
      </c>
      <c r="AX28" s="14">
        <v>1379.416473</v>
      </c>
      <c r="AY28" s="14">
        <v>1501.1981049999999</v>
      </c>
      <c r="AZ28" s="14">
        <v>-4.2276267338948372</v>
      </c>
      <c r="BA28" s="14">
        <v>1998.7863193925232</v>
      </c>
      <c r="BB28" s="14">
        <v>22.974555395316358</v>
      </c>
      <c r="BC28" s="14">
        <v>955.226793182243</v>
      </c>
      <c r="BD28" s="14">
        <v>1063.4192461857144</v>
      </c>
      <c r="BE28" s="14">
        <v>-5.3596544859021806</v>
      </c>
      <c r="BF28" s="14">
        <v>3656.695248</v>
      </c>
      <c r="BG28" s="14">
        <v>42.030979862068968</v>
      </c>
      <c r="BH28" s="14">
        <v>2031.2448730000001</v>
      </c>
      <c r="BI28" s="14">
        <v>1652.3206379999999</v>
      </c>
      <c r="BJ28" s="14">
        <v>10.286887361401408</v>
      </c>
      <c r="BK28" s="14">
        <v>57.960341</v>
      </c>
      <c r="BL28" s="14">
        <v>84.686300000000003</v>
      </c>
      <c r="BM28" s="14">
        <v>121.69147100000001</v>
      </c>
      <c r="BN28" s="14">
        <v>-17.930793040690414</v>
      </c>
      <c r="BO28" s="14">
        <v>153.214395</v>
      </c>
      <c r="BP28" s="14">
        <v>85.028942000000001</v>
      </c>
      <c r="BQ28" s="14">
        <v>69.682250999999994</v>
      </c>
      <c r="BR28" s="14">
        <v>9.9195738216562059</v>
      </c>
      <c r="BS28" s="14">
        <v>39.594317305882349</v>
      </c>
      <c r="BT28" s="14">
        <v>-52.14655690588237</v>
      </c>
      <c r="BU28" s="14">
        <v>93.952946184738963</v>
      </c>
      <c r="BV28" s="14">
        <v>-349.46692505805703</v>
      </c>
      <c r="BW28" s="14">
        <v>-50.722247494117646</v>
      </c>
      <c r="BX28" s="14">
        <v>-27.912928952941176</v>
      </c>
      <c r="BY28" s="14">
        <v>-23.358868248995982</v>
      </c>
      <c r="BZ28" s="14">
        <v>8.8821944079875781</v>
      </c>
      <c r="CA28" s="14">
        <v>0.90879139042860646</v>
      </c>
      <c r="CB28" s="14">
        <v>0.85951214974637336</v>
      </c>
      <c r="CC28" s="14">
        <v>0.84823523104204557</v>
      </c>
      <c r="CD28" s="14">
        <v>-1487.7062972521808</v>
      </c>
      <c r="CE28" s="14">
        <v>-1438.595724948681</v>
      </c>
      <c r="CF28" s="14">
        <v>1.6782468771478309</v>
      </c>
      <c r="CG28" s="14">
        <v>6292.3428458115777</v>
      </c>
      <c r="CH28" s="14">
        <v>7773.4804727857918</v>
      </c>
      <c r="CI28" s="14">
        <v>15223.136578749843</v>
      </c>
      <c r="CJ28" s="14">
        <v>72.325779836914691</v>
      </c>
      <c r="CK28" s="14">
        <v>89.350350261905646</v>
      </c>
      <c r="CL28" s="14">
        <v>174.97858136494074</v>
      </c>
      <c r="CM28" s="14">
        <v>33.136497222795484</v>
      </c>
      <c r="CN28" s="27"/>
    </row>
    <row r="29" spans="1:92" s="19" customFormat="1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5"/>
      <c r="K29" s="14">
        <v>0.36010509132500002</v>
      </c>
      <c r="L29" s="14">
        <v>0.25496991746238951</v>
      </c>
      <c r="M29" s="14">
        <v>2.2366291110982353</v>
      </c>
      <c r="N29" s="14">
        <v>270956.33919399994</v>
      </c>
      <c r="O29" s="14">
        <v>124708.239959</v>
      </c>
      <c r="P29" s="14">
        <v>124706.20215</v>
      </c>
      <c r="Q29" s="14">
        <v>1794.4361309072845</v>
      </c>
      <c r="R29" s="14">
        <v>24.249136904152493</v>
      </c>
      <c r="S29" s="14">
        <v>842.63810858783802</v>
      </c>
      <c r="T29" s="14">
        <v>968.58838135099336</v>
      </c>
      <c r="U29" s="14">
        <v>-6.9538665353447273</v>
      </c>
      <c r="V29" s="14">
        <v>1.5470662082804734</v>
      </c>
      <c r="W29" s="14">
        <v>2776.1115010442159</v>
      </c>
      <c r="X29" s="14">
        <v>37.515020284381293</v>
      </c>
      <c r="Y29" s="14">
        <v>2507.2987370000001</v>
      </c>
      <c r="Z29" s="14">
        <v>33.882415364864869</v>
      </c>
      <c r="AA29" s="14">
        <v>1136.556503</v>
      </c>
      <c r="AB29" s="14">
        <v>1422.697388</v>
      </c>
      <c r="AC29" s="14">
        <v>-11.180636903835813</v>
      </c>
      <c r="AD29" s="14">
        <v>-4584.2126853041282</v>
      </c>
      <c r="AE29" s="14">
        <v>2.3848019293046359</v>
      </c>
      <c r="AF29" s="14">
        <v>1.688542499750924</v>
      </c>
      <c r="AG29" s="14">
        <v>14.81211331853136</v>
      </c>
      <c r="AH29" s="14">
        <v>3937.9382591830235</v>
      </c>
      <c r="AI29" s="14">
        <v>53.215381880851666</v>
      </c>
      <c r="AJ29" s="14">
        <v>1.9714118567378991</v>
      </c>
      <c r="AK29" s="14">
        <v>1997.5218500000001</v>
      </c>
      <c r="AL29" s="14">
        <v>-4.0000000000000001E-3</v>
      </c>
      <c r="AM29" s="14">
        <v>0.14799999999999999</v>
      </c>
      <c r="AN29" s="14">
        <v>0.14799999999999999</v>
      </c>
      <c r="AO29" s="14">
        <v>0.14399999999999999</v>
      </c>
      <c r="AP29" s="14">
        <v>1.3698630136986314</v>
      </c>
      <c r="AQ29" s="14">
        <v>0.151</v>
      </c>
      <c r="AR29" s="14">
        <v>0.14799999999999999</v>
      </c>
      <c r="AS29" s="14">
        <v>0.151</v>
      </c>
      <c r="AT29" s="14">
        <v>-1.0033444816053521</v>
      </c>
      <c r="AU29" s="14">
        <v>0.54200000000000004</v>
      </c>
      <c r="AV29" s="14">
        <v>4365.6544799999992</v>
      </c>
      <c r="AW29" s="14">
        <v>58.995330810810799</v>
      </c>
      <c r="AX29" s="14">
        <v>2122.820068</v>
      </c>
      <c r="AY29" s="14">
        <v>2416.1744079999999</v>
      </c>
      <c r="AZ29" s="14">
        <v>-6.4629807670204338</v>
      </c>
      <c r="BA29" s="14">
        <v>2141.1819133918916</v>
      </c>
      <c r="BB29" s="14">
        <v>28.934890721512048</v>
      </c>
      <c r="BC29" s="14">
        <v>969.65573716216215</v>
      </c>
      <c r="BD29" s="14">
        <v>1204.1112748402775</v>
      </c>
      <c r="BE29" s="14">
        <v>-10.785679255576641</v>
      </c>
      <c r="BF29" s="14">
        <v>4838.354182</v>
      </c>
      <c r="BG29" s="14">
        <v>65.383164621621617</v>
      </c>
      <c r="BH29" s="14">
        <v>1988.811602</v>
      </c>
      <c r="BI29" s="14">
        <v>2857.278969</v>
      </c>
      <c r="BJ29" s="14">
        <v>-17.920989182436806</v>
      </c>
      <c r="BK29" s="14">
        <v>50.404220999999978</v>
      </c>
      <c r="BL29" s="14">
        <v>230.75934599999999</v>
      </c>
      <c r="BM29" s="14">
        <v>277.01580799999999</v>
      </c>
      <c r="BN29" s="14">
        <v>-9.1096347735044958</v>
      </c>
      <c r="BO29" s="14">
        <v>166.55934100000002</v>
      </c>
      <c r="BP29" s="14">
        <v>69.736355000000003</v>
      </c>
      <c r="BQ29" s="14">
        <v>97.219729999999998</v>
      </c>
      <c r="BR29" s="14">
        <v>-16.461439545614642</v>
      </c>
      <c r="BS29" s="14">
        <v>18.562419814569537</v>
      </c>
      <c r="BT29" s="14">
        <v>-141.38135715540545</v>
      </c>
      <c r="BU29" s="14">
        <v>157.12735184105961</v>
      </c>
      <c r="BV29" s="14">
        <v>-1895.775496916877</v>
      </c>
      <c r="BW29" s="14">
        <v>-31.294815384105959</v>
      </c>
      <c r="BX29" s="14">
        <v>-20.820282966216212</v>
      </c>
      <c r="BY29" s="14">
        <v>-10.940131834437086</v>
      </c>
      <c r="BZ29" s="14">
        <v>31.108381908084827</v>
      </c>
      <c r="CA29" s="14">
        <v>0.92035878407169491</v>
      </c>
      <c r="CB29" s="14">
        <v>0.7908943737996591</v>
      </c>
      <c r="CC29" s="14">
        <v>0.79173650135453078</v>
      </c>
      <c r="CD29" s="14">
        <v>-636.20524675323225</v>
      </c>
      <c r="CE29" s="14">
        <v>-3948.0074385508933</v>
      </c>
      <c r="CF29" s="14">
        <v>-72.243641801666314</v>
      </c>
      <c r="CG29" s="14">
        <v>4731.7982869728285</v>
      </c>
      <c r="CH29" s="14">
        <v>7492.1776870963031</v>
      </c>
      <c r="CI29" s="14">
        <v>19927.251057717407</v>
      </c>
      <c r="CJ29" s="14">
        <v>63.943220094227414</v>
      </c>
      <c r="CK29" s="14">
        <v>101.24564442022032</v>
      </c>
      <c r="CL29" s="14">
        <v>269.28717645564063</v>
      </c>
      <c r="CM29" s="14">
        <v>60.407794869739661</v>
      </c>
      <c r="CN29" s="27"/>
    </row>
    <row r="30" spans="1:92" s="19" customFormat="1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5"/>
      <c r="K30" s="14">
        <v>0.35349173173125004</v>
      </c>
      <c r="L30" s="14">
        <v>0.14159552894044272</v>
      </c>
      <c r="M30" s="14">
        <v>1.6667646137986871</v>
      </c>
      <c r="N30" s="14">
        <v>422328.62667299999</v>
      </c>
      <c r="O30" s="14">
        <v>208360.39627299996</v>
      </c>
      <c r="P30" s="14">
        <v>208358.80930699996</v>
      </c>
      <c r="Q30" s="14">
        <v>1476.7116050104894</v>
      </c>
      <c r="R30" s="14">
        <v>15.54433268432094</v>
      </c>
      <c r="S30" s="14">
        <v>728.56362490559457</v>
      </c>
      <c r="T30" s="14">
        <v>753.43707452112676</v>
      </c>
      <c r="U30" s="14">
        <v>-1.6783696272986866</v>
      </c>
      <c r="V30" s="14">
        <v>1.0877442596565865</v>
      </c>
      <c r="W30" s="14">
        <v>1606.2845715184244</v>
      </c>
      <c r="X30" s="14">
        <v>16.908258647562363</v>
      </c>
      <c r="Y30" s="14">
        <v>1839.9072350000001</v>
      </c>
      <c r="Z30" s="14">
        <v>19.367444578947371</v>
      </c>
      <c r="AA30" s="14">
        <v>885.27479600000004</v>
      </c>
      <c r="AB30" s="14">
        <v>954.63243899999998</v>
      </c>
      <c r="AC30" s="14">
        <v>-3.7696271681870925</v>
      </c>
      <c r="AD30" s="14">
        <v>-3136.2807938072838</v>
      </c>
      <c r="AE30" s="14">
        <v>1.2359850759833919</v>
      </c>
      <c r="AF30" s="14">
        <v>0.49508926202952003</v>
      </c>
      <c r="AG30" s="14">
        <v>5.8278482999954102</v>
      </c>
      <c r="AH30" s="14">
        <v>2676.2503685607803</v>
      </c>
      <c r="AI30" s="14">
        <v>28.171056511166107</v>
      </c>
      <c r="AJ30" s="14">
        <v>1.6603192745915241</v>
      </c>
      <c r="AK30" s="14">
        <v>1611.8889960000001</v>
      </c>
      <c r="AL30" s="14">
        <v>7.0000000000000001E-3</v>
      </c>
      <c r="AM30" s="14">
        <v>0.35899999999999999</v>
      </c>
      <c r="AN30" s="14">
        <v>0.35199999999999998</v>
      </c>
      <c r="AO30" s="14">
        <v>0.35899999999999999</v>
      </c>
      <c r="AP30" s="14">
        <v>-0.98452883263009938</v>
      </c>
      <c r="AQ30" s="14">
        <v>0.28599999999999998</v>
      </c>
      <c r="AR30" s="14">
        <v>0.28599999999999998</v>
      </c>
      <c r="AS30" s="14">
        <v>0.28399999999999997</v>
      </c>
      <c r="AT30" s="14">
        <v>0.35087719298245651</v>
      </c>
      <c r="AU30" s="14">
        <v>0.53700000000000003</v>
      </c>
      <c r="AV30" s="14">
        <v>2913.7785720000002</v>
      </c>
      <c r="AW30" s="14">
        <v>30.671353389473687</v>
      </c>
      <c r="AX30" s="14">
        <v>1380.787018</v>
      </c>
      <c r="AY30" s="14">
        <v>1930.4905550000001</v>
      </c>
      <c r="AZ30" s="14">
        <v>-16.600950082900226</v>
      </c>
      <c r="BA30" s="14">
        <v>1674.8080709721451</v>
      </c>
      <c r="BB30" s="14">
        <v>17.629558641812054</v>
      </c>
      <c r="BC30" s="14">
        <v>740.36958337500016</v>
      </c>
      <c r="BD30" s="14">
        <v>948.99256057660148</v>
      </c>
      <c r="BE30" s="14">
        <v>-12.34921582376704</v>
      </c>
      <c r="BF30" s="14">
        <v>4790.2401369999998</v>
      </c>
      <c r="BG30" s="14">
        <v>50.423580389473685</v>
      </c>
      <c r="BH30" s="14">
        <v>3048.869072</v>
      </c>
      <c r="BI30" s="14">
        <v>1745.735203</v>
      </c>
      <c r="BJ30" s="14">
        <v>27.179174635846255</v>
      </c>
      <c r="BK30" s="14">
        <v>21.965061000000006</v>
      </c>
      <c r="BL30" s="14">
        <v>125.46051799999999</v>
      </c>
      <c r="BM30" s="14">
        <v>140.87933699999999</v>
      </c>
      <c r="BN30" s="14">
        <v>-5.7891519840318297</v>
      </c>
      <c r="BO30" s="14">
        <v>105.44309799999999</v>
      </c>
      <c r="BP30" s="14">
        <v>56.156970999999999</v>
      </c>
      <c r="BQ30" s="14">
        <v>49.791072999999997</v>
      </c>
      <c r="BR30" s="14">
        <v>6.0085092274096175</v>
      </c>
      <c r="BS30" s="14">
        <v>10.077060181818181</v>
      </c>
      <c r="BT30" s="14">
        <v>-105.40305891258741</v>
      </c>
      <c r="BU30" s="14">
        <v>116.29666131690142</v>
      </c>
      <c r="BV30" s="14">
        <v>-2035.1368812734786</v>
      </c>
      <c r="BW30" s="14">
        <v>-10.791409587412586</v>
      </c>
      <c r="BX30" s="14">
        <v>-1.2816544825174825</v>
      </c>
      <c r="BY30" s="14">
        <v>-9.5938699366197167</v>
      </c>
      <c r="BZ30" s="14">
        <v>-76.430479430266189</v>
      </c>
      <c r="CA30" s="14">
        <v>0.9352375529675746</v>
      </c>
      <c r="CB30" s="14">
        <v>0.82976961071566857</v>
      </c>
      <c r="CC30" s="14">
        <v>0.83351965799571659</v>
      </c>
      <c r="CD30" s="14">
        <v>-1294.6941428434889</v>
      </c>
      <c r="CE30" s="14">
        <v>-1841.5866509637947</v>
      </c>
      <c r="CF30" s="14">
        <v>-17.437613022410741</v>
      </c>
      <c r="CG30" s="14">
        <v>1278.5331909968229</v>
      </c>
      <c r="CH30" s="14">
        <v>4314.9153215123424</v>
      </c>
      <c r="CI30" s="14">
        <v>7981.5072137120815</v>
      </c>
      <c r="CJ30" s="14">
        <v>13.458244115756031</v>
      </c>
      <c r="CK30" s="14">
        <v>45.420161279077291</v>
      </c>
      <c r="CL30" s="14">
        <v>84.015865407495596</v>
      </c>
      <c r="CM30" s="14">
        <v>58.18139066196688</v>
      </c>
      <c r="CN30" s="27"/>
    </row>
    <row r="31" spans="1:92" s="19" customFormat="1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5"/>
      <c r="K31" s="14">
        <v>0.33530039598125</v>
      </c>
      <c r="L31" s="14">
        <v>0.33179501684698959</v>
      </c>
      <c r="M31" s="14">
        <v>2.5514345436514603</v>
      </c>
      <c r="N31" s="14">
        <v>547656.72104299988</v>
      </c>
      <c r="O31" s="14">
        <v>269863.65846600011</v>
      </c>
      <c r="P31" s="14">
        <v>269861.40425200009</v>
      </c>
      <c r="Q31" s="14">
        <v>1685.1226839384613</v>
      </c>
      <c r="R31" s="14">
        <v>17.553361291025638</v>
      </c>
      <c r="S31" s="14">
        <v>830.36786304307691</v>
      </c>
      <c r="T31" s="14">
        <v>854.75482089538446</v>
      </c>
      <c r="U31" s="14">
        <v>-1.4471918326629167</v>
      </c>
      <c r="V31" s="14">
        <v>1.567205457654727</v>
      </c>
      <c r="W31" s="14">
        <v>2640.9334670861381</v>
      </c>
      <c r="X31" s="14">
        <v>27.509723615480606</v>
      </c>
      <c r="Y31" s="14">
        <v>2175.388367</v>
      </c>
      <c r="Z31" s="14">
        <v>22.660295489583334</v>
      </c>
      <c r="AA31" s="14">
        <v>1063.465866</v>
      </c>
      <c r="AB31" s="14">
        <v>1112.4814610000001</v>
      </c>
      <c r="AC31" s="14">
        <v>-2.2526094447138276</v>
      </c>
      <c r="AD31" s="14">
        <v>-6561.0607704579561</v>
      </c>
      <c r="AE31" s="14">
        <v>1.0316935260961537</v>
      </c>
      <c r="AF31" s="14">
        <v>1.0209077441445833</v>
      </c>
      <c r="AG31" s="14">
        <v>7.8505678266198773</v>
      </c>
      <c r="AH31" s="14">
        <v>4683.0972263872982</v>
      </c>
      <c r="AI31" s="14">
        <v>48.782262774867689</v>
      </c>
      <c r="AJ31" s="14">
        <v>2.4714322474624826</v>
      </c>
      <c r="AK31" s="14">
        <v>1894.8920130000001</v>
      </c>
      <c r="AL31" s="14">
        <v>-4.0000000000000001E-3</v>
      </c>
      <c r="AM31" s="14">
        <v>0.28199999999999997</v>
      </c>
      <c r="AN31" s="14">
        <v>0.28199999999999997</v>
      </c>
      <c r="AO31" s="14">
        <v>0.27800000000000002</v>
      </c>
      <c r="AP31" s="14">
        <v>0.71428571428570498</v>
      </c>
      <c r="AQ31" s="14">
        <v>0.32500000000000001</v>
      </c>
      <c r="AR31" s="14">
        <v>0.32500000000000001</v>
      </c>
      <c r="AS31" s="14">
        <v>0.32500000000000001</v>
      </c>
      <c r="AT31" s="14">
        <v>0</v>
      </c>
      <c r="AU31" s="14">
        <v>0.52300000000000002</v>
      </c>
      <c r="AV31" s="14">
        <v>3746.0342099999998</v>
      </c>
      <c r="AW31" s="14">
        <v>39.021189687499998</v>
      </c>
      <c r="AX31" s="14">
        <v>2241.608154</v>
      </c>
      <c r="AY31" s="14">
        <v>2328.8912959999998</v>
      </c>
      <c r="AZ31" s="14">
        <v>-1.9097068702196165</v>
      </c>
      <c r="BA31" s="14">
        <v>1902.2951706914894</v>
      </c>
      <c r="BB31" s="14">
        <v>19.815574694703013</v>
      </c>
      <c r="BC31" s="14">
        <v>972.48453301063853</v>
      </c>
      <c r="BD31" s="14">
        <v>943.14859973021578</v>
      </c>
      <c r="BE31" s="14">
        <v>1.5313962146003086</v>
      </c>
      <c r="BF31" s="14">
        <v>6046.1436610000001</v>
      </c>
      <c r="BG31" s="14">
        <v>62.98066313541667</v>
      </c>
      <c r="BH31" s="14">
        <v>3287.3287810000002</v>
      </c>
      <c r="BI31" s="14">
        <v>2910.28006</v>
      </c>
      <c r="BJ31" s="14">
        <v>6.0837773191759279</v>
      </c>
      <c r="BK31" s="14">
        <v>21.261745000000019</v>
      </c>
      <c r="BL31" s="14">
        <v>201.07585900000001</v>
      </c>
      <c r="BM31" s="14">
        <v>190.03923</v>
      </c>
      <c r="BN31" s="14">
        <v>2.8218366691549464</v>
      </c>
      <c r="BO31" s="14">
        <v>192.113102</v>
      </c>
      <c r="BP31" s="14">
        <v>82.323882999999995</v>
      </c>
      <c r="BQ31" s="14">
        <v>110.149895</v>
      </c>
      <c r="BR31" s="14">
        <v>-14.457040480599911</v>
      </c>
      <c r="BS31" s="14">
        <v>-0.48152763692307843</v>
      </c>
      <c r="BT31" s="14">
        <v>-147.96680721538459</v>
      </c>
      <c r="BU31" s="14">
        <v>147.48527957846156</v>
      </c>
      <c r="BV31" s="14">
        <v>61357.243933450663</v>
      </c>
      <c r="BW31" s="14">
        <v>-82.577132024615381</v>
      </c>
      <c r="BX31" s="14">
        <v>-39.750845421538472</v>
      </c>
      <c r="BY31" s="14">
        <v>-42.826286603076923</v>
      </c>
      <c r="BZ31" s="14">
        <v>-3.7243254956126277</v>
      </c>
      <c r="CA31" s="14">
        <v>0.91067559741817083</v>
      </c>
      <c r="CB31" s="14">
        <v>0.78958573125879383</v>
      </c>
      <c r="CC31" s="14">
        <v>0.78750238875576051</v>
      </c>
      <c r="CD31" s="14">
        <v>-2762.0311733287758</v>
      </c>
      <c r="CE31" s="14">
        <v>-3799.0295971291789</v>
      </c>
      <c r="CF31" s="14">
        <v>-15.805347032748514</v>
      </c>
      <c r="CG31" s="14">
        <v>4692.6239906333976</v>
      </c>
      <c r="CH31" s="14">
        <v>5133.6524668325756</v>
      </c>
      <c r="CI31" s="14">
        <v>11137.849087501476</v>
      </c>
      <c r="CJ31" s="14">
        <v>48.881499902431223</v>
      </c>
      <c r="CK31" s="14">
        <v>53.475546529505998</v>
      </c>
      <c r="CL31" s="14">
        <v>116.01926132814037</v>
      </c>
      <c r="CM31" s="14">
        <v>65.06036812194516</v>
      </c>
      <c r="CN31" s="27"/>
    </row>
    <row r="32" spans="1:92" s="19" customFormat="1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5"/>
      <c r="K32" s="14">
        <v>0.32385971292499999</v>
      </c>
      <c r="L32" s="14">
        <v>0.46433460237532748</v>
      </c>
      <c r="M32" s="14">
        <v>3.0183182235483264</v>
      </c>
      <c r="N32" s="14">
        <v>454490.16022000014</v>
      </c>
      <c r="O32" s="14">
        <v>233971.25710499997</v>
      </c>
      <c r="P32" s="14">
        <v>233970.46362199998</v>
      </c>
      <c r="Q32" s="14">
        <v>1567.2266642655175</v>
      </c>
      <c r="R32" s="14">
        <v>20.092649541865608</v>
      </c>
      <c r="S32" s="14">
        <v>806.81317115172396</v>
      </c>
      <c r="T32" s="14">
        <v>771.06119479370625</v>
      </c>
      <c r="U32" s="14">
        <v>2.265831623203781</v>
      </c>
      <c r="V32" s="14">
        <v>1.8916315517560747</v>
      </c>
      <c r="W32" s="14">
        <v>2964.6154068780775</v>
      </c>
      <c r="X32" s="14">
        <v>38.007889831770221</v>
      </c>
      <c r="Y32" s="14">
        <v>1914.6389389999999</v>
      </c>
      <c r="Z32" s="14">
        <v>24.546653064102564</v>
      </c>
      <c r="AA32" s="14">
        <v>1003.287415</v>
      </c>
      <c r="AB32" s="14">
        <v>911.42366800000002</v>
      </c>
      <c r="AC32" s="14">
        <v>4.7977863509342829</v>
      </c>
      <c r="AD32" s="14">
        <v>-917.08757801777369</v>
      </c>
      <c r="AE32" s="14">
        <v>1.1167576307758622</v>
      </c>
      <c r="AF32" s="14">
        <v>1.6011538012942328</v>
      </c>
      <c r="AG32" s="14">
        <v>10.407993874304575</v>
      </c>
      <c r="AH32" s="14">
        <v>4921.3509065850849</v>
      </c>
      <c r="AI32" s="14">
        <v>63.09424239211647</v>
      </c>
      <c r="AJ32" s="14">
        <v>2.8940191185730253</v>
      </c>
      <c r="AK32" s="14">
        <v>1700.52467</v>
      </c>
      <c r="AL32" s="14">
        <v>-8.9999999999999993E-3</v>
      </c>
      <c r="AM32" s="14">
        <v>0.223</v>
      </c>
      <c r="AN32" s="14">
        <v>0.223</v>
      </c>
      <c r="AO32" s="14">
        <v>0.214</v>
      </c>
      <c r="AP32" s="14">
        <v>2.0594965675057226</v>
      </c>
      <c r="AQ32" s="14">
        <v>0.28999999999999998</v>
      </c>
      <c r="AR32" s="14">
        <v>0.28999999999999998</v>
      </c>
      <c r="AS32" s="14">
        <v>0.28599999999999998</v>
      </c>
      <c r="AT32" s="14">
        <v>0.69444444444444509</v>
      </c>
      <c r="AU32" s="14">
        <v>0.51400000000000001</v>
      </c>
      <c r="AV32" s="14">
        <v>2532.4918210000001</v>
      </c>
      <c r="AW32" s="14">
        <v>32.467843858974362</v>
      </c>
      <c r="AX32" s="14">
        <v>1192.677414</v>
      </c>
      <c r="AY32" s="14">
        <v>1344.214645</v>
      </c>
      <c r="AZ32" s="14">
        <v>-5.9733416903726466</v>
      </c>
      <c r="BA32" s="14">
        <v>1751.4740444708518</v>
      </c>
      <c r="BB32" s="14">
        <v>22.454795441933999</v>
      </c>
      <c r="BC32" s="14">
        <v>922.69716551569513</v>
      </c>
      <c r="BD32" s="14">
        <v>863.72012741121489</v>
      </c>
      <c r="BE32" s="14">
        <v>3.3014144196875082</v>
      </c>
      <c r="BF32" s="14">
        <v>3148.7758560000002</v>
      </c>
      <c r="BG32" s="14">
        <v>40.368921230769232</v>
      </c>
      <c r="BH32" s="14">
        <v>1558.184628</v>
      </c>
      <c r="BI32" s="14">
        <v>1636.8296780000001</v>
      </c>
      <c r="BJ32" s="14">
        <v>-2.4614928907301139</v>
      </c>
      <c r="BK32" s="14">
        <v>49.412373000000002</v>
      </c>
      <c r="BL32" s="14">
        <v>198.22653600000001</v>
      </c>
      <c r="BM32" s="14">
        <v>217.97344200000001</v>
      </c>
      <c r="BN32" s="14">
        <v>-4.7445716107173839</v>
      </c>
      <c r="BO32" s="14">
        <v>131.44770600000001</v>
      </c>
      <c r="BP32" s="14">
        <v>58.753822999999997</v>
      </c>
      <c r="BQ32" s="14">
        <v>75.128431000000006</v>
      </c>
      <c r="BR32" s="14">
        <v>-12.230603766201913</v>
      </c>
      <c r="BS32" s="14">
        <v>2.0360682931034506</v>
      </c>
      <c r="BT32" s="14">
        <v>-161.49404354827587</v>
      </c>
      <c r="BU32" s="14">
        <v>165.81964235664339</v>
      </c>
      <c r="BV32" s="14">
        <v>-7566.8988365670375</v>
      </c>
      <c r="BW32" s="14">
        <v>-30.428899555172411</v>
      </c>
      <c r="BX32" s="14">
        <v>-7.7828514172413792</v>
      </c>
      <c r="BY32" s="14">
        <v>-22.964226346153843</v>
      </c>
      <c r="BZ32" s="14">
        <v>-49.375017182888456</v>
      </c>
      <c r="CA32" s="14">
        <v>0.91369116499390313</v>
      </c>
      <c r="CB32" s="14">
        <v>0.79609066874386336</v>
      </c>
      <c r="CC32" s="14">
        <v>0.75666612037411318</v>
      </c>
      <c r="CD32" s="14">
        <v>-725.33207077238524</v>
      </c>
      <c r="CE32" s="14">
        <v>-191.75550724538701</v>
      </c>
      <c r="CF32" s="14">
        <v>58.181636772388835</v>
      </c>
      <c r="CG32" s="14">
        <v>3188.4446131938712</v>
      </c>
      <c r="CH32" s="14">
        <v>2092.2831871937183</v>
      </c>
      <c r="CI32" s="14">
        <v>8888.5679195931752</v>
      </c>
      <c r="CJ32" s="14">
        <v>40.877495040947068</v>
      </c>
      <c r="CK32" s="14">
        <v>26.824143425560489</v>
      </c>
      <c r="CL32" s="14">
        <v>113.95599896914327</v>
      </c>
      <c r="CM32" s="14">
        <v>36.136607250270764</v>
      </c>
      <c r="CN32" s="27"/>
    </row>
    <row r="33" spans="1:92" s="19" customFormat="1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5"/>
      <c r="K33" s="8">
        <v>0.39548258119999996</v>
      </c>
      <c r="L33" s="8">
        <v>0.36913665078665014</v>
      </c>
      <c r="M33" s="8">
        <v>2.691182098713143</v>
      </c>
      <c r="N33" s="8">
        <v>403876.82388500002</v>
      </c>
      <c r="O33" s="8">
        <v>194849.05450699988</v>
      </c>
      <c r="P33" s="8">
        <v>194847.34130499986</v>
      </c>
      <c r="Q33" s="8">
        <v>1452.817099701439</v>
      </c>
      <c r="R33" s="14">
        <v>19.370894662685853</v>
      </c>
      <c r="S33" s="8">
        <v>700.91949200359716</v>
      </c>
      <c r="T33" s="8">
        <v>760.12130846181822</v>
      </c>
      <c r="U33" s="8">
        <v>-4.0520303361386132</v>
      </c>
      <c r="V33" s="8">
        <v>1.6217035353620901</v>
      </c>
      <c r="W33" s="8">
        <v>2356.038626820322</v>
      </c>
      <c r="X33" s="14">
        <v>31.413848357604294</v>
      </c>
      <c r="Y33" s="8">
        <v>1799.4215399999998</v>
      </c>
      <c r="Z33" s="14">
        <v>23.992287199999996</v>
      </c>
      <c r="AA33" s="8">
        <v>892.77680999999995</v>
      </c>
      <c r="AB33" s="8">
        <v>927.96058700000003</v>
      </c>
      <c r="AC33" s="8">
        <v>-1.932391626490005</v>
      </c>
      <c r="AD33" s="8">
        <v>-4022.6962899658138</v>
      </c>
      <c r="AE33" s="8">
        <v>1.4225992129496401</v>
      </c>
      <c r="AF33" s="8">
        <v>1.3278296790886694</v>
      </c>
      <c r="AG33" s="8">
        <v>9.6805111464501543</v>
      </c>
      <c r="AH33" s="8">
        <v>4037.6475369345121</v>
      </c>
      <c r="AI33" s="14">
        <v>53.835300492460163</v>
      </c>
      <c r="AJ33" s="8">
        <v>2.5053931259012909</v>
      </c>
      <c r="AK33" s="8">
        <v>1611.5824279999999</v>
      </c>
      <c r="AL33" s="8">
        <v>-7.0000000000000001E-3</v>
      </c>
      <c r="AM33" s="8">
        <v>0.3</v>
      </c>
      <c r="AN33" s="8">
        <v>0.3</v>
      </c>
      <c r="AO33" s="8">
        <v>0.29299999999999998</v>
      </c>
      <c r="AP33" s="8">
        <v>1.1804384485666115</v>
      </c>
      <c r="AQ33" s="8">
        <v>0.27800000000000002</v>
      </c>
      <c r="AR33" s="8">
        <v>0.27800000000000002</v>
      </c>
      <c r="AS33" s="8">
        <v>0.27500000000000002</v>
      </c>
      <c r="AT33" s="8">
        <v>0.54249547920434038</v>
      </c>
      <c r="AU33" s="8">
        <v>0.56799999999999995</v>
      </c>
      <c r="AV33" s="8">
        <v>1894.982178</v>
      </c>
      <c r="AW33" s="14">
        <v>25.266429039999998</v>
      </c>
      <c r="AX33" s="8">
        <v>924.02922100000001</v>
      </c>
      <c r="AY33" s="8">
        <v>1000.149521</v>
      </c>
      <c r="AZ33" s="8">
        <v>-3.9559890325407223</v>
      </c>
      <c r="BA33" s="8">
        <v>1439.1857055866667</v>
      </c>
      <c r="BB33" s="14">
        <v>19.189142741155557</v>
      </c>
      <c r="BC33" s="8">
        <v>726.99478834333343</v>
      </c>
      <c r="BD33" s="8">
        <v>729.24221556996599</v>
      </c>
      <c r="BE33" s="8">
        <v>-0.15433114394107053</v>
      </c>
      <c r="BF33" s="8">
        <v>2968.420685</v>
      </c>
      <c r="BG33" s="14">
        <v>39.578942466666668</v>
      </c>
      <c r="BH33" s="8">
        <v>1225.516754</v>
      </c>
      <c r="BI33" s="8">
        <v>1751.10923</v>
      </c>
      <c r="BJ33" s="8">
        <v>-17.657323386450692</v>
      </c>
      <c r="BK33" s="8">
        <v>27.014496999999999</v>
      </c>
      <c r="BL33" s="8">
        <v>162.05091100000001</v>
      </c>
      <c r="BM33" s="8">
        <v>174.223671</v>
      </c>
      <c r="BN33" s="8">
        <v>-3.6198870362434894</v>
      </c>
      <c r="BO33" s="8">
        <v>173.24984899999998</v>
      </c>
      <c r="BP33" s="8">
        <v>68.816637</v>
      </c>
      <c r="BQ33" s="8">
        <v>106.416916</v>
      </c>
      <c r="BR33" s="8">
        <v>-21.457237130836468</v>
      </c>
      <c r="BS33" s="8">
        <v>6.7961788057553951</v>
      </c>
      <c r="BT33" s="8">
        <v>-129.69934562230219</v>
      </c>
      <c r="BU33" s="8">
        <v>137.98712402181818</v>
      </c>
      <c r="BV33" s="8">
        <v>-3229.8941494351916</v>
      </c>
      <c r="BW33" s="8">
        <v>-34.957697129496403</v>
      </c>
      <c r="BX33" s="8">
        <v>4.6424475611510809</v>
      </c>
      <c r="BY33" s="8">
        <v>-40.045720734545455</v>
      </c>
      <c r="BZ33" s="8">
        <v>-126.22609236391106</v>
      </c>
      <c r="CA33" s="8">
        <v>0.89985209807096678</v>
      </c>
      <c r="CB33" s="8">
        <v>0.79453681553572142</v>
      </c>
      <c r="CC33" s="8">
        <v>0.7677971914662397</v>
      </c>
      <c r="CD33" s="8">
        <v>-2602.3292669446296</v>
      </c>
      <c r="CE33" s="8">
        <v>-1420.3670230211833</v>
      </c>
      <c r="CF33" s="8">
        <v>29.382338579020374</v>
      </c>
      <c r="CG33" s="8">
        <v>1202.4876594823763</v>
      </c>
      <c r="CH33" s="8">
        <v>1355.7172493574062</v>
      </c>
      <c r="CI33" s="8">
        <v>3882.892296746058</v>
      </c>
      <c r="CJ33" s="8">
        <v>16.033168793098351</v>
      </c>
      <c r="CK33" s="8">
        <v>18.076229991432083</v>
      </c>
      <c r="CL33" s="8">
        <v>51.771897289947439</v>
      </c>
      <c r="CM33" s="8">
        <v>43.67053640965694</v>
      </c>
      <c r="CN33" s="27"/>
    </row>
    <row r="34" spans="1:92" s="19" customFormat="1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5"/>
      <c r="K34" s="14">
        <v>0.31138075079999999</v>
      </c>
      <c r="L34" s="14">
        <v>0.37935967974545215</v>
      </c>
      <c r="M34" s="14">
        <v>2.7281929764233634</v>
      </c>
      <c r="N34" s="14">
        <v>509833.81142900005</v>
      </c>
      <c r="O34" s="14">
        <v>244955.6076309999</v>
      </c>
      <c r="P34" s="14">
        <v>244957.41100199989</v>
      </c>
      <c r="Q34" s="14">
        <v>1512.8638274658751</v>
      </c>
      <c r="R34" s="14">
        <v>17.798397970186766</v>
      </c>
      <c r="S34" s="14">
        <v>737.82879600000001</v>
      </c>
      <c r="T34" s="14">
        <v>786.02496325816026</v>
      </c>
      <c r="U34" s="14">
        <v>-3.1627816623048539</v>
      </c>
      <c r="V34" s="14">
        <v>1.6290206408602381</v>
      </c>
      <c r="W34" s="14">
        <v>2464.4864017527325</v>
      </c>
      <c r="X34" s="14">
        <v>28.993957667679204</v>
      </c>
      <c r="Y34" s="14">
        <v>1781.9829629999999</v>
      </c>
      <c r="Z34" s="14">
        <v>20.964505447058823</v>
      </c>
      <c r="AA34" s="14">
        <v>876.546471</v>
      </c>
      <c r="AB34" s="14">
        <v>953.69470200000001</v>
      </c>
      <c r="AC34" s="14">
        <v>-4.2151948135635138</v>
      </c>
      <c r="AD34" s="14">
        <v>2009.9424778401253</v>
      </c>
      <c r="AE34" s="14">
        <v>0.9239784890207714</v>
      </c>
      <c r="AF34" s="14">
        <v>1.1256963790666235</v>
      </c>
      <c r="AG34" s="14">
        <v>8.0955281199506324</v>
      </c>
      <c r="AH34" s="14">
        <v>4563.0091753485676</v>
      </c>
      <c r="AI34" s="14">
        <v>53.68246088645374</v>
      </c>
      <c r="AJ34" s="14">
        <v>2.638002578341748</v>
      </c>
      <c r="AK34" s="14">
        <v>1729.721272</v>
      </c>
      <c r="AL34" s="14">
        <v>-4.0000000000000001E-3</v>
      </c>
      <c r="AM34" s="14">
        <v>0.32300000000000001</v>
      </c>
      <c r="AN34" s="14">
        <v>0.32300000000000001</v>
      </c>
      <c r="AO34" s="14">
        <v>0.31900000000000001</v>
      </c>
      <c r="AP34" s="14">
        <v>0.62305295950155815</v>
      </c>
      <c r="AQ34" s="14">
        <v>0.33700000000000002</v>
      </c>
      <c r="AR34" s="14">
        <v>0.33200000000000002</v>
      </c>
      <c r="AS34" s="14">
        <v>0.33700000000000002</v>
      </c>
      <c r="AT34" s="14">
        <v>-0.74738415545590497</v>
      </c>
      <c r="AU34" s="14">
        <v>0.504</v>
      </c>
      <c r="AV34" s="14">
        <v>3474.536728</v>
      </c>
      <c r="AW34" s="14">
        <v>40.876902682352942</v>
      </c>
      <c r="AX34" s="14">
        <v>1821.3865659999999</v>
      </c>
      <c r="AY34" s="14">
        <v>1653.1501619999999</v>
      </c>
      <c r="AZ34" s="14">
        <v>4.8419808788966119</v>
      </c>
      <c r="BA34" s="14">
        <v>1575.8905448699688</v>
      </c>
      <c r="BB34" s="14">
        <v>18.539888763176105</v>
      </c>
      <c r="BC34" s="14">
        <v>782.01394113003107</v>
      </c>
      <c r="BD34" s="14">
        <v>803.83337405015686</v>
      </c>
      <c r="BE34" s="14">
        <v>-1.3758848478831402</v>
      </c>
      <c r="BF34" s="14">
        <v>3486.6192819999997</v>
      </c>
      <c r="BG34" s="14">
        <v>41.019050376470581</v>
      </c>
      <c r="BH34" s="14">
        <v>1357.108749</v>
      </c>
      <c r="BI34" s="14">
        <v>2341.5689389999998</v>
      </c>
      <c r="BJ34" s="14">
        <v>-26.616544425971078</v>
      </c>
      <c r="BK34" s="14">
        <v>32.604946999999996</v>
      </c>
      <c r="BL34" s="14">
        <v>134.170795</v>
      </c>
      <c r="BM34" s="14">
        <v>118.3913</v>
      </c>
      <c r="BN34" s="14">
        <v>6.2477684943181986</v>
      </c>
      <c r="BO34" s="14">
        <v>152.150408</v>
      </c>
      <c r="BP34" s="14">
        <v>69.790457000000004</v>
      </c>
      <c r="BQ34" s="14">
        <v>87.301186000000001</v>
      </c>
      <c r="BR34" s="14">
        <v>-11.146824022968554</v>
      </c>
      <c r="BS34" s="14">
        <v>-2.5696700563798216</v>
      </c>
      <c r="BT34" s="14">
        <v>-92.004128680722914</v>
      </c>
      <c r="BU34" s="14">
        <v>88.045278071216615</v>
      </c>
      <c r="BV34" s="14">
        <v>4548.02225473199</v>
      </c>
      <c r="BW34" s="14">
        <v>-46.871002094955486</v>
      </c>
      <c r="BX34" s="14">
        <v>-12.751353533132532</v>
      </c>
      <c r="BY34" s="14">
        <v>-34.407140225519292</v>
      </c>
      <c r="BZ34" s="14">
        <v>-45.921285788339524</v>
      </c>
      <c r="CA34" s="14">
        <v>0.90606002165662791</v>
      </c>
      <c r="CB34" s="14">
        <v>0.8112357295941327</v>
      </c>
      <c r="CC34" s="14">
        <v>0.82258516556938188</v>
      </c>
      <c r="CD34" s="14">
        <v>1172.7848694873878</v>
      </c>
      <c r="CE34" s="14">
        <v>837.15760835273693</v>
      </c>
      <c r="CF34" s="14">
        <v>16.69835156154889</v>
      </c>
      <c r="CG34" s="14">
        <v>2100.8854092378438</v>
      </c>
      <c r="CH34" s="14">
        <v>1958.2970107738172</v>
      </c>
      <c r="CI34" s="14">
        <v>7871.111975128857</v>
      </c>
      <c r="CJ34" s="14">
        <v>24.716298932209927</v>
      </c>
      <c r="CK34" s="14">
        <v>23.038788362044908</v>
      </c>
      <c r="CL34" s="14">
        <v>92.601317354457137</v>
      </c>
      <c r="CM34" s="14">
        <v>72.573688419505473</v>
      </c>
      <c r="CN34" s="27"/>
    </row>
    <row r="35" spans="1:92" s="19" customFormat="1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5"/>
      <c r="K35" s="14">
        <v>0.32512109328124994</v>
      </c>
      <c r="L35" s="14">
        <v>0.417571220482642</v>
      </c>
      <c r="M35" s="14">
        <v>2.8622975641727813</v>
      </c>
      <c r="N35" s="14">
        <v>492495.85976100032</v>
      </c>
      <c r="O35" s="14">
        <v>249631.9464030001</v>
      </c>
      <c r="P35" s="14">
        <v>249632.0546050001</v>
      </c>
      <c r="Q35" s="14">
        <v>1553.6221519747633</v>
      </c>
      <c r="R35" s="14">
        <v>18.718339180418834</v>
      </c>
      <c r="S35" s="14">
        <v>787.49118473186115</v>
      </c>
      <c r="T35" s="14">
        <v>801.53957814851481</v>
      </c>
      <c r="U35" s="14">
        <v>-0.88408567944831107</v>
      </c>
      <c r="V35" s="14">
        <v>1.7906870490807423</v>
      </c>
      <c r="W35" s="14">
        <v>2782.0510667061612</v>
      </c>
      <c r="X35" s="14">
        <v>33.518687550676638</v>
      </c>
      <c r="Y35" s="14">
        <v>1906.9565660000001</v>
      </c>
      <c r="Z35" s="14">
        <v>22.975380313253012</v>
      </c>
      <c r="AA35" s="14">
        <v>948.266525</v>
      </c>
      <c r="AB35" s="14">
        <v>978.472984</v>
      </c>
      <c r="AC35" s="14">
        <v>-1.5677500180435651</v>
      </c>
      <c r="AD35" s="14">
        <v>-3547.0117562269206</v>
      </c>
      <c r="AE35" s="14">
        <v>1.0256185907925865</v>
      </c>
      <c r="AF35" s="14">
        <v>1.3172593706077034</v>
      </c>
      <c r="AG35" s="14">
        <v>9.0293298554346411</v>
      </c>
      <c r="AH35" s="14">
        <v>4941.3399503498795</v>
      </c>
      <c r="AI35" s="14">
        <v>59.534216269275653</v>
      </c>
      <c r="AJ35" s="14">
        <v>2.8072920792462766</v>
      </c>
      <c r="AK35" s="14">
        <v>1760.180206</v>
      </c>
      <c r="AL35" s="14">
        <v>7.0000000000000001E-3</v>
      </c>
      <c r="AM35" s="14">
        <v>0.30499999999999999</v>
      </c>
      <c r="AN35" s="14">
        <v>0.29799999999999999</v>
      </c>
      <c r="AO35" s="14">
        <v>0.30499999999999999</v>
      </c>
      <c r="AP35" s="14">
        <v>-1.1608623548922068</v>
      </c>
      <c r="AQ35" s="14">
        <v>0.317</v>
      </c>
      <c r="AR35" s="14">
        <v>0.317</v>
      </c>
      <c r="AS35" s="14">
        <v>0.30299999999999999</v>
      </c>
      <c r="AT35" s="14">
        <v>2.2580645161290342</v>
      </c>
      <c r="AU35" s="14">
        <v>0.51500000000000001</v>
      </c>
      <c r="AV35" s="14">
        <v>2665.81504</v>
      </c>
      <c r="AW35" s="14">
        <v>32.118253493975907</v>
      </c>
      <c r="AX35" s="14">
        <v>1672.8429410000001</v>
      </c>
      <c r="AY35" s="14">
        <v>1131.669357</v>
      </c>
      <c r="AZ35" s="14">
        <v>19.296530964971367</v>
      </c>
      <c r="BA35" s="14">
        <v>1580.2961410032783</v>
      </c>
      <c r="BB35" s="14">
        <v>19.039712542208171</v>
      </c>
      <c r="BC35" s="14">
        <v>822.23826533892634</v>
      </c>
      <c r="BD35" s="14">
        <v>776.98029910819685</v>
      </c>
      <c r="BE35" s="14">
        <v>2.8300050560240919</v>
      </c>
      <c r="BF35" s="14">
        <v>4530.3023030000004</v>
      </c>
      <c r="BG35" s="14">
        <v>54.581955457831327</v>
      </c>
      <c r="BH35" s="14">
        <v>2708.3204799999999</v>
      </c>
      <c r="BI35" s="14">
        <v>1874.7664110000001</v>
      </c>
      <c r="BJ35" s="14">
        <v>18.187612166744753</v>
      </c>
      <c r="BK35" s="14">
        <v>23.119216999999992</v>
      </c>
      <c r="BL35" s="14">
        <v>104.86602000000001</v>
      </c>
      <c r="BM35" s="14">
        <v>122.196415</v>
      </c>
      <c r="BN35" s="14">
        <v>-7.632435986163892</v>
      </c>
      <c r="BO35" s="14">
        <v>139.725179</v>
      </c>
      <c r="BP35" s="14">
        <v>78.212196000000006</v>
      </c>
      <c r="BQ35" s="14">
        <v>65.119726</v>
      </c>
      <c r="BR35" s="14">
        <v>9.134371337042424</v>
      </c>
      <c r="BS35" s="14">
        <v>15.297421198738173</v>
      </c>
      <c r="BT35" s="14">
        <v>-71.616240233438489</v>
      </c>
      <c r="BU35" s="14">
        <v>90.923879554455453</v>
      </c>
      <c r="BV35" s="14">
        <v>-841.84356816197624</v>
      </c>
      <c r="BW35" s="14">
        <v>23.821619823343845</v>
      </c>
      <c r="BX35" s="14">
        <v>14.26068188328076</v>
      </c>
      <c r="BY35" s="14">
        <v>10.004542485148516</v>
      </c>
      <c r="BZ35" s="14">
        <v>17.540078482314691</v>
      </c>
      <c r="CA35" s="14">
        <v>0.92132364464520922</v>
      </c>
      <c r="CB35" s="14">
        <v>0.83817645553540443</v>
      </c>
      <c r="CC35" s="14">
        <v>0.83932244950389301</v>
      </c>
      <c r="CD35" s="14">
        <v>-1289.1201931920687</v>
      </c>
      <c r="CE35" s="14">
        <v>-2257.8915630348511</v>
      </c>
      <c r="CF35" s="14">
        <v>-27.312324751731254</v>
      </c>
      <c r="CG35" s="14">
        <v>3273.5906267640353</v>
      </c>
      <c r="CH35" s="14">
        <v>2050.0404485574209</v>
      </c>
      <c r="CI35" s="14">
        <v>6762.1596846891371</v>
      </c>
      <c r="CJ35" s="14">
        <v>39.440850924867895</v>
      </c>
      <c r="CK35" s="14">
        <v>24.699282512740009</v>
      </c>
      <c r="CL35" s="14">
        <v>81.471803429989606</v>
      </c>
      <c r="CM35" s="14">
        <v>59.735902307761016</v>
      </c>
      <c r="CN35" s="27"/>
    </row>
    <row r="36" spans="1:92" s="19" customFormat="1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5"/>
      <c r="K36" s="14">
        <v>0.31883870812499998</v>
      </c>
      <c r="L36" s="14">
        <v>0.3179904958547114</v>
      </c>
      <c r="M36" s="14">
        <v>2.4977937322103756</v>
      </c>
      <c r="N36" s="14">
        <v>358625.72028800013</v>
      </c>
      <c r="O36" s="14">
        <v>183421.45297600012</v>
      </c>
      <c r="P36" s="14">
        <v>183418.51348100012</v>
      </c>
      <c r="Q36" s="14">
        <v>1601.0536497142857</v>
      </c>
      <c r="R36" s="14">
        <v>20.792904541743969</v>
      </c>
      <c r="S36" s="14">
        <v>829.98711143891376</v>
      </c>
      <c r="T36" s="14">
        <v>782.26294471874996</v>
      </c>
      <c r="U36" s="14">
        <v>2.9600970729007559</v>
      </c>
      <c r="V36" s="14">
        <v>1.6616642961939503</v>
      </c>
      <c r="W36" s="14">
        <v>2660.4136860212438</v>
      </c>
      <c r="X36" s="14">
        <v>34.550827091184985</v>
      </c>
      <c r="Y36" s="14">
        <v>2128.7170639999999</v>
      </c>
      <c r="Z36" s="14">
        <v>27.645676155844153</v>
      </c>
      <c r="AA36" s="14">
        <v>1110.696171</v>
      </c>
      <c r="AB36" s="14">
        <v>1038.362946</v>
      </c>
      <c r="AC36" s="14">
        <v>3.3658089918426422</v>
      </c>
      <c r="AD36" s="14">
        <v>-1459.2370247436709</v>
      </c>
      <c r="AE36" s="14">
        <v>1.42338708984375</v>
      </c>
      <c r="AF36" s="14">
        <v>1.4196004279228187</v>
      </c>
      <c r="AG36" s="14">
        <v>11.150864875939176</v>
      </c>
      <c r="AH36" s="14">
        <v>3731.5087562673011</v>
      </c>
      <c r="AI36" s="14">
        <v>48.461152678796118</v>
      </c>
      <c r="AJ36" s="14">
        <v>2.2979713831922997</v>
      </c>
      <c r="AK36" s="14">
        <v>1623.8273389999999</v>
      </c>
      <c r="AL36" s="14">
        <v>-4.0000000000000001E-3</v>
      </c>
      <c r="AM36" s="14">
        <v>0.14099999999999999</v>
      </c>
      <c r="AN36" s="14">
        <v>0.14099999999999999</v>
      </c>
      <c r="AO36" s="14">
        <v>0.13700000000000001</v>
      </c>
      <c r="AP36" s="14">
        <v>1.4388489208633006</v>
      </c>
      <c r="AQ36" s="14">
        <v>0.224</v>
      </c>
      <c r="AR36" s="14">
        <v>0.221</v>
      </c>
      <c r="AS36" s="14">
        <v>0.224</v>
      </c>
      <c r="AT36" s="14">
        <v>-0.67415730337078716</v>
      </c>
      <c r="AU36" s="14">
        <v>0.51</v>
      </c>
      <c r="AV36" s="14">
        <v>5322.0542000000005</v>
      </c>
      <c r="AW36" s="14">
        <v>69.117587012987016</v>
      </c>
      <c r="AX36" s="14">
        <v>2931.487701</v>
      </c>
      <c r="AY36" s="14">
        <v>2.7050559999999999</v>
      </c>
      <c r="AZ36" s="14">
        <v>99.815618384746784</v>
      </c>
      <c r="BA36" s="14">
        <v>2293.0160756808509</v>
      </c>
      <c r="BB36" s="14">
        <v>29.779429554296765</v>
      </c>
      <c r="BC36" s="14">
        <v>1208.3032935815602</v>
      </c>
      <c r="BD36" s="14">
        <v>1116.507621386861</v>
      </c>
      <c r="BE36" s="14">
        <v>3.9485220756521624</v>
      </c>
      <c r="BF36" s="14">
        <v>3512.2633059999998</v>
      </c>
      <c r="BG36" s="14">
        <v>45.613809168831168</v>
      </c>
      <c r="BH36" s="14">
        <v>1868.5988620000001</v>
      </c>
      <c r="BI36" s="14">
        <v>1762.2541200000001</v>
      </c>
      <c r="BJ36" s="14">
        <v>2.9289189765381689</v>
      </c>
      <c r="BK36" s="14">
        <v>49.682867999999999</v>
      </c>
      <c r="BL36" s="14">
        <v>123.40467099999999</v>
      </c>
      <c r="BM36" s="14">
        <v>137.39883399999999</v>
      </c>
      <c r="BN36" s="14">
        <v>-5.3657879329497522</v>
      </c>
      <c r="BO36" s="14">
        <v>241.90417500000001</v>
      </c>
      <c r="BP36" s="14">
        <v>146.23534799999999</v>
      </c>
      <c r="BQ36" s="14">
        <v>107.751411</v>
      </c>
      <c r="BR36" s="14">
        <v>15.151946168973312</v>
      </c>
      <c r="BS36" s="14">
        <v>16.683354861607143</v>
      </c>
      <c r="BT36" s="14">
        <v>-91.071782769230779</v>
      </c>
      <c r="BU36" s="14">
        <v>106.50386725892858</v>
      </c>
      <c r="BV36" s="14">
        <v>-1280.2913965385399</v>
      </c>
      <c r="BW36" s="14">
        <v>-127.52601972321428</v>
      </c>
      <c r="BX36" s="14">
        <v>-72.700247285067874</v>
      </c>
      <c r="BY36" s="14">
        <v>-55.952561977678556</v>
      </c>
      <c r="BZ36" s="14">
        <v>13.017737741883023</v>
      </c>
      <c r="CA36" s="14">
        <v>0.8795246257870355</v>
      </c>
      <c r="CB36" s="14">
        <v>0.80465627073068346</v>
      </c>
      <c r="CC36" s="14">
        <v>0.80900060340712143</v>
      </c>
      <c r="CD36" s="14">
        <v>-572.50329599452607</v>
      </c>
      <c r="CE36" s="14">
        <v>-886.73372874914526</v>
      </c>
      <c r="CF36" s="14">
        <v>-21.533885683158069</v>
      </c>
      <c r="CG36" s="14">
        <v>11364.815286131661</v>
      </c>
      <c r="CH36" s="14">
        <v>9.9886854307157726</v>
      </c>
      <c r="CI36" s="14">
        <v>29160.14982323454</v>
      </c>
      <c r="CJ36" s="14">
        <v>147.5950037159956</v>
      </c>
      <c r="CK36" s="14">
        <v>0.12972318741189315</v>
      </c>
      <c r="CL36" s="14">
        <v>378.70324445759144</v>
      </c>
      <c r="CM36" s="14">
        <v>71.012175167250263</v>
      </c>
      <c r="CN36" s="27"/>
    </row>
    <row r="37" spans="1:92" s="19" customFormat="1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5"/>
      <c r="K37" s="14">
        <v>0.28479001932499998</v>
      </c>
      <c r="L37" s="14">
        <v>0.17876177101515506</v>
      </c>
      <c r="M37" s="14">
        <v>1.8727802720333591</v>
      </c>
      <c r="N37" s="14">
        <v>295073.1432739998</v>
      </c>
      <c r="O37" s="14">
        <v>136227.34399599995</v>
      </c>
      <c r="P37" s="14">
        <v>136226.44231099996</v>
      </c>
      <c r="Q37" s="14">
        <v>1317.3067587008929</v>
      </c>
      <c r="R37" s="14">
        <v>18.045298064395794</v>
      </c>
      <c r="S37" s="14">
        <v>608.17340417857145</v>
      </c>
      <c r="T37" s="14">
        <v>722.03693466363632</v>
      </c>
      <c r="U37" s="14">
        <v>-8.559813975297299</v>
      </c>
      <c r="V37" s="14">
        <v>1.3018530575849128</v>
      </c>
      <c r="W37" s="14">
        <v>1714.9398315920284</v>
      </c>
      <c r="X37" s="14">
        <v>23.492326460164772</v>
      </c>
      <c r="Y37" s="14">
        <v>1760.865493</v>
      </c>
      <c r="Z37" s="14">
        <v>24.12144510958904</v>
      </c>
      <c r="AA37" s="14">
        <v>758.13713800000005</v>
      </c>
      <c r="AB37" s="14">
        <v>1002.728355</v>
      </c>
      <c r="AC37" s="14">
        <v>-13.890397533049953</v>
      </c>
      <c r="AD37" s="14">
        <v>-2173.7719839507981</v>
      </c>
      <c r="AE37" s="14">
        <v>1.2713840148437499</v>
      </c>
      <c r="AF37" s="14">
        <v>0.79804362060337075</v>
      </c>
      <c r="AG37" s="14">
        <v>8.3606262144346388</v>
      </c>
      <c r="AH37" s="14">
        <v>2712.0482630030788</v>
      </c>
      <c r="AI37" s="14">
        <v>37.151346068535325</v>
      </c>
      <c r="AJ37" s="14">
        <v>1.8310266437114553</v>
      </c>
      <c r="AK37" s="14">
        <v>1481.1626430000001</v>
      </c>
      <c r="AL37" s="14">
        <v>1E-3</v>
      </c>
      <c r="AM37" s="14">
        <v>0.24299999999999999</v>
      </c>
      <c r="AN37" s="14">
        <v>0.24199999999999999</v>
      </c>
      <c r="AO37" s="14">
        <v>0.24299999999999999</v>
      </c>
      <c r="AP37" s="14">
        <v>-0.20618556701030946</v>
      </c>
      <c r="AQ37" s="14">
        <v>0.224</v>
      </c>
      <c r="AR37" s="14">
        <v>0.224</v>
      </c>
      <c r="AS37" s="14">
        <v>0.22</v>
      </c>
      <c r="AT37" s="14">
        <v>0.9009009009009018</v>
      </c>
      <c r="AU37" s="14">
        <v>0.48199999999999998</v>
      </c>
      <c r="AV37" s="14">
        <v>3036.6602330000001</v>
      </c>
      <c r="AW37" s="14">
        <v>41.598085383561646</v>
      </c>
      <c r="AX37" s="14">
        <v>1936.3515319999999</v>
      </c>
      <c r="AY37" s="14">
        <v>1237.923996</v>
      </c>
      <c r="AZ37" s="14">
        <v>22.002738257571945</v>
      </c>
      <c r="BA37" s="14">
        <v>1561.6382666584364</v>
      </c>
      <c r="BB37" s="14">
        <v>21.392305022718308</v>
      </c>
      <c r="BC37" s="14">
        <v>681.51481854958672</v>
      </c>
      <c r="BD37" s="14">
        <v>882.91007634567904</v>
      </c>
      <c r="BE37" s="14">
        <v>-12.873437290166315</v>
      </c>
      <c r="BF37" s="14">
        <v>3012.7655449999997</v>
      </c>
      <c r="BG37" s="14">
        <v>41.270760890410955</v>
      </c>
      <c r="BH37" s="14">
        <v>2236.5406189999999</v>
      </c>
      <c r="BI37" s="14">
        <v>1382.1215099999999</v>
      </c>
      <c r="BJ37" s="14">
        <v>23.611464086483107</v>
      </c>
      <c r="BK37" s="14">
        <v>49.358260000000001</v>
      </c>
      <c r="BL37" s="14">
        <v>124.612926</v>
      </c>
      <c r="BM37" s="14">
        <v>155.703045</v>
      </c>
      <c r="BN37" s="14">
        <v>-11.09109798099945</v>
      </c>
      <c r="BO37" s="14">
        <v>133.95439300000001</v>
      </c>
      <c r="BP37" s="14">
        <v>86.165062000000006</v>
      </c>
      <c r="BQ37" s="14">
        <v>49.628767000000003</v>
      </c>
      <c r="BR37" s="14">
        <v>26.90571086260481</v>
      </c>
      <c r="BS37" s="14">
        <v>23.227176361607146</v>
      </c>
      <c r="BT37" s="14">
        <v>-78.548316620535715</v>
      </c>
      <c r="BU37" s="14">
        <v>103.62907140909091</v>
      </c>
      <c r="BV37" s="14">
        <v>-726.3632596605803</v>
      </c>
      <c r="BW37" s="14">
        <v>-54.008544348214279</v>
      </c>
      <c r="BX37" s="14">
        <v>-31.701248397321429</v>
      </c>
      <c r="BY37" s="14">
        <v>-22.719112981818181</v>
      </c>
      <c r="BZ37" s="14">
        <v>16.505100642250191</v>
      </c>
      <c r="CA37" s="14">
        <v>0.90571200824515397</v>
      </c>
      <c r="CB37" s="14">
        <v>0.7824598023666316</v>
      </c>
      <c r="CC37" s="14">
        <v>0.83003180006348154</v>
      </c>
      <c r="CD37" s="14">
        <v>-169.79588790157086</v>
      </c>
      <c r="CE37" s="14">
        <v>-2003.976096049229</v>
      </c>
      <c r="CF37" s="14">
        <v>-84.377764627091267</v>
      </c>
      <c r="CG37" s="14">
        <v>4834.5813617653021</v>
      </c>
      <c r="CH37" s="14">
        <v>5111.3860078945572</v>
      </c>
      <c r="CI37" s="14">
        <v>17163.816609392641</v>
      </c>
      <c r="CJ37" s="14">
        <v>66.227141941990439</v>
      </c>
      <c r="CK37" s="14">
        <v>70.018986409514483</v>
      </c>
      <c r="CL37" s="14">
        <v>235.12077547113208</v>
      </c>
      <c r="CM37" s="14">
        <v>55.063305562772847</v>
      </c>
      <c r="CN37" s="27"/>
    </row>
    <row r="38" spans="1:92" s="19" customFormat="1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5"/>
      <c r="K38" s="3"/>
      <c r="L38" s="3"/>
      <c r="M38" s="8"/>
      <c r="N38" s="8"/>
      <c r="O38" s="8"/>
      <c r="P38" s="8"/>
      <c r="Q38" s="8"/>
      <c r="R38" s="14"/>
      <c r="S38" s="8"/>
      <c r="T38" s="8"/>
      <c r="U38" s="8"/>
      <c r="V38" s="8"/>
      <c r="W38" s="8"/>
      <c r="X38" s="14"/>
      <c r="Y38" s="8"/>
      <c r="Z38" s="14"/>
      <c r="AA38" s="8"/>
      <c r="AB38" s="8"/>
      <c r="AC38" s="8"/>
      <c r="AD38" s="8"/>
      <c r="AE38" s="8"/>
      <c r="AF38" s="8"/>
      <c r="AG38" s="8"/>
      <c r="AH38" s="8"/>
      <c r="AI38" s="14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14"/>
      <c r="AX38" s="8"/>
      <c r="AY38" s="8"/>
      <c r="AZ38" s="8"/>
      <c r="BA38" s="8"/>
      <c r="BB38" s="14"/>
      <c r="BC38" s="8"/>
      <c r="BD38" s="8"/>
      <c r="BE38" s="8"/>
      <c r="BF38" s="8"/>
      <c r="BG38" s="14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27"/>
    </row>
    <row r="39" spans="1:92" s="19" customFormat="1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5"/>
      <c r="K39" s="14">
        <v>0.304011053325</v>
      </c>
      <c r="L39" s="14">
        <v>0.27336278933541552</v>
      </c>
      <c r="M39" s="14">
        <v>2.3158967867244975</v>
      </c>
      <c r="N39" s="14">
        <v>610326.38603799976</v>
      </c>
      <c r="O39" s="14">
        <v>302694.51352599997</v>
      </c>
      <c r="P39" s="14">
        <v>302693.90037999995</v>
      </c>
      <c r="Q39" s="14">
        <v>1618.9112518222814</v>
      </c>
      <c r="R39" s="14">
        <v>15.871678939434132</v>
      </c>
      <c r="S39" s="14">
        <v>802.90977226525195</v>
      </c>
      <c r="T39" s="14">
        <v>835.98577411141332</v>
      </c>
      <c r="U39" s="14">
        <v>-2.0181885245394131</v>
      </c>
      <c r="V39" s="14">
        <v>1.4382939003449027</v>
      </c>
      <c r="W39" s="14">
        <v>2328.470178695718</v>
      </c>
      <c r="X39" s="14">
        <v>22.828139006820766</v>
      </c>
      <c r="Y39" s="14">
        <v>2051.8934859999999</v>
      </c>
      <c r="Z39" s="14">
        <v>20.11660280392157</v>
      </c>
      <c r="AA39" s="14">
        <v>970.24962600000003</v>
      </c>
      <c r="AB39" s="14">
        <v>1112.2831120000001</v>
      </c>
      <c r="AC39" s="14">
        <v>-6.8202282445943494</v>
      </c>
      <c r="AD39" s="14">
        <v>-3763.0369063429916</v>
      </c>
      <c r="AE39" s="14">
        <v>0.80639536690981428</v>
      </c>
      <c r="AF39" s="14">
        <v>0.72510023696396686</v>
      </c>
      <c r="AG39" s="14">
        <v>6.1429622990039725</v>
      </c>
      <c r="AH39" s="14">
        <v>4257.1867938147207</v>
      </c>
      <c r="AI39" s="14">
        <v>41.737125429556087</v>
      </c>
      <c r="AJ39" s="14">
        <v>2.2977922829482607</v>
      </c>
      <c r="AK39" s="14">
        <v>1852.7291719999998</v>
      </c>
      <c r="AL39" s="14">
        <v>6.0000000000000001E-3</v>
      </c>
      <c r="AM39" s="14">
        <v>0.34599999999999997</v>
      </c>
      <c r="AN39" s="14">
        <v>0.34</v>
      </c>
      <c r="AO39" s="14">
        <v>0.34599999999999997</v>
      </c>
      <c r="AP39" s="14">
        <v>-0.8746355685131123</v>
      </c>
      <c r="AQ39" s="14">
        <v>0.377</v>
      </c>
      <c r="AR39" s="14">
        <v>0.377</v>
      </c>
      <c r="AS39" s="14">
        <v>0.36799999999999999</v>
      </c>
      <c r="AT39" s="14">
        <v>1.2080536912751687</v>
      </c>
      <c r="AU39" s="14">
        <v>0.498</v>
      </c>
      <c r="AV39" s="14">
        <v>2540.9676820000004</v>
      </c>
      <c r="AW39" s="14">
        <v>24.911447862745103</v>
      </c>
      <c r="AX39" s="14">
        <v>1243.4964070000001</v>
      </c>
      <c r="AY39" s="14">
        <v>897.12291700000003</v>
      </c>
      <c r="AZ39" s="14">
        <v>16.180994262574451</v>
      </c>
      <c r="BA39" s="14">
        <v>1827.6693814595374</v>
      </c>
      <c r="BB39" s="14">
        <v>17.918327269211151</v>
      </c>
      <c r="BC39" s="14">
        <v>876.57464198823538</v>
      </c>
      <c r="BD39" s="14">
        <v>966.3262069277456</v>
      </c>
      <c r="BE39" s="14">
        <v>-4.8701244558166703</v>
      </c>
      <c r="BF39" s="14">
        <v>3211.2806630000005</v>
      </c>
      <c r="BG39" s="14">
        <v>31.483143754901967</v>
      </c>
      <c r="BH39" s="14">
        <v>2175.5866700000001</v>
      </c>
      <c r="BI39" s="14">
        <v>1263.387573</v>
      </c>
      <c r="BJ39" s="14">
        <v>26.525325069147378</v>
      </c>
      <c r="BK39" s="14">
        <v>57.166857</v>
      </c>
      <c r="BL39" s="14">
        <v>117.525684</v>
      </c>
      <c r="BM39" s="14">
        <v>116.101021</v>
      </c>
      <c r="BN39" s="14">
        <v>0.6098031472900306</v>
      </c>
      <c r="BO39" s="14">
        <v>161.095124</v>
      </c>
      <c r="BP39" s="14">
        <v>78.663042000000004</v>
      </c>
      <c r="BQ39" s="14">
        <v>84.217421999999999</v>
      </c>
      <c r="BR39" s="14">
        <v>-3.4100958847956093</v>
      </c>
      <c r="BS39" s="14">
        <v>3.0417653342175077</v>
      </c>
      <c r="BT39" s="14">
        <v>-82.358946217506642</v>
      </c>
      <c r="BU39" s="14">
        <v>87.497793714673904</v>
      </c>
      <c r="BV39" s="14">
        <v>-3305.3469678913871</v>
      </c>
      <c r="BW39" s="14">
        <v>12.086077318302376</v>
      </c>
      <c r="BX39" s="14">
        <v>2.937437774535808</v>
      </c>
      <c r="BY39" s="14">
        <v>9.3600832798913025</v>
      </c>
      <c r="BZ39" s="14">
        <v>-52.227156001032746</v>
      </c>
      <c r="CA39" s="14">
        <v>0.90385593225981464</v>
      </c>
      <c r="CB39" s="14">
        <v>0.83180531944649239</v>
      </c>
      <c r="CC39" s="14">
        <v>0.8473882327527793</v>
      </c>
      <c r="CD39" s="14">
        <v>-1560.5385881065788</v>
      </c>
      <c r="CE39" s="14">
        <v>-2202.4983182364149</v>
      </c>
      <c r="CF39" s="14">
        <v>-17.059618231427535</v>
      </c>
      <c r="CG39" s="14">
        <v>3732.4361355317719</v>
      </c>
      <c r="CH39" s="14">
        <v>2815.1392374986785</v>
      </c>
      <c r="CI39" s="14">
        <v>8449.4574922057909</v>
      </c>
      <c r="CJ39" s="14">
        <v>36.592511132664434</v>
      </c>
      <c r="CK39" s="14">
        <v>27.599404289202731</v>
      </c>
      <c r="CL39" s="14">
        <v>82.837818551037159</v>
      </c>
      <c r="CM39" s="14">
        <v>29.488790798402615</v>
      </c>
      <c r="CN39" s="27"/>
    </row>
    <row r="40" spans="1:92" s="19" customFormat="1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5"/>
      <c r="K40" s="14">
        <v>0.42815956483124989</v>
      </c>
      <c r="L40" s="14">
        <v>0.4291186467926752</v>
      </c>
      <c r="M40" s="14">
        <v>2.9016043579496307</v>
      </c>
      <c r="N40" s="14">
        <v>386742.65430700005</v>
      </c>
      <c r="O40" s="14">
        <v>205369.09097200015</v>
      </c>
      <c r="P40" s="14">
        <v>205368.26142100015</v>
      </c>
      <c r="Q40" s="14">
        <v>1193.6611325555555</v>
      </c>
      <c r="R40" s="14">
        <v>18.650955196180554</v>
      </c>
      <c r="S40" s="14">
        <v>639.79263892834888</v>
      </c>
      <c r="T40" s="14">
        <v>559.81993972530881</v>
      </c>
      <c r="U40" s="14">
        <v>6.6665439014314574</v>
      </c>
      <c r="V40" s="14">
        <v>1.7996260832622004</v>
      </c>
      <c r="W40" s="14">
        <v>2148.1437087232766</v>
      </c>
      <c r="X40" s="14">
        <v>33.564745448801197</v>
      </c>
      <c r="Y40" s="14">
        <v>1524.551727</v>
      </c>
      <c r="Z40" s="14">
        <v>23.821120734375</v>
      </c>
      <c r="AA40" s="14">
        <v>817.75656900000001</v>
      </c>
      <c r="AB40" s="14">
        <v>706.79515800000001</v>
      </c>
      <c r="AC40" s="14">
        <v>7.2782975503460898</v>
      </c>
      <c r="AD40" s="14">
        <v>-2611.1397356527614</v>
      </c>
      <c r="AE40" s="14">
        <v>1.3214801383680552</v>
      </c>
      <c r="AF40" s="14">
        <v>1.3244402678786271</v>
      </c>
      <c r="AG40" s="14">
        <v>8.9555690060173792</v>
      </c>
      <c r="AH40" s="14">
        <v>3487.9606339424272</v>
      </c>
      <c r="AI40" s="14">
        <v>54.499384905350425</v>
      </c>
      <c r="AJ40" s="14">
        <v>2.733371618946931</v>
      </c>
      <c r="AK40" s="14">
        <v>1276.0652850000001</v>
      </c>
      <c r="AL40" s="14">
        <v>8.0000000000000002E-3</v>
      </c>
      <c r="AM40" s="14">
        <v>0.28899999999999998</v>
      </c>
      <c r="AN40" s="14">
        <v>0.28100000000000003</v>
      </c>
      <c r="AO40" s="14">
        <v>0.28899999999999998</v>
      </c>
      <c r="AP40" s="14">
        <v>-1.4035087719298158</v>
      </c>
      <c r="AQ40" s="14">
        <v>0.32400000000000001</v>
      </c>
      <c r="AR40" s="14">
        <v>0.32100000000000001</v>
      </c>
      <c r="AS40" s="14">
        <v>0.32400000000000001</v>
      </c>
      <c r="AT40" s="14">
        <v>-0.46511627906976788</v>
      </c>
      <c r="AU40" s="14">
        <v>0.59099999999999997</v>
      </c>
      <c r="AV40" s="14">
        <v>1872.1515119999999</v>
      </c>
      <c r="AW40" s="14">
        <v>29.252367374999999</v>
      </c>
      <c r="AX40" s="14">
        <v>988.03086900000005</v>
      </c>
      <c r="AY40" s="14">
        <v>1309.5719300000001</v>
      </c>
      <c r="AZ40" s="14">
        <v>-13.994632194039209</v>
      </c>
      <c r="BA40" s="14">
        <v>1252.8718051626299</v>
      </c>
      <c r="BB40" s="14">
        <v>19.576121955666093</v>
      </c>
      <c r="BC40" s="14">
        <v>623.61709415302505</v>
      </c>
      <c r="BD40" s="14">
        <v>646.57724750519014</v>
      </c>
      <c r="BE40" s="14">
        <v>-1.8076094814114065</v>
      </c>
      <c r="BF40" s="14">
        <v>5101.0149679999995</v>
      </c>
      <c r="BG40" s="14">
        <v>79.703358874999992</v>
      </c>
      <c r="BH40" s="14">
        <v>2723.55899</v>
      </c>
      <c r="BI40" s="14">
        <v>2406.8149410000001</v>
      </c>
      <c r="BJ40" s="14">
        <v>6.1738979119259039</v>
      </c>
      <c r="BK40" s="14">
        <v>33.867298000000005</v>
      </c>
      <c r="BL40" s="14">
        <v>106.164444</v>
      </c>
      <c r="BM40" s="14">
        <v>133.77405200000001</v>
      </c>
      <c r="BN40" s="14">
        <v>-11.506952181612411</v>
      </c>
      <c r="BO40" s="14">
        <v>88.617649</v>
      </c>
      <c r="BP40" s="14">
        <v>58.771859999999997</v>
      </c>
      <c r="BQ40" s="14">
        <v>39.024948000000002</v>
      </c>
      <c r="BR40" s="14">
        <v>20.19177558433195</v>
      </c>
      <c r="BS40" s="14">
        <v>-2.6137188333333343</v>
      </c>
      <c r="BT40" s="14">
        <v>-84.365849697819314</v>
      </c>
      <c r="BU40" s="14">
        <v>80.967292055555561</v>
      </c>
      <c r="BV40" s="14">
        <v>4864.803224089138</v>
      </c>
      <c r="BW40" s="14">
        <v>-22.270183790123454</v>
      </c>
      <c r="BX40" s="14">
        <v>-26.424047080996885</v>
      </c>
      <c r="BY40" s="14">
        <v>3.8791400061728427</v>
      </c>
      <c r="BZ40" s="14">
        <v>134.41256150046135</v>
      </c>
      <c r="CA40" s="14">
        <v>0.92563313924119694</v>
      </c>
      <c r="CB40" s="14">
        <v>0.83215884786415872</v>
      </c>
      <c r="CC40" s="14">
        <v>0.80354689895518838</v>
      </c>
      <c r="CD40" s="14">
        <v>-1067.3266261927527</v>
      </c>
      <c r="CE40" s="14">
        <v>-1543.8131094600089</v>
      </c>
      <c r="CF40" s="14">
        <v>-18.248218460362825</v>
      </c>
      <c r="CG40" s="14">
        <v>1213.9368387783113</v>
      </c>
      <c r="CH40" s="14">
        <v>1791.2888370061667</v>
      </c>
      <c r="CI40" s="14">
        <v>3818.1445026294659</v>
      </c>
      <c r="CJ40" s="14">
        <v>18.967763105911114</v>
      </c>
      <c r="CK40" s="14">
        <v>27.988888078221354</v>
      </c>
      <c r="CL40" s="14">
        <v>59.658507853585405</v>
      </c>
      <c r="CM40" s="14">
        <v>62.540698255195494</v>
      </c>
      <c r="CN40" s="27"/>
    </row>
    <row r="41" spans="1:92" s="19" customFormat="1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5"/>
      <c r="K41" s="14">
        <v>0.37081395312500004</v>
      </c>
      <c r="L41" s="14">
        <v>0.37234886545848978</v>
      </c>
      <c r="M41" s="14">
        <v>2.7028660233714081</v>
      </c>
      <c r="N41" s="14">
        <v>385252.00571500027</v>
      </c>
      <c r="O41" s="14">
        <v>192840.47794899991</v>
      </c>
      <c r="P41" s="14">
        <v>192838.1516009999</v>
      </c>
      <c r="Q41" s="14">
        <v>2128.5044716408838</v>
      </c>
      <c r="R41" s="14">
        <v>24.465568639550387</v>
      </c>
      <c r="S41" s="14">
        <v>1065.4445041602212</v>
      </c>
      <c r="T41" s="14">
        <v>1063.0599674806629</v>
      </c>
      <c r="U41" s="14">
        <v>0.11202873714049855</v>
      </c>
      <c r="V41" s="14">
        <v>1.8771915536381227</v>
      </c>
      <c r="W41" s="14">
        <v>3995.6106160452423</v>
      </c>
      <c r="X41" s="14">
        <v>45.926558805117729</v>
      </c>
      <c r="Y41" s="14">
        <v>3251.4958350000002</v>
      </c>
      <c r="Z41" s="14">
        <v>37.373515344827588</v>
      </c>
      <c r="AA41" s="14">
        <v>1637.0460210000001</v>
      </c>
      <c r="AB41" s="14">
        <v>1614.4498140000001</v>
      </c>
      <c r="AC41" s="14">
        <v>0.69494805303971885</v>
      </c>
      <c r="AD41" s="14">
        <v>-11404.541040355225</v>
      </c>
      <c r="AE41" s="14">
        <v>2.0486958736187848</v>
      </c>
      <c r="AF41" s="14">
        <v>2.0571760522568496</v>
      </c>
      <c r="AG41" s="14">
        <v>14.932961455090654</v>
      </c>
      <c r="AH41" s="14">
        <v>4877.2775851480792</v>
      </c>
      <c r="AI41" s="14">
        <v>56.060661898253784</v>
      </c>
      <c r="AJ41" s="14">
        <v>2.309810299943063</v>
      </c>
      <c r="AK41" s="14">
        <v>2111.5489809999999</v>
      </c>
      <c r="AL41" s="14">
        <v>1.4E-2</v>
      </c>
      <c r="AM41" s="14">
        <v>0.154</v>
      </c>
      <c r="AN41" s="14">
        <v>0.14000000000000001</v>
      </c>
      <c r="AO41" s="14">
        <v>0.154</v>
      </c>
      <c r="AP41" s="14">
        <v>-4.7619047619047556</v>
      </c>
      <c r="AQ41" s="14">
        <v>0.18099999999999999</v>
      </c>
      <c r="AR41" s="14">
        <v>0.18099999999999999</v>
      </c>
      <c r="AS41" s="14">
        <v>0.18099999999999999</v>
      </c>
      <c r="AT41" s="14">
        <v>0</v>
      </c>
      <c r="AU41" s="14">
        <v>0.55000000000000004</v>
      </c>
      <c r="AV41" s="14">
        <v>3165.439026</v>
      </c>
      <c r="AW41" s="14">
        <v>36.384356620689658</v>
      </c>
      <c r="AX41" s="14">
        <v>1635.13446</v>
      </c>
      <c r="AY41" s="14">
        <v>1266.3992000000001</v>
      </c>
      <c r="AZ41" s="14">
        <v>12.708288209208639</v>
      </c>
      <c r="BA41" s="14">
        <v>2452.1654818636366</v>
      </c>
      <c r="BB41" s="14">
        <v>28.185810136363639</v>
      </c>
      <c r="BC41" s="14">
        <v>1281.7569725214285</v>
      </c>
      <c r="BD41" s="14">
        <v>1287.2101048636364</v>
      </c>
      <c r="BE41" s="14">
        <v>-0.21226945219393958</v>
      </c>
      <c r="BF41" s="14">
        <v>2548.7041319999998</v>
      </c>
      <c r="BG41" s="14">
        <v>29.295449793103447</v>
      </c>
      <c r="BH41" s="14">
        <v>1473.570465</v>
      </c>
      <c r="BI41" s="14">
        <v>1077.027206</v>
      </c>
      <c r="BJ41" s="14">
        <v>15.547072104262108</v>
      </c>
      <c r="BK41" s="14">
        <v>61.04409800000002</v>
      </c>
      <c r="BL41" s="14">
        <v>277.70109600000001</v>
      </c>
      <c r="BM41" s="14">
        <v>318.04249600000003</v>
      </c>
      <c r="BN41" s="14">
        <v>-6.7716045194154635</v>
      </c>
      <c r="BO41" s="14">
        <v>148.12888899999999</v>
      </c>
      <c r="BP41" s="14">
        <v>140.374393</v>
      </c>
      <c r="BQ41" s="14">
        <v>29.647417999999998</v>
      </c>
      <c r="BR41" s="14">
        <v>65.125159147963672</v>
      </c>
      <c r="BS41" s="14">
        <v>26.006402027624304</v>
      </c>
      <c r="BT41" s="14">
        <v>-201.72636828729281</v>
      </c>
      <c r="BU41" s="14">
        <v>227.73277031491716</v>
      </c>
      <c r="BV41" s="14">
        <v>-1651.3593004754473</v>
      </c>
      <c r="BW41" s="14">
        <v>-72.563163110497243</v>
      </c>
      <c r="BX41" s="14">
        <v>-74.866396596685078</v>
      </c>
      <c r="BY41" s="14">
        <v>2.3032334861878452</v>
      </c>
      <c r="BZ41" s="14">
        <v>106.34821688431786</v>
      </c>
      <c r="CA41" s="14">
        <v>0.93955706316933441</v>
      </c>
      <c r="CB41" s="14">
        <v>0.79656896832343516</v>
      </c>
      <c r="CC41" s="14">
        <v>0.82280063491992039</v>
      </c>
      <c r="CD41" s="14">
        <v>-6308.4679185234681</v>
      </c>
      <c r="CE41" s="14">
        <v>-5096.0731218317596</v>
      </c>
      <c r="CF41" s="14">
        <v>10.63080743364965</v>
      </c>
      <c r="CG41" s="14">
        <v>5126.0063930446831</v>
      </c>
      <c r="CH41" s="14">
        <v>3601.4249651346272</v>
      </c>
      <c r="CI41" s="14">
        <v>11435.886250941476</v>
      </c>
      <c r="CJ41" s="14">
        <v>58.919613713157275</v>
      </c>
      <c r="CK41" s="14">
        <v>41.395689254421001</v>
      </c>
      <c r="CL41" s="14">
        <v>131.44696840162615</v>
      </c>
      <c r="CM41" s="14">
        <v>5.7095979267174242</v>
      </c>
      <c r="CN41" s="27"/>
    </row>
    <row r="42" spans="1:92" s="19" customFormat="1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5"/>
      <c r="K42" s="14">
        <v>0.32009028183124999</v>
      </c>
      <c r="L42" s="14">
        <v>0.25583177618636149</v>
      </c>
      <c r="M42" s="14">
        <v>2.2404060901489293</v>
      </c>
      <c r="N42" s="14">
        <v>395542.20209200028</v>
      </c>
      <c r="O42" s="14">
        <v>195643.0782069999</v>
      </c>
      <c r="P42" s="14">
        <v>195638.6599479999</v>
      </c>
      <c r="Q42" s="14">
        <v>1209.6264974831804</v>
      </c>
      <c r="R42" s="14">
        <v>16.570225992920278</v>
      </c>
      <c r="S42" s="14">
        <v>598.31744581345549</v>
      </c>
      <c r="T42" s="14">
        <v>618.90819583900918</v>
      </c>
      <c r="U42" s="14">
        <v>-1.6916132326624649</v>
      </c>
      <c r="V42" s="14">
        <v>1.2872838069569863</v>
      </c>
      <c r="W42" s="14">
        <v>1557.132602676194</v>
      </c>
      <c r="X42" s="14">
        <v>21.330583598304028</v>
      </c>
      <c r="Y42" s="14">
        <v>1452.867767</v>
      </c>
      <c r="Z42" s="14">
        <v>19.902298178082191</v>
      </c>
      <c r="AA42" s="14">
        <v>728.57989499999996</v>
      </c>
      <c r="AB42" s="14">
        <v>767.06382799999994</v>
      </c>
      <c r="AC42" s="14">
        <v>-2.5730681985418249</v>
      </c>
      <c r="AD42" s="14">
        <v>-1793.9083840600958</v>
      </c>
      <c r="AE42" s="14">
        <v>0.97886936339831798</v>
      </c>
      <c r="AF42" s="14">
        <v>0.78236017182373541</v>
      </c>
      <c r="AG42" s="14">
        <v>6.8513947710976426</v>
      </c>
      <c r="AH42" s="14">
        <v>2986.1018425188963</v>
      </c>
      <c r="AI42" s="14">
        <v>40.905504692039678</v>
      </c>
      <c r="AJ42" s="14">
        <v>2.1489961341265955</v>
      </c>
      <c r="AK42" s="14">
        <v>1389.533371</v>
      </c>
      <c r="AL42" s="14">
        <v>-6.0000000000000001E-3</v>
      </c>
      <c r="AM42" s="14">
        <v>0.35</v>
      </c>
      <c r="AN42" s="14">
        <v>0.35</v>
      </c>
      <c r="AO42" s="14">
        <v>0.34399999999999997</v>
      </c>
      <c r="AP42" s="14">
        <v>0.8645533141210382</v>
      </c>
      <c r="AQ42" s="14">
        <v>0.32700000000000001</v>
      </c>
      <c r="AR42" s="14">
        <v>0.32700000000000001</v>
      </c>
      <c r="AS42" s="14">
        <v>0.32300000000000001</v>
      </c>
      <c r="AT42" s="14">
        <v>0.61538461538461586</v>
      </c>
      <c r="AU42" s="14">
        <v>0.51100000000000001</v>
      </c>
      <c r="AV42" s="14">
        <v>3264.444015</v>
      </c>
      <c r="AW42" s="14">
        <v>44.718411164383561</v>
      </c>
      <c r="AX42" s="14">
        <v>1523.6500550000001</v>
      </c>
      <c r="AY42" s="14">
        <v>1830.836258</v>
      </c>
      <c r="AZ42" s="14">
        <v>-9.1574737332964613</v>
      </c>
      <c r="BA42" s="14">
        <v>1302.918963177143</v>
      </c>
      <c r="BB42" s="14">
        <v>17.848204975029358</v>
      </c>
      <c r="BC42" s="14">
        <v>635.08088047142871</v>
      </c>
      <c r="BD42" s="14">
        <v>679.50414052325584</v>
      </c>
      <c r="BE42" s="14">
        <v>-3.37926108561728</v>
      </c>
      <c r="BF42" s="14">
        <v>3301.3770290000002</v>
      </c>
      <c r="BG42" s="14">
        <v>45.224342863013703</v>
      </c>
      <c r="BH42" s="14">
        <v>1767.069092</v>
      </c>
      <c r="BI42" s="14">
        <v>1645.8645019999999</v>
      </c>
      <c r="BJ42" s="14">
        <v>3.5513316231256287</v>
      </c>
      <c r="BK42" s="14">
        <v>35.31000499999999</v>
      </c>
      <c r="BL42" s="14">
        <v>164.66580200000001</v>
      </c>
      <c r="BM42" s="14">
        <v>162.88046299999999</v>
      </c>
      <c r="BN42" s="14">
        <v>0.54506467964152228</v>
      </c>
      <c r="BO42" s="14">
        <v>143.56635900000001</v>
      </c>
      <c r="BP42" s="14">
        <v>73.541466</v>
      </c>
      <c r="BQ42" s="14">
        <v>73.198825999999997</v>
      </c>
      <c r="BR42" s="14">
        <v>0.23350096645575907</v>
      </c>
      <c r="BS42" s="14">
        <v>7.0189180489296659</v>
      </c>
      <c r="BT42" s="14">
        <v>-121.06624712844042</v>
      </c>
      <c r="BU42" s="14">
        <v>129.67604905572753</v>
      </c>
      <c r="BV42" s="14">
        <v>-2912.2887878464262</v>
      </c>
      <c r="BW42" s="14">
        <v>-0.72421614373089116</v>
      </c>
      <c r="BX42" s="14">
        <v>5.5318265382263041</v>
      </c>
      <c r="BY42" s="14">
        <v>-6.3409425386996903</v>
      </c>
      <c r="BZ42" s="14">
        <v>-1467.3753911651286</v>
      </c>
      <c r="CA42" s="14">
        <v>0.89037719786963343</v>
      </c>
      <c r="CB42" s="14">
        <v>0.75360940120385111</v>
      </c>
      <c r="CC42" s="14">
        <v>0.76466041086338832</v>
      </c>
      <c r="CD42" s="14">
        <v>-232.87275213943005</v>
      </c>
      <c r="CE42" s="14">
        <v>-1561.0356319206664</v>
      </c>
      <c r="CF42" s="14">
        <v>-74.037386278068837</v>
      </c>
      <c r="CG42" s="14">
        <v>7393.4403749734392</v>
      </c>
      <c r="CH42" s="14">
        <v>10696.480105229797</v>
      </c>
      <c r="CI42" s="14">
        <v>18745.770686581327</v>
      </c>
      <c r="CJ42" s="14">
        <v>101.28000513662245</v>
      </c>
      <c r="CK42" s="14">
        <v>146.52712472917531</v>
      </c>
      <c r="CL42" s="14">
        <v>256.79137926823734</v>
      </c>
      <c r="CM42" s="14">
        <v>73.223252290941801</v>
      </c>
      <c r="CN42" s="27"/>
    </row>
    <row r="43" spans="1:92" s="19" customFormat="1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5"/>
      <c r="K43" s="14">
        <v>0.40670138879999995</v>
      </c>
      <c r="L43" s="14">
        <v>0.35690456236119072</v>
      </c>
      <c r="M43" s="14">
        <v>2.6462175862023445</v>
      </c>
      <c r="N43" s="14">
        <v>314319.34925499995</v>
      </c>
      <c r="O43" s="14">
        <v>154039.79786699996</v>
      </c>
      <c r="P43" s="14">
        <v>154038.19286699995</v>
      </c>
      <c r="Q43" s="14">
        <v>1272.5630129514168</v>
      </c>
      <c r="R43" s="14">
        <v>20.393638028067578</v>
      </c>
      <c r="S43" s="14">
        <v>639.18499977593342</v>
      </c>
      <c r="T43" s="14">
        <v>648.98421023886647</v>
      </c>
      <c r="U43" s="14">
        <v>-0.76070832828091461</v>
      </c>
      <c r="V43" s="14">
        <v>1.5612401852089246</v>
      </c>
      <c r="W43" s="14">
        <v>1986.776514030297</v>
      </c>
      <c r="X43" s="14">
        <v>31.839367212023991</v>
      </c>
      <c r="Y43" s="14">
        <v>1561.1601719999999</v>
      </c>
      <c r="Z43" s="14">
        <v>25.018592499999997</v>
      </c>
      <c r="AA43" s="14">
        <v>744.73810600000002</v>
      </c>
      <c r="AB43" s="14">
        <v>816.62047199999995</v>
      </c>
      <c r="AC43" s="14">
        <v>-4.6038345715611735</v>
      </c>
      <c r="AD43" s="14">
        <v>-57.739710635677604</v>
      </c>
      <c r="AE43" s="14">
        <v>1.6465643271255059</v>
      </c>
      <c r="AF43" s="14">
        <v>1.4449577423529989</v>
      </c>
      <c r="AG43" s="14">
        <v>10.713431523086415</v>
      </c>
      <c r="AH43" s="14">
        <v>3533.6891534780762</v>
      </c>
      <c r="AI43" s="14">
        <v>56.629633869840966</v>
      </c>
      <c r="AJ43" s="14">
        <v>2.4512328230049434</v>
      </c>
      <c r="AK43" s="14">
        <v>1441.5967020000001</v>
      </c>
      <c r="AL43" s="14">
        <v>1E-3</v>
      </c>
      <c r="AM43" s="14">
        <v>0.309</v>
      </c>
      <c r="AN43" s="14">
        <v>0.308</v>
      </c>
      <c r="AO43" s="14">
        <v>0.309</v>
      </c>
      <c r="AP43" s="14">
        <v>-0.16207455429497583</v>
      </c>
      <c r="AQ43" s="14">
        <v>0.247</v>
      </c>
      <c r="AR43" s="14">
        <v>0.24099999999999999</v>
      </c>
      <c r="AS43" s="14">
        <v>0.247</v>
      </c>
      <c r="AT43" s="14">
        <v>-1.2295081967213126</v>
      </c>
      <c r="AU43" s="14">
        <v>0.57599999999999996</v>
      </c>
      <c r="AV43" s="14">
        <v>2684.1553409999997</v>
      </c>
      <c r="AW43" s="14">
        <v>43.015309951923072</v>
      </c>
      <c r="AX43" s="14">
        <v>1399.704391</v>
      </c>
      <c r="AY43" s="14">
        <v>1287.64292</v>
      </c>
      <c r="AZ43" s="14">
        <v>4.169966068074034</v>
      </c>
      <c r="BA43" s="14">
        <v>1181.8784779902915</v>
      </c>
      <c r="BB43" s="14">
        <v>18.940360224203388</v>
      </c>
      <c r="BC43" s="14">
        <v>600.3960506071428</v>
      </c>
      <c r="BD43" s="14">
        <v>583.41314239158567</v>
      </c>
      <c r="BE43" s="14">
        <v>1.4345984400186502</v>
      </c>
      <c r="BF43" s="14">
        <v>4249.3008719999998</v>
      </c>
      <c r="BG43" s="14">
        <v>68.097770384615387</v>
      </c>
      <c r="BH43" s="14">
        <v>2096.7794039999999</v>
      </c>
      <c r="BI43" s="14">
        <v>2195.2975459999998</v>
      </c>
      <c r="BJ43" s="14">
        <v>-2.2953489219246155</v>
      </c>
      <c r="BK43" s="14">
        <v>56.084837</v>
      </c>
      <c r="BL43" s="14">
        <v>85.335514000000003</v>
      </c>
      <c r="BM43" s="14">
        <v>122.340683</v>
      </c>
      <c r="BN43" s="14">
        <v>-17.818685788049169</v>
      </c>
      <c r="BO43" s="14">
        <v>228.10839099999998</v>
      </c>
      <c r="BP43" s="14">
        <v>124.017822</v>
      </c>
      <c r="BQ43" s="14">
        <v>105.407032</v>
      </c>
      <c r="BR43" s="14">
        <v>8.1119328074193717</v>
      </c>
      <c r="BS43" s="14">
        <v>25.399420914979761</v>
      </c>
      <c r="BT43" s="14">
        <v>-57.394038456431531</v>
      </c>
      <c r="BU43" s="14">
        <v>81.377660955465601</v>
      </c>
      <c r="BV43" s="14">
        <v>-578.61025546698011</v>
      </c>
      <c r="BW43" s="14">
        <v>-70.098926489878551</v>
      </c>
      <c r="BX43" s="14">
        <v>-31.591092850622406</v>
      </c>
      <c r="BY43" s="14">
        <v>-39.335535668016199</v>
      </c>
      <c r="BZ43" s="14">
        <v>-10.918949595015153</v>
      </c>
      <c r="CA43" s="14">
        <v>0.84599522888136214</v>
      </c>
      <c r="CB43" s="14">
        <v>0.7805730910224431</v>
      </c>
      <c r="CC43" s="14">
        <v>0.78192775513948121</v>
      </c>
      <c r="CD43" s="14">
        <v>-509.31211662336887</v>
      </c>
      <c r="CE43" s="14">
        <v>451.57240598769118</v>
      </c>
      <c r="CF43" s="14">
        <v>1664.165808994069</v>
      </c>
      <c r="CG43" s="14">
        <v>1075.1392096351933</v>
      </c>
      <c r="CH43" s="14">
        <v>982.59007290708644</v>
      </c>
      <c r="CI43" s="14">
        <v>5710.8783154101202</v>
      </c>
      <c r="CJ43" s="14">
        <v>17.229795026205021</v>
      </c>
      <c r="CK43" s="14">
        <v>15.746635783767411</v>
      </c>
      <c r="CL43" s="14">
        <v>91.520485823880136</v>
      </c>
      <c r="CM43" s="14">
        <v>68.665891345667831</v>
      </c>
      <c r="CN43" s="27"/>
    </row>
    <row r="44" spans="1:92" s="19" customFormat="1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5"/>
      <c r="K44" s="14">
        <v>0.33658384130000002</v>
      </c>
      <c r="L44" s="14">
        <v>0.34236364550307319</v>
      </c>
      <c r="M44" s="14">
        <v>2.5917512852838129</v>
      </c>
      <c r="N44" s="14">
        <v>473511.323271</v>
      </c>
      <c r="O44" s="14">
        <v>220076.21174200019</v>
      </c>
      <c r="P44" s="14">
        <v>220072.9296070002</v>
      </c>
      <c r="Q44" s="14">
        <v>1297.3080951561644</v>
      </c>
      <c r="R44" s="14">
        <v>16.848157079950187</v>
      </c>
      <c r="S44" s="14">
        <v>602.95633169315067</v>
      </c>
      <c r="T44" s="14">
        <v>694.35176346301375</v>
      </c>
      <c r="U44" s="14">
        <v>-7.0450058942136868</v>
      </c>
      <c r="V44" s="14">
        <v>1.4378934778650305</v>
      </c>
      <c r="W44" s="14">
        <v>1865.3908488065551</v>
      </c>
      <c r="X44" s="14">
        <v>24.22585517930591</v>
      </c>
      <c r="Y44" s="14">
        <v>1580.113601</v>
      </c>
      <c r="Z44" s="14">
        <v>20.520955857142859</v>
      </c>
      <c r="AA44" s="14">
        <v>755.91900599999997</v>
      </c>
      <c r="AB44" s="14">
        <v>830.19984399999998</v>
      </c>
      <c r="AC44" s="14">
        <v>-4.6831823479053938</v>
      </c>
      <c r="AD44" s="14">
        <v>-1873.6678177990136</v>
      </c>
      <c r="AE44" s="14">
        <v>0.92214751041095899</v>
      </c>
      <c r="AF44" s="14">
        <v>0.93798259041937859</v>
      </c>
      <c r="AG44" s="14">
        <v>7.1006884528323644</v>
      </c>
      <c r="AH44" s="14">
        <v>3715.9518143373916</v>
      </c>
      <c r="AI44" s="14">
        <v>48.259114471914174</v>
      </c>
      <c r="AJ44" s="14">
        <v>2.4706051120523647</v>
      </c>
      <c r="AK44" s="14">
        <v>1504.06546</v>
      </c>
      <c r="AL44" s="14">
        <v>-2E-3</v>
      </c>
      <c r="AM44" s="14">
        <v>0.36799999999999999</v>
      </c>
      <c r="AN44" s="14">
        <v>0.36799999999999999</v>
      </c>
      <c r="AO44" s="14">
        <v>0.36599999999999999</v>
      </c>
      <c r="AP44" s="14">
        <v>0.2724795640326978</v>
      </c>
      <c r="AQ44" s="14">
        <v>0.36499999999999999</v>
      </c>
      <c r="AR44" s="14">
        <v>0.36499999999999999</v>
      </c>
      <c r="AS44" s="14">
        <v>0.36499999999999999</v>
      </c>
      <c r="AT44" s="14">
        <v>0</v>
      </c>
      <c r="AU44" s="14">
        <v>0.52400000000000002</v>
      </c>
      <c r="AV44" s="14">
        <v>2377.1134109999998</v>
      </c>
      <c r="AW44" s="14">
        <v>30.871602740259739</v>
      </c>
      <c r="AX44" s="14">
        <v>1509.4575460000001</v>
      </c>
      <c r="AY44" s="14">
        <v>1590.1043010000001</v>
      </c>
      <c r="AZ44" s="14">
        <v>-2.6018759741173181</v>
      </c>
      <c r="BA44" s="14">
        <v>1342.9417184619563</v>
      </c>
      <c r="BB44" s="14">
        <v>17.440801538466964</v>
      </c>
      <c r="BC44" s="14">
        <v>553.96531611413036</v>
      </c>
      <c r="BD44" s="14">
        <v>793.28218102459005</v>
      </c>
      <c r="BE44" s="14">
        <v>-17.763392800411211</v>
      </c>
      <c r="BF44" s="14">
        <v>6028.001808</v>
      </c>
      <c r="BG44" s="14">
        <v>78.285737766233765</v>
      </c>
      <c r="BH44" s="14">
        <v>2852.0851819999998</v>
      </c>
      <c r="BI44" s="14">
        <v>3191.2993470000001</v>
      </c>
      <c r="BJ44" s="14">
        <v>-5.6129833104651068</v>
      </c>
      <c r="BK44" s="14">
        <v>31.73933000000001</v>
      </c>
      <c r="BL44" s="14">
        <v>111.610626</v>
      </c>
      <c r="BM44" s="14">
        <v>80.304107999999999</v>
      </c>
      <c r="BN44" s="14">
        <v>16.312722503109111</v>
      </c>
      <c r="BO44" s="14">
        <v>175.64832899999999</v>
      </c>
      <c r="BP44" s="14">
        <v>97.147593999999998</v>
      </c>
      <c r="BQ44" s="14">
        <v>78.536805999999999</v>
      </c>
      <c r="BR44" s="14">
        <v>10.59330708930332</v>
      </c>
      <c r="BS44" s="14">
        <v>-9.8409212219178084</v>
      </c>
      <c r="BT44" s="14">
        <v>-62.962991838356167</v>
      </c>
      <c r="BU44" s="14">
        <v>53.12207061643835</v>
      </c>
      <c r="BV44" s="14">
        <v>1179.6158086932805</v>
      </c>
      <c r="BW44" s="14">
        <v>-37.110063586301372</v>
      </c>
      <c r="BX44" s="14">
        <v>-19.813315361643838</v>
      </c>
      <c r="BY44" s="14">
        <v>-17.296748224657538</v>
      </c>
      <c r="BZ44" s="14">
        <v>6.7813603475345499</v>
      </c>
      <c r="CA44" s="14">
        <v>0.88397901381059729</v>
      </c>
      <c r="CB44" s="14">
        <v>0.78359785597343412</v>
      </c>
      <c r="CC44" s="14">
        <v>0.83939902100576524</v>
      </c>
      <c r="CD44" s="14">
        <v>-455.5704680382691</v>
      </c>
      <c r="CE44" s="14">
        <v>-1418.0973497607479</v>
      </c>
      <c r="CF44" s="14">
        <v>-51.37126616462632</v>
      </c>
      <c r="CG44" s="14">
        <v>652.91414869262894</v>
      </c>
      <c r="CH44" s="14">
        <v>8135.3163016214157</v>
      </c>
      <c r="CI44" s="14">
        <v>15465.607911488571</v>
      </c>
      <c r="CJ44" s="14">
        <v>8.4794045284757011</v>
      </c>
      <c r="CK44" s="14">
        <v>105.65345846261579</v>
      </c>
      <c r="CL44" s="14">
        <v>200.85205079855285</v>
      </c>
      <c r="CM44" s="14">
        <v>52.227743710289467</v>
      </c>
      <c r="CN44" s="27"/>
    </row>
    <row r="45" spans="1:92" s="19" customFormat="1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5"/>
      <c r="K45" s="14">
        <v>0.47425449732499997</v>
      </c>
      <c r="L45" s="14">
        <v>0.42459630838527884</v>
      </c>
      <c r="M45" s="14">
        <v>2.8862743408274918</v>
      </c>
      <c r="N45" s="14">
        <v>355181.42609700019</v>
      </c>
      <c r="O45" s="14">
        <v>182879.99118499988</v>
      </c>
      <c r="P45" s="14">
        <v>182878.24191499988</v>
      </c>
      <c r="Q45" s="14">
        <v>1667.548911887324</v>
      </c>
      <c r="R45" s="14">
        <v>23.16040155399061</v>
      </c>
      <c r="S45" s="14">
        <v>858.61216624413134</v>
      </c>
      <c r="T45" s="14">
        <v>824.46270803827747</v>
      </c>
      <c r="U45" s="14">
        <v>2.0289922170226529</v>
      </c>
      <c r="V45" s="14">
        <v>1.8837840815532396</v>
      </c>
      <c r="W45" s="14">
        <v>3141.3020954247668</v>
      </c>
      <c r="X45" s="14">
        <v>43.629195769788424</v>
      </c>
      <c r="Y45" s="14">
        <v>2266.2962950000001</v>
      </c>
      <c r="Z45" s="14">
        <v>31.476337430555557</v>
      </c>
      <c r="AA45" s="14">
        <v>1165.4104540000001</v>
      </c>
      <c r="AB45" s="14">
        <v>1101.8956909999999</v>
      </c>
      <c r="AC45" s="14">
        <v>2.8013315775669163</v>
      </c>
      <c r="AD45" s="14">
        <v>-4395.087674176315</v>
      </c>
      <c r="AE45" s="14">
        <v>2.226546935798122</v>
      </c>
      <c r="AF45" s="14">
        <v>1.993409898522436</v>
      </c>
      <c r="AG45" s="14">
        <v>13.550583759753483</v>
      </c>
      <c r="AH45" s="14">
        <v>4307.8696503338715</v>
      </c>
      <c r="AI45" s="14">
        <v>59.831522921303772</v>
      </c>
      <c r="AJ45" s="14">
        <v>2.636368693710966</v>
      </c>
      <c r="AK45" s="14">
        <v>1634.016388</v>
      </c>
      <c r="AL45" s="14">
        <v>7.0000000000000001E-3</v>
      </c>
      <c r="AM45" s="14">
        <v>0.20300000000000001</v>
      </c>
      <c r="AN45" s="14">
        <v>0.19600000000000001</v>
      </c>
      <c r="AO45" s="14">
        <v>0.20300000000000001</v>
      </c>
      <c r="AP45" s="14">
        <v>-1.7543859649122824</v>
      </c>
      <c r="AQ45" s="14">
        <v>0.21299999999999999</v>
      </c>
      <c r="AR45" s="14">
        <v>0.21299999999999999</v>
      </c>
      <c r="AS45" s="14">
        <v>0.20899999999999999</v>
      </c>
      <c r="AT45" s="14">
        <v>0.94786729857819996</v>
      </c>
      <c r="AU45" s="14">
        <v>0.622</v>
      </c>
      <c r="AV45" s="14">
        <v>1957.5230489999999</v>
      </c>
      <c r="AW45" s="14">
        <v>27.187820124999998</v>
      </c>
      <c r="AX45" s="14">
        <v>928.51964599999997</v>
      </c>
      <c r="AY45" s="14">
        <v>837.016571</v>
      </c>
      <c r="AZ45" s="14">
        <v>5.182735653844702</v>
      </c>
      <c r="BA45" s="14">
        <v>1709.3634314729065</v>
      </c>
      <c r="BB45" s="14">
        <v>23.741158770457034</v>
      </c>
      <c r="BC45" s="14">
        <v>864.3666394336733</v>
      </c>
      <c r="BD45" s="14">
        <v>874.87849300985226</v>
      </c>
      <c r="BE45" s="14">
        <v>-0.60439172029824795</v>
      </c>
      <c r="BF45" s="14">
        <v>929.92628599999989</v>
      </c>
      <c r="BG45" s="14">
        <v>12.91564286111111</v>
      </c>
      <c r="BH45" s="14">
        <v>836.547687</v>
      </c>
      <c r="BI45" s="14">
        <v>285.50968499999999</v>
      </c>
      <c r="BJ45" s="14">
        <v>49.109610234796449</v>
      </c>
      <c r="BK45" s="14">
        <v>22.470002000000008</v>
      </c>
      <c r="BL45" s="14">
        <v>148.30922699999999</v>
      </c>
      <c r="BM45" s="14">
        <v>163.00670199999999</v>
      </c>
      <c r="BN45" s="14">
        <v>-4.7210803016764356</v>
      </c>
      <c r="BO45" s="14">
        <v>195.71984900000001</v>
      </c>
      <c r="BP45" s="14">
        <v>99.870682000000002</v>
      </c>
      <c r="BQ45" s="14">
        <v>105.6054</v>
      </c>
      <c r="BR45" s="14">
        <v>-2.7909418673848378</v>
      </c>
      <c r="BS45" s="14">
        <v>6.5914473004694836</v>
      </c>
      <c r="BT45" s="14">
        <v>-116.76903063849767</v>
      </c>
      <c r="BU45" s="14">
        <v>125.71885545454548</v>
      </c>
      <c r="BV45" s="14">
        <v>-2709.4148888617506</v>
      </c>
      <c r="BW45" s="14">
        <v>8.158517812206572</v>
      </c>
      <c r="BX45" s="14">
        <v>16.476799173708919</v>
      </c>
      <c r="BY45" s="14">
        <v>-8.4804166363636373</v>
      </c>
      <c r="BZ45" s="14">
        <v>312.10632674857123</v>
      </c>
      <c r="CA45" s="14">
        <v>0.91217908324774366</v>
      </c>
      <c r="CB45" s="14">
        <v>0.82443293651684302</v>
      </c>
      <c r="CC45" s="14">
        <v>0.8040054180122419</v>
      </c>
      <c r="CD45" s="14">
        <v>-2138.8894504032637</v>
      </c>
      <c r="CE45" s="14">
        <v>-2256.1982237730554</v>
      </c>
      <c r="CF45" s="14">
        <v>-2.6690883565087571</v>
      </c>
      <c r="CG45" s="14">
        <v>1640.3669280816709</v>
      </c>
      <c r="CH45" s="14">
        <v>1474.7420072074592</v>
      </c>
      <c r="CI45" s="14">
        <v>5631.822166786641</v>
      </c>
      <c r="CJ45" s="14">
        <v>22.782874001134317</v>
      </c>
      <c r="CK45" s="14">
        <v>20.482527877881378</v>
      </c>
      <c r="CL45" s="14">
        <v>78.21975231648112</v>
      </c>
      <c r="CM45" s="14"/>
      <c r="CN45" s="27"/>
    </row>
    <row r="46" spans="1:92" s="19" customFormat="1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5"/>
      <c r="K46" s="14">
        <v>0.35877751608125003</v>
      </c>
      <c r="L46" s="14">
        <v>0.34063602454704195</v>
      </c>
      <c r="M46" s="14">
        <v>2.5852038220637388</v>
      </c>
      <c r="N46" s="14">
        <v>410086.55168799963</v>
      </c>
      <c r="O46" s="14">
        <v>180114.48572699988</v>
      </c>
      <c r="P46" s="14">
        <v>180112.26758099988</v>
      </c>
      <c r="Q46" s="14">
        <v>1687.6219098930039</v>
      </c>
      <c r="R46" s="14">
        <v>20.332794095096432</v>
      </c>
      <c r="S46" s="14">
        <v>776.36626887500017</v>
      </c>
      <c r="T46" s="14">
        <v>946.55422993827165</v>
      </c>
      <c r="U46" s="14">
        <v>-9.877876615925981</v>
      </c>
      <c r="V46" s="14">
        <v>1.6727374056572699</v>
      </c>
      <c r="W46" s="14">
        <v>2822.9482952847902</v>
      </c>
      <c r="X46" s="14">
        <v>34.011425244395063</v>
      </c>
      <c r="Y46" s="14">
        <v>2105.2191459999999</v>
      </c>
      <c r="Z46" s="14">
        <v>25.364086096385542</v>
      </c>
      <c r="AA46" s="14">
        <v>921.68485299999998</v>
      </c>
      <c r="AB46" s="14">
        <v>1286.2182459999999</v>
      </c>
      <c r="AC46" s="14">
        <v>-16.510389118304321</v>
      </c>
      <c r="AD46" s="14">
        <v>-1257.436897457256</v>
      </c>
      <c r="AE46" s="14">
        <v>1.4764506834619342</v>
      </c>
      <c r="AF46" s="14">
        <v>1.4017943396997612</v>
      </c>
      <c r="AG46" s="14">
        <v>10.638698856229379</v>
      </c>
      <c r="AH46" s="14">
        <v>4426.24700375882</v>
      </c>
      <c r="AI46" s="14">
        <v>53.328277153720727</v>
      </c>
      <c r="AJ46" s="14">
        <v>2.4780954001063602</v>
      </c>
      <c r="AK46" s="14">
        <v>1786.1487509999999</v>
      </c>
      <c r="AL46" s="14">
        <v>1.6E-2</v>
      </c>
      <c r="AM46" s="14">
        <v>0.254</v>
      </c>
      <c r="AN46" s="14">
        <v>0.23799999999999999</v>
      </c>
      <c r="AO46" s="14">
        <v>0.254</v>
      </c>
      <c r="AP46" s="14">
        <v>-3.2520325203252063</v>
      </c>
      <c r="AQ46" s="14">
        <v>0.24299999999999999</v>
      </c>
      <c r="AR46" s="14">
        <v>0.23200000000000001</v>
      </c>
      <c r="AS46" s="14">
        <v>0.24299999999999999</v>
      </c>
      <c r="AT46" s="14">
        <v>-2.3157894736842066</v>
      </c>
      <c r="AU46" s="14">
        <v>0.54100000000000004</v>
      </c>
      <c r="AV46" s="14">
        <v>1789.4128800000001</v>
      </c>
      <c r="AW46" s="14">
        <v>21.559191325301207</v>
      </c>
      <c r="AX46" s="14">
        <v>801.77872500000001</v>
      </c>
      <c r="AY46" s="14">
        <v>1145.57338</v>
      </c>
      <c r="AZ46" s="14">
        <v>-17.654468039820671</v>
      </c>
      <c r="BA46" s="14">
        <v>1732.9496563622049</v>
      </c>
      <c r="BB46" s="14">
        <v>20.878911522436205</v>
      </c>
      <c r="BC46" s="14">
        <v>687.59934809663878</v>
      </c>
      <c r="BD46" s="14">
        <v>1088.7951429015748</v>
      </c>
      <c r="BE46" s="14">
        <v>-22.584836692411216</v>
      </c>
      <c r="BF46" s="14">
        <v>4334.2937650000003</v>
      </c>
      <c r="BG46" s="14">
        <v>52.220406807228919</v>
      </c>
      <c r="BH46" s="14">
        <v>1655.5305539999999</v>
      </c>
      <c r="BI46" s="14">
        <v>2703.2350459999998</v>
      </c>
      <c r="BJ46" s="14">
        <v>-24.036724801168479</v>
      </c>
      <c r="BK46" s="14">
        <v>69.952759</v>
      </c>
      <c r="BL46" s="14">
        <v>170.16608400000001</v>
      </c>
      <c r="BM46" s="14">
        <v>149.120743</v>
      </c>
      <c r="BN46" s="14">
        <v>6.5913589977202554</v>
      </c>
      <c r="BO46" s="14">
        <v>103.47742500000001</v>
      </c>
      <c r="BP46" s="14">
        <v>44.254722999999998</v>
      </c>
      <c r="BQ46" s="14">
        <v>65.209891999999996</v>
      </c>
      <c r="BR46" s="14">
        <v>-19.143326818442652</v>
      </c>
      <c r="BS46" s="14">
        <v>-32.91856921399178</v>
      </c>
      <c r="BT46" s="14">
        <v>-129.76785170689655</v>
      </c>
      <c r="BU46" s="14">
        <v>90.887891781892989</v>
      </c>
      <c r="BV46" s="14">
        <v>567.53078942061006</v>
      </c>
      <c r="BW46" s="14">
        <v>-12.977443094650209</v>
      </c>
      <c r="BX46" s="14">
        <v>-9.9325318103448286</v>
      </c>
      <c r="BY46" s="14">
        <v>-3.7998435020576142</v>
      </c>
      <c r="BZ46" s="14">
        <v>44.658612721926232</v>
      </c>
      <c r="CA46" s="14">
        <v>0.92388904175966391</v>
      </c>
      <c r="CB46" s="14">
        <v>0.81126684378986369</v>
      </c>
      <c r="CC46" s="14">
        <v>0.85716517621394295</v>
      </c>
      <c r="CD46" s="14">
        <v>1636.3709617498009</v>
      </c>
      <c r="CE46" s="14">
        <v>-2893.8078592070551</v>
      </c>
      <c r="CF46" s="14">
        <v>-360.27086767675007</v>
      </c>
      <c r="CG46" s="14">
        <v>790.0578617043376</v>
      </c>
      <c r="CH46" s="14">
        <v>2869.6393516194125</v>
      </c>
      <c r="CI46" s="14">
        <v>4167.8788130287994</v>
      </c>
      <c r="CJ46" s="14">
        <v>9.518769418124549</v>
      </c>
      <c r="CK46" s="14">
        <v>34.573968091800154</v>
      </c>
      <c r="CL46" s="14">
        <v>50.215407385889151</v>
      </c>
      <c r="CM46" s="14">
        <v>50.3</v>
      </c>
      <c r="CN46" s="27"/>
    </row>
    <row r="47" spans="1:92" s="19" customFormat="1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5"/>
      <c r="K47" s="14">
        <v>0.47730926879999996</v>
      </c>
      <c r="L47" s="14">
        <v>0.49150917508650371</v>
      </c>
      <c r="M47" s="14">
        <v>3.1053840366687666</v>
      </c>
      <c r="N47" s="14">
        <v>422764.96979700041</v>
      </c>
      <c r="O47" s="14">
        <v>210935.19475500006</v>
      </c>
      <c r="P47" s="14">
        <v>210936.33087900007</v>
      </c>
      <c r="Q47" s="14">
        <v>1399.8921868046357</v>
      </c>
      <c r="R47" s="14">
        <v>20.288292562386026</v>
      </c>
      <c r="S47" s="14">
        <v>698.47124035430465</v>
      </c>
      <c r="T47" s="14">
        <v>720.52293353061214</v>
      </c>
      <c r="U47" s="14">
        <v>-1.5540369074197422</v>
      </c>
      <c r="V47" s="14">
        <v>1.897494160935665</v>
      </c>
      <c r="W47" s="14">
        <v>2656.2872504012553</v>
      </c>
      <c r="X47" s="14">
        <v>38.496916672481959</v>
      </c>
      <c r="Y47" s="14">
        <v>1756.3390280000001</v>
      </c>
      <c r="Z47" s="14">
        <v>25.454188811594204</v>
      </c>
      <c r="AA47" s="14">
        <v>830.92120399999999</v>
      </c>
      <c r="AB47" s="14">
        <v>931.35093700000004</v>
      </c>
      <c r="AC47" s="14">
        <v>-5.6988776400341488</v>
      </c>
      <c r="AD47" s="14">
        <v>-2681.791506056074</v>
      </c>
      <c r="AE47" s="14">
        <v>1.5804942675496687</v>
      </c>
      <c r="AF47" s="14">
        <v>1.6275138247897474</v>
      </c>
      <c r="AG47" s="14">
        <v>10.282728598240949</v>
      </c>
      <c r="AH47" s="14">
        <v>4457.4852538692012</v>
      </c>
      <c r="AI47" s="14">
        <v>64.601235563321751</v>
      </c>
      <c r="AJ47" s="14">
        <v>2.953708304461963</v>
      </c>
      <c r="AK47" s="14">
        <v>1509.114914</v>
      </c>
      <c r="AL47" s="14">
        <v>7.0000000000000001E-3</v>
      </c>
      <c r="AM47" s="14">
        <v>0.26800000000000002</v>
      </c>
      <c r="AN47" s="14">
        <v>0.26100000000000001</v>
      </c>
      <c r="AO47" s="14">
        <v>0.26800000000000002</v>
      </c>
      <c r="AP47" s="14">
        <v>-1.3232514177693773</v>
      </c>
      <c r="AQ47" s="14">
        <v>0.30199999999999999</v>
      </c>
      <c r="AR47" s="14">
        <v>0.30199999999999999</v>
      </c>
      <c r="AS47" s="14">
        <v>0.29399999999999998</v>
      </c>
      <c r="AT47" s="14">
        <v>1.342281879194632</v>
      </c>
      <c r="AU47" s="14">
        <v>0.624</v>
      </c>
      <c r="AV47" s="14">
        <v>2071.3518370000002</v>
      </c>
      <c r="AW47" s="14">
        <v>30.019591840579711</v>
      </c>
      <c r="AX47" s="14">
        <v>970.35783400000003</v>
      </c>
      <c r="AY47" s="14">
        <v>1298.3910370000001</v>
      </c>
      <c r="AZ47" s="14">
        <v>-14.458770963725584</v>
      </c>
      <c r="BA47" s="14">
        <v>1420.7768424216417</v>
      </c>
      <c r="BB47" s="14">
        <v>20.590968730748433</v>
      </c>
      <c r="BC47" s="14">
        <v>703.71064644061312</v>
      </c>
      <c r="BD47" s="14">
        <v>735.50840283208936</v>
      </c>
      <c r="BE47" s="14">
        <v>-2.2093757310636608</v>
      </c>
      <c r="BF47" s="14">
        <v>5665.5962989999998</v>
      </c>
      <c r="BG47" s="14">
        <v>82.110091289855063</v>
      </c>
      <c r="BH47" s="14">
        <v>2531.5360260000002</v>
      </c>
      <c r="BI47" s="14">
        <v>4906.7017519999999</v>
      </c>
      <c r="BJ47" s="14">
        <v>-31.931833814522616</v>
      </c>
      <c r="BK47" s="14">
        <v>35.273937000000018</v>
      </c>
      <c r="BL47" s="14">
        <v>181.148605</v>
      </c>
      <c r="BM47" s="14">
        <v>163.872322</v>
      </c>
      <c r="BN47" s="14">
        <v>5.0073145273301076</v>
      </c>
      <c r="BO47" s="14">
        <v>221.27361300000001</v>
      </c>
      <c r="BP47" s="14">
        <v>110.726978</v>
      </c>
      <c r="BQ47" s="14">
        <v>117.399445</v>
      </c>
      <c r="BR47" s="14">
        <v>-2.9248987961381383</v>
      </c>
      <c r="BS47" s="14">
        <v>3.6075776721854296</v>
      </c>
      <c r="BT47" s="14">
        <v>-122.37412452980131</v>
      </c>
      <c r="BU47" s="14">
        <v>129.40456190136058</v>
      </c>
      <c r="BV47" s="14">
        <v>-3581.2663298829748</v>
      </c>
      <c r="BW47" s="14">
        <v>-70.012353420529806</v>
      </c>
      <c r="BX47" s="14">
        <v>-37.041776394039736</v>
      </c>
      <c r="BY47" s="14">
        <v>-33.869821119047614</v>
      </c>
      <c r="BZ47" s="14">
        <v>4.4731121371320262</v>
      </c>
      <c r="CA47" s="14">
        <v>0.87254743868633422</v>
      </c>
      <c r="CB47" s="14">
        <v>0.74004594029890114</v>
      </c>
      <c r="CC47" s="14">
        <v>0.76804675842519932</v>
      </c>
      <c r="CD47" s="14">
        <v>-838.25951741627523</v>
      </c>
      <c r="CE47" s="14">
        <v>-1843.5319886397979</v>
      </c>
      <c r="CF47" s="14">
        <v>-37.485109075533913</v>
      </c>
      <c r="CG47" s="14">
        <v>1501.9239353217649</v>
      </c>
      <c r="CH47" s="14">
        <v>1808.830378319662</v>
      </c>
      <c r="CI47" s="14">
        <v>4616.903462524624</v>
      </c>
      <c r="CJ47" s="14">
        <v>21.456056218882356</v>
      </c>
      <c r="CK47" s="14">
        <v>25.840433975995172</v>
      </c>
      <c r="CL47" s="14">
        <v>65.955763750351778</v>
      </c>
      <c r="CM47" s="14">
        <v>52.419466389282462</v>
      </c>
      <c r="CN47" s="27"/>
    </row>
    <row r="48" spans="1:92" s="19" customFormat="1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5"/>
      <c r="K48" s="8"/>
      <c r="L48" s="14"/>
      <c r="M48" s="8"/>
      <c r="N48" s="8"/>
      <c r="O48" s="8"/>
      <c r="P48" s="8"/>
      <c r="Q48" s="8"/>
      <c r="R48" s="14"/>
      <c r="S48" s="8"/>
      <c r="T48" s="8"/>
      <c r="U48" s="8"/>
      <c r="V48" s="8"/>
      <c r="W48" s="8"/>
      <c r="X48" s="14"/>
      <c r="Y48" s="8"/>
      <c r="Z48" s="14"/>
      <c r="AA48" s="8"/>
      <c r="AB48" s="8"/>
      <c r="AC48" s="8"/>
      <c r="AD48" s="8"/>
      <c r="AE48" s="8"/>
      <c r="AF48" s="8"/>
      <c r="AG48" s="8"/>
      <c r="AH48" s="8"/>
      <c r="AI48" s="14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14"/>
      <c r="AX48" s="8"/>
      <c r="AY48" s="8"/>
      <c r="AZ48" s="8"/>
      <c r="BA48" s="8"/>
      <c r="BB48" s="14"/>
      <c r="BC48" s="8"/>
      <c r="BD48" s="8"/>
      <c r="BE48" s="8"/>
      <c r="BF48" s="8"/>
      <c r="BG48" s="14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27"/>
    </row>
    <row r="49" spans="1:92" s="19" customFormat="1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5"/>
      <c r="K49" s="8">
        <v>0.50367076983124992</v>
      </c>
      <c r="L49" s="8">
        <v>0.54692918831276371</v>
      </c>
      <c r="M49" s="8">
        <v>3.2757824522847097</v>
      </c>
      <c r="N49" s="8">
        <v>396216.031877</v>
      </c>
      <c r="O49" s="8">
        <v>197128.87560799994</v>
      </c>
      <c r="P49" s="8">
        <v>197126.98206799995</v>
      </c>
      <c r="Q49" s="8">
        <v>1495.1981181773585</v>
      </c>
      <c r="R49" s="14">
        <v>21.988207620255274</v>
      </c>
      <c r="S49" s="8">
        <v>746.71729546212134</v>
      </c>
      <c r="T49" s="8">
        <v>751.31556871320754</v>
      </c>
      <c r="U49" s="8">
        <v>-0.30695409700624687</v>
      </c>
      <c r="V49" s="8">
        <v>2.041525499956542</v>
      </c>
      <c r="W49" s="8">
        <v>3052.4850857461124</v>
      </c>
      <c r="X49" s="14">
        <v>44.889486555089888</v>
      </c>
      <c r="Y49" s="8">
        <v>2135.2453</v>
      </c>
      <c r="Z49" s="14">
        <v>31.40066617647059</v>
      </c>
      <c r="AA49" s="8">
        <v>989.40144299999997</v>
      </c>
      <c r="AB49" s="8">
        <v>1146.0242229999999</v>
      </c>
      <c r="AC49" s="8">
        <v>-7.3344992754245526</v>
      </c>
      <c r="AD49" s="8">
        <v>-8084.664318728438</v>
      </c>
      <c r="AE49" s="8">
        <v>1.9006444144575467</v>
      </c>
      <c r="AF49" s="8">
        <v>2.0638837294821273</v>
      </c>
      <c r="AG49" s="8">
        <v>12.361443216168714</v>
      </c>
      <c r="AH49" s="8">
        <v>4635.7836941431806</v>
      </c>
      <c r="AI49" s="14">
        <v>68.173289619752651</v>
      </c>
      <c r="AJ49" s="8">
        <v>3.0871658799158643</v>
      </c>
      <c r="AK49" s="8">
        <v>1501.630905</v>
      </c>
      <c r="AL49" s="8">
        <v>5.0000000000000001E-3</v>
      </c>
      <c r="AM49" s="8">
        <v>0.23599999999999999</v>
      </c>
      <c r="AN49" s="8">
        <v>0.23100000000000001</v>
      </c>
      <c r="AO49" s="8">
        <v>0.23599999999999999</v>
      </c>
      <c r="AP49" s="8">
        <v>-1.0706638115631641</v>
      </c>
      <c r="AQ49" s="8">
        <v>0.26500000000000001</v>
      </c>
      <c r="AR49" s="8">
        <v>0.26400000000000001</v>
      </c>
      <c r="AS49" s="8">
        <v>0.26500000000000001</v>
      </c>
      <c r="AT49" s="8">
        <v>-0.18903591682419676</v>
      </c>
      <c r="AU49" s="8">
        <v>0.64100000000000001</v>
      </c>
      <c r="AV49" s="8">
        <v>1975.8633580000001</v>
      </c>
      <c r="AW49" s="14">
        <v>29.056814088235296</v>
      </c>
      <c r="AX49" s="8">
        <v>1074.141846</v>
      </c>
      <c r="AY49" s="8">
        <v>961.35903900000005</v>
      </c>
      <c r="AZ49" s="8">
        <v>5.5407888953091726</v>
      </c>
      <c r="BA49" s="8">
        <v>1484.6586704194917</v>
      </c>
      <c r="BB49" s="14">
        <v>21.833215741463114</v>
      </c>
      <c r="BC49" s="8">
        <v>740.6143889783549</v>
      </c>
      <c r="BD49" s="8">
        <v>759.88732816101697</v>
      </c>
      <c r="BE49" s="8">
        <v>-1.2844329974779984</v>
      </c>
      <c r="BF49" s="8">
        <v>5860.6851659999993</v>
      </c>
      <c r="BG49" s="14">
        <v>86.186546558823522</v>
      </c>
      <c r="BH49" s="8">
        <v>2935.4010010000002</v>
      </c>
      <c r="BI49" s="8">
        <v>3357.930801</v>
      </c>
      <c r="BJ49" s="8">
        <v>-6.7139285404548543</v>
      </c>
      <c r="BK49" s="8">
        <v>23.858596000000006</v>
      </c>
      <c r="BL49" s="8">
        <v>142.41220100000001</v>
      </c>
      <c r="BM49" s="8">
        <v>151.97006999999999</v>
      </c>
      <c r="BN49" s="8">
        <v>-3.2467542856886182</v>
      </c>
      <c r="BO49" s="8">
        <v>116.605963</v>
      </c>
      <c r="BP49" s="8">
        <v>49.574666999999998</v>
      </c>
      <c r="BQ49" s="8">
        <v>67.067366000000007</v>
      </c>
      <c r="BR49" s="8">
        <v>-14.996908532964278</v>
      </c>
      <c r="BS49" s="8">
        <v>5.1611795320754732</v>
      </c>
      <c r="BT49" s="8">
        <v>-103.3456552537879</v>
      </c>
      <c r="BU49" s="8">
        <v>108.10228810943397</v>
      </c>
      <c r="BV49" s="8">
        <v>-4445.3282349138071</v>
      </c>
      <c r="BW49" s="8">
        <v>14.389879332075473</v>
      </c>
      <c r="BX49" s="8">
        <v>-4.3716034242424247</v>
      </c>
      <c r="BY49" s="8">
        <v>18.82746483773585</v>
      </c>
      <c r="BZ49" s="8">
        <v>-160.48208818828152</v>
      </c>
      <c r="CA49" s="8">
        <v>0.9382765960060816</v>
      </c>
      <c r="CB49" s="8">
        <v>0.83749046252413772</v>
      </c>
      <c r="CC49" s="8">
        <v>0.83954026211500232</v>
      </c>
      <c r="CD49" s="8">
        <v>-2884.6574723717608</v>
      </c>
      <c r="CE49" s="8">
        <v>-5200.0068463566777</v>
      </c>
      <c r="CF49" s="8">
        <v>-28.638781805959713</v>
      </c>
      <c r="CG49" s="8">
        <v>1929.2104257603853</v>
      </c>
      <c r="CH49" s="8">
        <v>1406.5419449129708</v>
      </c>
      <c r="CI49" s="8">
        <v>4527.5065172750228</v>
      </c>
      <c r="CJ49" s="8">
        <v>28.370741555299784</v>
      </c>
      <c r="CK49" s="8">
        <v>20.68444036636722</v>
      </c>
      <c r="CL49" s="8">
        <v>66.580978195220922</v>
      </c>
      <c r="CM49" s="8">
        <v>39.85487983324402</v>
      </c>
      <c r="CN49" s="27"/>
    </row>
    <row r="50" spans="1:92" s="19" customFormat="1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5"/>
      <c r="K50" s="8">
        <v>0.42526660308124997</v>
      </c>
      <c r="L50" s="8">
        <v>0.29330595782962399</v>
      </c>
      <c r="M50" s="8">
        <v>2.398887844943407</v>
      </c>
      <c r="N50" s="8">
        <v>367689.17437800014</v>
      </c>
      <c r="O50" s="8">
        <v>197803.94961100002</v>
      </c>
      <c r="P50" s="8">
        <v>197801.64129600002</v>
      </c>
      <c r="Q50" s="8">
        <v>1578.1110230386266</v>
      </c>
      <c r="R50" s="14">
        <v>19.976088899223122</v>
      </c>
      <c r="S50" s="8">
        <v>848.97672905579407</v>
      </c>
      <c r="T50" s="8">
        <v>735.48352470562759</v>
      </c>
      <c r="U50" s="8">
        <v>7.1628937413065321</v>
      </c>
      <c r="V50" s="8">
        <v>1.4533871431561585</v>
      </c>
      <c r="W50" s="8">
        <v>2293.6062713573519</v>
      </c>
      <c r="X50" s="14">
        <v>29.032990776675341</v>
      </c>
      <c r="Y50" s="8">
        <v>1914.2782669999999</v>
      </c>
      <c r="Z50" s="14">
        <v>24.231370468354431</v>
      </c>
      <c r="AA50" s="8">
        <v>1107.9911</v>
      </c>
      <c r="AB50" s="8">
        <v>873.26435900000001</v>
      </c>
      <c r="AC50" s="8">
        <v>11.847373842365268</v>
      </c>
      <c r="AD50" s="8">
        <v>-3189.1315084210314</v>
      </c>
      <c r="AE50" s="8">
        <v>1.8251785539967809</v>
      </c>
      <c r="AF50" s="8">
        <v>1.2588238533460256</v>
      </c>
      <c r="AG50" s="8">
        <v>10.295655986881574</v>
      </c>
      <c r="AH50" s="8">
        <v>3709.0769024605379</v>
      </c>
      <c r="AI50" s="14">
        <v>46.950340537475164</v>
      </c>
      <c r="AJ50" s="8">
        <v>2.2134594215781238</v>
      </c>
      <c r="AK50" s="8">
        <v>1675.6922970000001</v>
      </c>
      <c r="AL50" s="8">
        <v>-6.0000000000000001E-3</v>
      </c>
      <c r="AM50" s="8">
        <v>0.20599999999999999</v>
      </c>
      <c r="AN50" s="8">
        <v>0.20599999999999999</v>
      </c>
      <c r="AO50" s="8">
        <v>0.2</v>
      </c>
      <c r="AP50" s="8">
        <v>1.4778325123152654</v>
      </c>
      <c r="AQ50" s="8">
        <v>0.23300000000000001</v>
      </c>
      <c r="AR50" s="8">
        <v>0.23300000000000001</v>
      </c>
      <c r="AS50" s="8">
        <v>0.23100000000000001</v>
      </c>
      <c r="AT50" s="8">
        <v>0.43103448275862105</v>
      </c>
      <c r="AU50" s="8">
        <v>0.58899999999999997</v>
      </c>
      <c r="AV50" s="8">
        <v>2488.2190780000001</v>
      </c>
      <c r="AW50" s="14">
        <v>31.496444025316457</v>
      </c>
      <c r="AX50" s="8">
        <v>1750.892838</v>
      </c>
      <c r="AY50" s="8">
        <v>0.36067399999999999</v>
      </c>
      <c r="AZ50" s="8">
        <v>99.958809618649894</v>
      </c>
      <c r="BA50" s="8">
        <v>1851.6111080339799</v>
      </c>
      <c r="BB50" s="14">
        <v>23.438115291569368</v>
      </c>
      <c r="BC50" s="8">
        <v>1060.4261439757281</v>
      </c>
      <c r="BD50" s="8">
        <v>815.02240344000006</v>
      </c>
      <c r="BE50" s="8">
        <v>13.085069215782102</v>
      </c>
      <c r="BF50" s="8">
        <v>2153.09863</v>
      </c>
      <c r="BG50" s="14">
        <v>27.254413037974683</v>
      </c>
      <c r="BH50" s="8">
        <v>1003.882469</v>
      </c>
      <c r="BI50" s="8">
        <v>1167.376084</v>
      </c>
      <c r="BJ50" s="8">
        <v>-7.5299007929803183</v>
      </c>
      <c r="BK50" s="8">
        <v>88.671748000000008</v>
      </c>
      <c r="BL50" s="8">
        <v>60.557195999999998</v>
      </c>
      <c r="BM50" s="8">
        <v>130.85259199999999</v>
      </c>
      <c r="BN50" s="8">
        <v>-36.725079074848558</v>
      </c>
      <c r="BO50" s="8">
        <v>92.801468999999997</v>
      </c>
      <c r="BP50" s="8">
        <v>50.945230000000002</v>
      </c>
      <c r="BQ50" s="8">
        <v>41.892305999999998</v>
      </c>
      <c r="BR50" s="8">
        <v>9.7513617767709864</v>
      </c>
      <c r="BS50" s="8">
        <v>38.802815291845498</v>
      </c>
      <c r="BT50" s="8">
        <v>-43.913784931330468</v>
      </c>
      <c r="BU50" s="8">
        <v>83.432058653679618</v>
      </c>
      <c r="BV50" s="8">
        <v>-322.24546163055436</v>
      </c>
      <c r="BW50" s="8">
        <v>22.523406562231763</v>
      </c>
      <c r="BX50" s="8">
        <v>21.297578643776824</v>
      </c>
      <c r="BY50" s="8">
        <v>1.2915571558441552</v>
      </c>
      <c r="BZ50" s="8">
        <v>88.564793560045558</v>
      </c>
      <c r="CA50" s="8">
        <v>0.91340899988120916</v>
      </c>
      <c r="CB50" s="8">
        <v>0.90856661095550584</v>
      </c>
      <c r="CC50" s="8">
        <v>0.83485337548977356</v>
      </c>
      <c r="CD50" s="8">
        <v>-2314.4549066712057</v>
      </c>
      <c r="CE50" s="8">
        <v>-874.67660174982359</v>
      </c>
      <c r="CF50" s="8">
        <v>45.146407450416831</v>
      </c>
      <c r="CG50" s="8">
        <v>5736.6012665031394</v>
      </c>
      <c r="CH50" s="8">
        <v>0.85993774131061473</v>
      </c>
      <c r="CI50" s="8">
        <v>8731.8779955966565</v>
      </c>
      <c r="CJ50" s="8">
        <v>72.615205905103025</v>
      </c>
      <c r="CK50" s="8">
        <v>1.0885287864691326E-2</v>
      </c>
      <c r="CL50" s="8">
        <v>110.53010121008425</v>
      </c>
      <c r="CM50" s="8">
        <v>30.087116187604444</v>
      </c>
      <c r="CN50" s="27"/>
    </row>
    <row r="51" spans="1:92" s="19" customFormat="1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5"/>
      <c r="K51" s="8">
        <v>0.35877751608125003</v>
      </c>
      <c r="L51" s="8">
        <v>0.32134768532234848</v>
      </c>
      <c r="M51" s="8">
        <v>2.5109443613956239</v>
      </c>
      <c r="N51" s="8">
        <v>364208.0910320002</v>
      </c>
      <c r="O51" s="8">
        <v>185110.20181099998</v>
      </c>
      <c r="P51" s="8">
        <v>185106.79343999998</v>
      </c>
      <c r="Q51" s="8">
        <v>1505.0435301280991</v>
      </c>
      <c r="R51" s="14">
        <v>20.067247068374655</v>
      </c>
      <c r="S51" s="8">
        <v>771.31369715416656</v>
      </c>
      <c r="T51" s="8">
        <v>740.16729528099188</v>
      </c>
      <c r="U51" s="8">
        <v>2.0606545519963491</v>
      </c>
      <c r="V51" s="8">
        <v>1.6276903018091393</v>
      </c>
      <c r="W51" s="8">
        <v>2449.744757790098</v>
      </c>
      <c r="X51" s="14">
        <v>32.663263437201309</v>
      </c>
      <c r="Y51" s="8">
        <v>2089.2773740000002</v>
      </c>
      <c r="Z51" s="14">
        <v>27.857031653333337</v>
      </c>
      <c r="AA51" s="8">
        <v>1111.489624</v>
      </c>
      <c r="AB51" s="8">
        <v>984.00936100000001</v>
      </c>
      <c r="AC51" s="8">
        <v>6.0835277856266785</v>
      </c>
      <c r="AD51" s="8">
        <v>-6120.7657505537045</v>
      </c>
      <c r="AE51" s="8">
        <v>1.4825517193440083</v>
      </c>
      <c r="AF51" s="8">
        <v>1.3278829971997872</v>
      </c>
      <c r="AG51" s="8">
        <v>10.375803146262909</v>
      </c>
      <c r="AH51" s="8">
        <v>3633.8353419904229</v>
      </c>
      <c r="AI51" s="14">
        <v>48.45113789320564</v>
      </c>
      <c r="AJ51" s="8">
        <v>2.3210281228008043</v>
      </c>
      <c r="AK51" s="8">
        <v>1565.614525</v>
      </c>
      <c r="AL51" s="8">
        <v>4.1000000000000002E-2</v>
      </c>
      <c r="AM51" s="8">
        <v>0.253</v>
      </c>
      <c r="AN51" s="8">
        <v>0.21199999999999999</v>
      </c>
      <c r="AO51" s="8">
        <v>0.253</v>
      </c>
      <c r="AP51" s="8">
        <v>-8.8172043010752716</v>
      </c>
      <c r="AQ51" s="8">
        <v>0.24199999999999999</v>
      </c>
      <c r="AR51" s="8">
        <v>0.24</v>
      </c>
      <c r="AS51" s="8">
        <v>0.24199999999999999</v>
      </c>
      <c r="AT51" s="8">
        <v>-0.41493775933609994</v>
      </c>
      <c r="AU51" s="8">
        <v>0.54100000000000004</v>
      </c>
      <c r="AV51" s="8">
        <v>2104.984719</v>
      </c>
      <c r="AW51" s="14">
        <v>28.066462919999999</v>
      </c>
      <c r="AX51" s="8">
        <v>1330.328751</v>
      </c>
      <c r="AY51" s="8">
        <v>1255.9757079999999</v>
      </c>
      <c r="AZ51" s="8">
        <v>2.8748758770941003</v>
      </c>
      <c r="BA51" s="8">
        <v>1570.1276436007904</v>
      </c>
      <c r="BB51" s="14">
        <v>20.935035248010539</v>
      </c>
      <c r="BC51" s="8">
        <v>915.17008966037736</v>
      </c>
      <c r="BD51" s="8">
        <v>804.38882983399219</v>
      </c>
      <c r="BE51" s="8">
        <v>6.4424230289800137</v>
      </c>
      <c r="BF51" s="8">
        <v>5034.5968709999997</v>
      </c>
      <c r="BG51" s="14">
        <v>67.127958280000001</v>
      </c>
      <c r="BH51" s="8">
        <v>2511.3202820000001</v>
      </c>
      <c r="BI51" s="8">
        <v>2669.313568</v>
      </c>
      <c r="BJ51" s="8">
        <v>-3.0496902613567234</v>
      </c>
      <c r="BK51" s="8">
        <v>58.735791999999996</v>
      </c>
      <c r="BL51" s="8">
        <v>91.340736000000007</v>
      </c>
      <c r="BM51" s="8">
        <v>125.02770599999999</v>
      </c>
      <c r="BN51" s="8">
        <v>-15.5692621754886</v>
      </c>
      <c r="BO51" s="8">
        <v>136.731584</v>
      </c>
      <c r="BP51" s="8">
        <v>84.938770000000005</v>
      </c>
      <c r="BQ51" s="8">
        <v>52.40596</v>
      </c>
      <c r="BR51" s="8">
        <v>23.686973646531616</v>
      </c>
      <c r="BS51" s="8">
        <v>32.967856351239675</v>
      </c>
      <c r="BT51" s="8">
        <v>-47.524309366666664</v>
      </c>
      <c r="BU51" s="8">
        <v>80.085393173553726</v>
      </c>
      <c r="BV51" s="8">
        <v>-391.90864559990291</v>
      </c>
      <c r="BW51" s="8">
        <v>68.655523880165291</v>
      </c>
      <c r="BX51" s="8">
        <v>41.991492179166656</v>
      </c>
      <c r="BY51" s="8">
        <v>27.235148847107435</v>
      </c>
      <c r="BZ51" s="8">
        <v>21.315989210654664</v>
      </c>
      <c r="CA51" s="8">
        <v>0.91444673371062568</v>
      </c>
      <c r="CB51" s="8">
        <v>0.86311249284256408</v>
      </c>
      <c r="CC51" s="8">
        <v>0.84722998728718524</v>
      </c>
      <c r="CD51" s="8">
        <v>-3921.8540241422029</v>
      </c>
      <c r="CE51" s="8">
        <v>-2198.9117264115048</v>
      </c>
      <c r="CF51" s="8">
        <v>28.149129830280373</v>
      </c>
      <c r="CG51" s="8">
        <v>2489.9800145459317</v>
      </c>
      <c r="CH51" s="8">
        <v>1700.0429860953957</v>
      </c>
      <c r="CI51" s="8">
        <v>4529.024285048974</v>
      </c>
      <c r="CJ51" s="8">
        <v>33.199733527279086</v>
      </c>
      <c r="CK51" s="8">
        <v>22.667239814605274</v>
      </c>
      <c r="CL51" s="8">
        <v>60.386990467319656</v>
      </c>
      <c r="CM51" s="8">
        <v>33.150567018439247</v>
      </c>
      <c r="CN51" s="27"/>
    </row>
    <row r="52" spans="1:92" s="19" customFormat="1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5"/>
      <c r="K52" s="8"/>
      <c r="L52" s="8"/>
      <c r="M52" s="8"/>
      <c r="N52" s="8"/>
      <c r="O52" s="8"/>
      <c r="P52" s="8"/>
      <c r="Q52" s="8"/>
      <c r="R52" s="14"/>
      <c r="S52" s="8"/>
      <c r="T52" s="8"/>
      <c r="U52" s="8"/>
      <c r="V52" s="8"/>
      <c r="W52" s="8"/>
      <c r="X52" s="14"/>
      <c r="Y52" s="8"/>
      <c r="Z52" s="14"/>
      <c r="AA52" s="8"/>
      <c r="AB52" s="8"/>
      <c r="AC52" s="8"/>
      <c r="AD52" s="8"/>
      <c r="AE52" s="8"/>
      <c r="AF52" s="8"/>
      <c r="AG52" s="8"/>
      <c r="AH52" s="8"/>
      <c r="AI52" s="14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14"/>
      <c r="AX52" s="8"/>
      <c r="AY52" s="8"/>
      <c r="AZ52" s="8"/>
      <c r="BA52" s="8"/>
      <c r="BB52" s="14"/>
      <c r="BC52" s="8"/>
      <c r="BD52" s="8"/>
      <c r="BE52" s="8"/>
      <c r="BF52" s="8"/>
      <c r="BG52" s="14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27"/>
    </row>
    <row r="53" spans="1:92" s="19" customFormat="1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5"/>
      <c r="K53" s="8">
        <v>0.39687635133124993</v>
      </c>
      <c r="L53" s="8">
        <v>0.41582740306535909</v>
      </c>
      <c r="M53" s="8">
        <v>2.8563146969727171</v>
      </c>
      <c r="N53" s="8">
        <v>272871.08607600001</v>
      </c>
      <c r="O53" s="8">
        <v>128670.786722</v>
      </c>
      <c r="P53" s="8">
        <v>128667.46852000001</v>
      </c>
      <c r="Q53" s="8">
        <v>1202.1122897973569</v>
      </c>
      <c r="R53" s="14">
        <v>22.261338699951054</v>
      </c>
      <c r="S53" s="8">
        <v>577.00349137219735</v>
      </c>
      <c r="T53" s="8">
        <v>635.33131527753301</v>
      </c>
      <c r="U53" s="8">
        <v>-4.8111976646553405</v>
      </c>
      <c r="V53" s="8">
        <v>1.880824695740525</v>
      </c>
      <c r="W53" s="8">
        <v>2260.9624817040594</v>
      </c>
      <c r="X53" s="14">
        <v>41.869675587112212</v>
      </c>
      <c r="Y53" s="8">
        <v>1696.3228260000001</v>
      </c>
      <c r="Z53" s="14">
        <v>31.413385666666667</v>
      </c>
      <c r="AA53" s="8">
        <v>762.42915300000004</v>
      </c>
      <c r="AB53" s="8">
        <v>933.89367300000004</v>
      </c>
      <c r="AC53" s="8">
        <v>-10.108012305907625</v>
      </c>
      <c r="AD53" s="8">
        <v>-3413.0019021736148</v>
      </c>
      <c r="AE53" s="8">
        <v>1.7483539706222464</v>
      </c>
      <c r="AF53" s="8">
        <v>1.8318387800236082</v>
      </c>
      <c r="AG53" s="8">
        <v>12.582884127633115</v>
      </c>
      <c r="AH53" s="8">
        <v>3008.7384782005061</v>
      </c>
      <c r="AI53" s="14">
        <v>55.717379225935296</v>
      </c>
      <c r="AJ53" s="8">
        <v>2.6667895696416819</v>
      </c>
      <c r="AK53" s="8">
        <v>1128.224931</v>
      </c>
      <c r="AL53" s="8">
        <v>3.0000000000000001E-3</v>
      </c>
      <c r="AM53" s="8">
        <v>0.19</v>
      </c>
      <c r="AN53" s="8">
        <v>0.187</v>
      </c>
      <c r="AO53" s="8">
        <v>0.19</v>
      </c>
      <c r="AP53" s="8">
        <v>-0.79575596816976202</v>
      </c>
      <c r="AQ53" s="8">
        <v>0.22700000000000001</v>
      </c>
      <c r="AR53" s="8">
        <v>0.223</v>
      </c>
      <c r="AS53" s="8">
        <v>0.22700000000000001</v>
      </c>
      <c r="AT53" s="8">
        <v>-0.88888888888888962</v>
      </c>
      <c r="AU53" s="8">
        <v>0.56899999999999995</v>
      </c>
      <c r="AV53" s="8">
        <v>1339.9046079999998</v>
      </c>
      <c r="AW53" s="14">
        <v>24.813048296296294</v>
      </c>
      <c r="AX53" s="8">
        <v>619.22349099999997</v>
      </c>
      <c r="AY53" s="8">
        <v>796.35057800000004</v>
      </c>
      <c r="AZ53" s="8">
        <v>-12.51273888657253</v>
      </c>
      <c r="BA53" s="8">
        <v>1331.1985953736844</v>
      </c>
      <c r="BB53" s="14">
        <v>24.651825840253416</v>
      </c>
      <c r="BC53" s="8">
        <v>585.77277926737963</v>
      </c>
      <c r="BD53" s="8">
        <v>754.71405958421053</v>
      </c>
      <c r="BE53" s="8">
        <v>-12.602979411686336</v>
      </c>
      <c r="BF53" s="8">
        <v>3557.1311150000001</v>
      </c>
      <c r="BG53" s="14">
        <v>65.872798425925922</v>
      </c>
      <c r="BH53" s="8">
        <v>1484.1743160000001</v>
      </c>
      <c r="BI53" s="8">
        <v>2126.35464</v>
      </c>
      <c r="BJ53" s="8">
        <v>-17.786322498060031</v>
      </c>
      <c r="BK53" s="8">
        <v>32.677081999999999</v>
      </c>
      <c r="BL53" s="8">
        <v>59.889947999999997</v>
      </c>
      <c r="BM53" s="8">
        <v>47.915565999999998</v>
      </c>
      <c r="BN53" s="8">
        <v>11.107392892723466</v>
      </c>
      <c r="BO53" s="8">
        <v>85.768320999999986</v>
      </c>
      <c r="BP53" s="8">
        <v>49.159892999999997</v>
      </c>
      <c r="BQ53" s="8">
        <v>38.520004</v>
      </c>
      <c r="BR53" s="8">
        <v>12.134924154849312</v>
      </c>
      <c r="BS53" s="8">
        <v>-18.311523524229077</v>
      </c>
      <c r="BT53" s="8">
        <v>-37.15283756053811</v>
      </c>
      <c r="BU53" s="8">
        <v>18.14524833920705</v>
      </c>
      <c r="BV53" s="8">
        <v>290.92635186837629</v>
      </c>
      <c r="BW53" s="8">
        <v>-44.277840999999995</v>
      </c>
      <c r="BX53" s="8">
        <v>-28.778969869955155</v>
      </c>
      <c r="BY53" s="8">
        <v>-15.784977299559472</v>
      </c>
      <c r="BZ53" s="8">
        <v>29.158082700727718</v>
      </c>
      <c r="CA53" s="8">
        <v>0.93473249029421934</v>
      </c>
      <c r="CB53" s="8">
        <v>0.87486807857585602</v>
      </c>
      <c r="CC53" s="8">
        <v>0.9152865895072656</v>
      </c>
      <c r="CD53" s="8">
        <v>-1347.2751750649343</v>
      </c>
      <c r="CE53" s="8">
        <v>-2065.7267271086807</v>
      </c>
      <c r="CF53" s="8">
        <v>-21.050429288837815</v>
      </c>
      <c r="CG53" s="8">
        <v>1404.5141697180757</v>
      </c>
      <c r="CH53" s="8">
        <v>1861.0016919619809</v>
      </c>
      <c r="CI53" s="8">
        <v>4108.6855946461465</v>
      </c>
      <c r="CJ53" s="8">
        <v>26.009521661445845</v>
      </c>
      <c r="CK53" s="8">
        <v>34.462994295592239</v>
      </c>
      <c r="CL53" s="8">
        <v>76.086770271224935</v>
      </c>
      <c r="CM53" s="8">
        <v>0</v>
      </c>
      <c r="CN53" s="27"/>
    </row>
    <row r="54" spans="1:92" s="19" customFormat="1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5"/>
      <c r="K54" s="8">
        <v>0.36543990892500006</v>
      </c>
      <c r="L54" s="8">
        <v>0.33382823134490902</v>
      </c>
      <c r="M54" s="8">
        <v>2.5592401018636597</v>
      </c>
      <c r="N54" s="8">
        <v>378042.30907200009</v>
      </c>
      <c r="O54" s="8">
        <v>204195.5831649999</v>
      </c>
      <c r="P54" s="8">
        <v>204193.29288399991</v>
      </c>
      <c r="Q54" s="8">
        <v>1364.8222462779781</v>
      </c>
      <c r="R54" s="14">
        <v>18.955864531638586</v>
      </c>
      <c r="S54" s="8">
        <v>737.19857367148029</v>
      </c>
      <c r="T54" s="8">
        <v>658.80740343939397</v>
      </c>
      <c r="U54" s="8">
        <v>5.6153892975674777</v>
      </c>
      <c r="V54" s="8">
        <v>1.5763495646512373</v>
      </c>
      <c r="W54" s="8">
        <v>2151.4369537466146</v>
      </c>
      <c r="X54" s="14">
        <v>29.881068802036314</v>
      </c>
      <c r="Y54" s="8">
        <v>1673.1315060000002</v>
      </c>
      <c r="Z54" s="14">
        <v>23.237937583333334</v>
      </c>
      <c r="AA54" s="8">
        <v>883.12881500000003</v>
      </c>
      <c r="AB54" s="8">
        <v>829.76702499999999</v>
      </c>
      <c r="AC54" s="8">
        <v>3.1152968414004696</v>
      </c>
      <c r="AD54" s="8">
        <v>-1051.9285349965967</v>
      </c>
      <c r="AE54" s="8">
        <v>1.3192776495487366</v>
      </c>
      <c r="AF54" s="8">
        <v>1.2051560698372166</v>
      </c>
      <c r="AG54" s="8">
        <v>9.2391339417460632</v>
      </c>
      <c r="AH54" s="8">
        <v>3650.7315312200585</v>
      </c>
      <c r="AI54" s="14">
        <v>50.704604600278593</v>
      </c>
      <c r="AJ54" s="8">
        <v>2.3995650225171197</v>
      </c>
      <c r="AK54" s="8">
        <v>1521.4138800000001</v>
      </c>
      <c r="AL54" s="8">
        <v>-1E-3</v>
      </c>
      <c r="AM54" s="8">
        <v>0.315</v>
      </c>
      <c r="AN54" s="8">
        <v>0.315</v>
      </c>
      <c r="AO54" s="8">
        <v>0.314</v>
      </c>
      <c r="AP54" s="8">
        <v>0.15898251192368854</v>
      </c>
      <c r="AQ54" s="8">
        <v>0.27700000000000002</v>
      </c>
      <c r="AR54" s="8">
        <v>0.27700000000000002</v>
      </c>
      <c r="AS54" s="8">
        <v>0.26400000000000001</v>
      </c>
      <c r="AT54" s="8">
        <v>2.4029574861367857</v>
      </c>
      <c r="AU54" s="8">
        <v>0.54600000000000004</v>
      </c>
      <c r="AV54" s="8">
        <v>2780.2390130000003</v>
      </c>
      <c r="AW54" s="14">
        <v>38.614430736111117</v>
      </c>
      <c r="AX54" s="8">
        <v>2026.6282650000001</v>
      </c>
      <c r="AY54" s="8">
        <v>-0.14427000000000001</v>
      </c>
      <c r="AZ54" s="8">
        <v>100.01423845442214</v>
      </c>
      <c r="BA54" s="8">
        <v>1347.4586683047619</v>
      </c>
      <c r="BB54" s="14">
        <v>18.714703726455028</v>
      </c>
      <c r="BC54" s="8">
        <v>689.07347367301588</v>
      </c>
      <c r="BD54" s="8">
        <v>660.49149651273888</v>
      </c>
      <c r="BE54" s="8">
        <v>2.1178659636032915</v>
      </c>
      <c r="BF54" s="8">
        <v>5746.4775460000001</v>
      </c>
      <c r="BG54" s="14">
        <v>79.812188138888885</v>
      </c>
      <c r="BH54" s="8">
        <v>5200.9037479999997</v>
      </c>
      <c r="BI54" s="8">
        <v>641.40493000000004</v>
      </c>
      <c r="BJ54" s="8">
        <v>78.042757911258732</v>
      </c>
      <c r="BK54" s="8">
        <v>108.34653199999998</v>
      </c>
      <c r="BL54" s="8">
        <v>129.37383500000001</v>
      </c>
      <c r="BM54" s="8">
        <v>210.97636399999999</v>
      </c>
      <c r="BN54" s="8">
        <v>-23.97604856402625</v>
      </c>
      <c r="BO54" s="8">
        <v>184.14220499999999</v>
      </c>
      <c r="BP54" s="8">
        <v>103.18888699999999</v>
      </c>
      <c r="BQ54" s="8">
        <v>89.988211000000007</v>
      </c>
      <c r="BR54" s="8">
        <v>6.8334580737929844</v>
      </c>
      <c r="BS54" s="8">
        <v>-30.207179122743685</v>
      </c>
      <c r="BT54" s="8">
        <v>71.4680459133574</v>
      </c>
      <c r="BU54" s="8">
        <v>-106.79173298484849</v>
      </c>
      <c r="BV54" s="8">
        <v>-504.6465804586835</v>
      </c>
      <c r="BW54" s="8">
        <v>44.397299783393507</v>
      </c>
      <c r="BX54" s="8">
        <v>26.238916949458492</v>
      </c>
      <c r="BY54" s="8">
        <v>20.027253958333333</v>
      </c>
      <c r="BZ54" s="8">
        <v>13.425928425122891</v>
      </c>
      <c r="CA54" s="8">
        <v>0.85119773870786286</v>
      </c>
      <c r="CB54" s="8">
        <v>0.79155284925317138</v>
      </c>
      <c r="CC54" s="8">
        <v>0.73383199425929191</v>
      </c>
      <c r="CD54" s="8">
        <v>-76.400479849626137</v>
      </c>
      <c r="CE54" s="8">
        <v>-975.52805514697184</v>
      </c>
      <c r="CF54" s="8">
        <v>-85.474207171331614</v>
      </c>
      <c r="CG54" s="8">
        <v>1725.6191611736076</v>
      </c>
      <c r="CH54" s="8">
        <v>-0.10295209501616653</v>
      </c>
      <c r="CI54" s="8">
        <v>6494.9228257424129</v>
      </c>
      <c r="CJ54" s="8">
        <v>23.966932794077884</v>
      </c>
      <c r="CK54" s="8">
        <v>-1.4298902085578685E-3</v>
      </c>
      <c r="CL54" s="8">
        <v>90.207261468644617</v>
      </c>
      <c r="CM54" s="8">
        <v>61.588906277246039</v>
      </c>
      <c r="CN54" s="27"/>
    </row>
    <row r="55" spans="1:92" s="19" customFormat="1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5"/>
      <c r="K55" s="8">
        <v>0.39409126273124995</v>
      </c>
      <c r="L55" s="8">
        <v>0.40921045902575481</v>
      </c>
      <c r="M55" s="8">
        <v>2.8334976982671627</v>
      </c>
      <c r="N55" s="8">
        <v>521323.4120090002</v>
      </c>
      <c r="O55" s="8">
        <v>241277.43416200019</v>
      </c>
      <c r="P55" s="8">
        <v>241269.91410500021</v>
      </c>
      <c r="Q55" s="8">
        <v>1379.217854883598</v>
      </c>
      <c r="R55" s="14">
        <v>17.240223186044975</v>
      </c>
      <c r="S55" s="8">
        <v>641.72173068085112</v>
      </c>
      <c r="T55" s="8">
        <v>740.95330713492058</v>
      </c>
      <c r="U55" s="8">
        <v>-7.1767822329986339</v>
      </c>
      <c r="V55" s="8">
        <v>1.4369981979607351</v>
      </c>
      <c r="W55" s="8">
        <v>1981.9335720630011</v>
      </c>
      <c r="X55" s="14">
        <v>24.774169650787513</v>
      </c>
      <c r="Y55" s="8">
        <v>1787.7717969999999</v>
      </c>
      <c r="Z55" s="14">
        <v>22.347147462499997</v>
      </c>
      <c r="AA55" s="8">
        <v>913.78608699999995</v>
      </c>
      <c r="AB55" s="8">
        <v>874.14799500000004</v>
      </c>
      <c r="AC55" s="8">
        <v>2.2169772587846399</v>
      </c>
      <c r="AD55" s="8">
        <v>1000.0889064524894</v>
      </c>
      <c r="AE55" s="8">
        <v>1.0425694781249999</v>
      </c>
      <c r="AF55" s="8">
        <v>1.0825673519199863</v>
      </c>
      <c r="AG55" s="8">
        <v>7.4960256567914358</v>
      </c>
      <c r="AH55" s="8">
        <v>4497.9209318440235</v>
      </c>
      <c r="AI55" s="14">
        <v>56.224011648050293</v>
      </c>
      <c r="AJ55" s="8">
        <v>2.6436457652448029</v>
      </c>
      <c r="AK55" s="8">
        <v>1701.408332</v>
      </c>
      <c r="AL55" s="8">
        <v>-4.0000000000000001E-3</v>
      </c>
      <c r="AM55" s="8">
        <v>0.34599999999999997</v>
      </c>
      <c r="AN55" s="8">
        <v>0.34599999999999997</v>
      </c>
      <c r="AO55" s="8">
        <v>0.34200000000000003</v>
      </c>
      <c r="AP55" s="8">
        <v>0.58139534883720179</v>
      </c>
      <c r="AQ55" s="8">
        <v>0.378</v>
      </c>
      <c r="AR55" s="8">
        <v>0.376</v>
      </c>
      <c r="AS55" s="8">
        <v>0.378</v>
      </c>
      <c r="AT55" s="8">
        <v>-0.26525198938992067</v>
      </c>
      <c r="AU55" s="8">
        <v>0.56699999999999995</v>
      </c>
      <c r="AV55" s="8">
        <v>3025.4252320000001</v>
      </c>
      <c r="AW55" s="14">
        <v>37.817815400000001</v>
      </c>
      <c r="AX55" s="8">
        <v>1751.3797609999999</v>
      </c>
      <c r="AY55" s="8">
        <v>1787.573441</v>
      </c>
      <c r="AZ55" s="8">
        <v>-1.0227227638824281</v>
      </c>
      <c r="BA55" s="8">
        <v>1434.3307247427747</v>
      </c>
      <c r="BB55" s="14">
        <v>17.929134059284685</v>
      </c>
      <c r="BC55" s="8">
        <v>719.95237788728309</v>
      </c>
      <c r="BD55" s="8">
        <v>722.82017932748533</v>
      </c>
      <c r="BE55" s="8">
        <v>-0.19877016830278865</v>
      </c>
      <c r="BF55" s="8">
        <v>3769.9109040000003</v>
      </c>
      <c r="BG55" s="14">
        <v>47.123886300000002</v>
      </c>
      <c r="BH55" s="8">
        <v>2082.983612</v>
      </c>
      <c r="BI55" s="8">
        <v>1859.0049059999999</v>
      </c>
      <c r="BJ55" s="8">
        <v>5.6818710906250312</v>
      </c>
      <c r="BK55" s="8">
        <v>46.472870000000007</v>
      </c>
      <c r="BL55" s="8">
        <v>194.22305299999999</v>
      </c>
      <c r="BM55" s="8">
        <v>179.30917400000001</v>
      </c>
      <c r="BN55" s="8">
        <v>3.9926619236524346</v>
      </c>
      <c r="BO55" s="8">
        <v>306.62715500000002</v>
      </c>
      <c r="BP55" s="8">
        <v>149.44535099999999</v>
      </c>
      <c r="BQ55" s="8">
        <v>158.047428</v>
      </c>
      <c r="BR55" s="8">
        <v>-2.7974891078661748</v>
      </c>
      <c r="BS55" s="8">
        <v>7.6334591507936524</v>
      </c>
      <c r="BT55" s="8">
        <v>-103.13032355851063</v>
      </c>
      <c r="BU55" s="8">
        <v>110.19555362962959</v>
      </c>
      <c r="BV55" s="8">
        <v>-3019.3762275367003</v>
      </c>
      <c r="BW55" s="8">
        <v>-11.146025187830681</v>
      </c>
      <c r="BX55" s="8">
        <v>-3.8366718164893565</v>
      </c>
      <c r="BY55" s="8">
        <v>-7.1611000608465494</v>
      </c>
      <c r="BZ55" s="8">
        <v>-30.228197869862534</v>
      </c>
      <c r="CA55" s="8">
        <v>0.83506718086927101</v>
      </c>
      <c r="CB55" s="8">
        <v>0.7266951556022555</v>
      </c>
      <c r="CC55" s="8">
        <v>0.7215391482332113</v>
      </c>
      <c r="CD55" s="8">
        <v>484.33853052631218</v>
      </c>
      <c r="CE55" s="8">
        <v>515.75037592617707</v>
      </c>
      <c r="CF55" s="8">
        <v>-3.1409052932392623</v>
      </c>
      <c r="CG55" s="8">
        <v>4008.3674623249553</v>
      </c>
      <c r="CH55" s="8">
        <v>3450.1299362237824</v>
      </c>
      <c r="CI55" s="8">
        <v>8512.6260109426494</v>
      </c>
      <c r="CJ55" s="8">
        <v>50.104593279061945</v>
      </c>
      <c r="CK55" s="8">
        <v>43.126624202797281</v>
      </c>
      <c r="CL55" s="8">
        <v>106.40782513678312</v>
      </c>
      <c r="CM55" s="8">
        <v>65.260930467443131</v>
      </c>
      <c r="CN55" s="27"/>
    </row>
    <row r="56" spans="1:92" s="19" customFormat="1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5"/>
      <c r="K56" s="8">
        <v>0.33658384130000002</v>
      </c>
      <c r="L56" s="8">
        <v>0.31165940462808434</v>
      </c>
      <c r="M56" s="8">
        <v>2.4728035746502419</v>
      </c>
      <c r="N56" s="8">
        <v>373242.54666699999</v>
      </c>
      <c r="O56" s="8">
        <v>189755.36084599994</v>
      </c>
      <c r="P56" s="8">
        <v>189745.89314899995</v>
      </c>
      <c r="Q56" s="8">
        <v>1517.3439172154472</v>
      </c>
      <c r="R56" s="14">
        <v>19.705765158642173</v>
      </c>
      <c r="S56" s="8">
        <v>774.54038364081623</v>
      </c>
      <c r="T56" s="8">
        <v>745.98066174390237</v>
      </c>
      <c r="U56" s="8">
        <v>1.8782852091131528</v>
      </c>
      <c r="V56" s="8">
        <v>1.6302287089426961</v>
      </c>
      <c r="W56" s="8">
        <v>2473.6176151841914</v>
      </c>
      <c r="X56" s="14">
        <v>32.12490409330119</v>
      </c>
      <c r="Y56" s="8">
        <v>2141.8997039999999</v>
      </c>
      <c r="Z56" s="14">
        <v>27.81687927272727</v>
      </c>
      <c r="AA56" s="8">
        <v>1092.1935579999999</v>
      </c>
      <c r="AB56" s="8">
        <v>1051.16687</v>
      </c>
      <c r="AC56" s="8">
        <v>1.9141292086969481</v>
      </c>
      <c r="AD56" s="8">
        <v>-5978.2331037867398</v>
      </c>
      <c r="AE56" s="8">
        <v>1.3682269971544716</v>
      </c>
      <c r="AF56" s="8">
        <v>1.2669081488946519</v>
      </c>
      <c r="AG56" s="8">
        <v>10.052047051423747</v>
      </c>
      <c r="AH56" s="8">
        <v>3502.1498929029644</v>
      </c>
      <c r="AI56" s="14">
        <v>45.482466141596937</v>
      </c>
      <c r="AJ56" s="8">
        <v>2.3531431055360503</v>
      </c>
      <c r="AK56" s="8">
        <v>1488.2859800000001</v>
      </c>
      <c r="AL56" s="8">
        <v>4.0000000000000001E-3</v>
      </c>
      <c r="AM56" s="8">
        <v>0.20100000000000001</v>
      </c>
      <c r="AN56" s="8">
        <v>0.19700000000000001</v>
      </c>
      <c r="AO56" s="8">
        <v>0.20100000000000001</v>
      </c>
      <c r="AP56" s="8">
        <v>-1.0050251256281415</v>
      </c>
      <c r="AQ56" s="8">
        <v>0.246</v>
      </c>
      <c r="AR56" s="8">
        <v>0.245</v>
      </c>
      <c r="AS56" s="8">
        <v>0.246</v>
      </c>
      <c r="AT56" s="8">
        <v>-0.20366598778004094</v>
      </c>
      <c r="AU56" s="8">
        <v>0.52400000000000002</v>
      </c>
      <c r="AV56" s="8">
        <v>2315.2757949999996</v>
      </c>
      <c r="AW56" s="14">
        <v>30.068516818181813</v>
      </c>
      <c r="AX56" s="8">
        <v>1059.7689740000001</v>
      </c>
      <c r="AY56" s="8">
        <v>1266.795944</v>
      </c>
      <c r="AZ56" s="8">
        <v>-8.8983964469802039</v>
      </c>
      <c r="BA56" s="8">
        <v>1837.9900095024875</v>
      </c>
      <c r="BB56" s="14">
        <v>23.870000123408929</v>
      </c>
      <c r="BC56" s="8">
        <v>910.91818019796949</v>
      </c>
      <c r="BD56" s="8">
        <v>945.47974967661708</v>
      </c>
      <c r="BE56" s="8">
        <v>-1.8617543643233041</v>
      </c>
      <c r="BF56" s="8">
        <v>5213.6715700000004</v>
      </c>
      <c r="BG56" s="14">
        <v>67.710020389610392</v>
      </c>
      <c r="BH56" s="8">
        <v>2866.295822</v>
      </c>
      <c r="BI56" s="8">
        <v>2429.807953</v>
      </c>
      <c r="BJ56" s="8">
        <v>8.2416789312252483</v>
      </c>
      <c r="BK56" s="8">
        <v>49.971409000000001</v>
      </c>
      <c r="BL56" s="8">
        <v>110.27613100000001</v>
      </c>
      <c r="BM56" s="8">
        <v>95.416354999999996</v>
      </c>
      <c r="BN56" s="8">
        <v>7.22426778389951</v>
      </c>
      <c r="BO56" s="8">
        <v>118.409335</v>
      </c>
      <c r="BP56" s="8">
        <v>78.464668000000003</v>
      </c>
      <c r="BQ56" s="8">
        <v>75.020233000000005</v>
      </c>
      <c r="BR56" s="8">
        <v>2.2441523417342522</v>
      </c>
      <c r="BS56" s="8">
        <v>-20.930318894308947</v>
      </c>
      <c r="BT56" s="8">
        <v>-69.923904742857147</v>
      </c>
      <c r="BU56" s="8">
        <v>48.704210788617878</v>
      </c>
      <c r="BV56" s="8">
        <v>559.0472501031312</v>
      </c>
      <c r="BW56" s="8">
        <v>4.0852217073170731</v>
      </c>
      <c r="BX56" s="8">
        <v>-13.538310465306127</v>
      </c>
      <c r="BY56" s="8">
        <v>17.679706264227644</v>
      </c>
      <c r="BZ56" s="8">
        <v>-753.80423039168159</v>
      </c>
      <c r="CA56" s="8">
        <v>0.92711675149838779</v>
      </c>
      <c r="CB56" s="8">
        <v>0.85265380855109651</v>
      </c>
      <c r="CC56" s="8">
        <v>0.86048124955455063</v>
      </c>
      <c r="CD56" s="8">
        <v>-2752.9245467395754</v>
      </c>
      <c r="CE56" s="8">
        <v>-3225.3085570471653</v>
      </c>
      <c r="CF56" s="8">
        <v>-7.9017328716802933</v>
      </c>
      <c r="CG56" s="8">
        <v>2052.9318236480299</v>
      </c>
      <c r="CH56" s="8">
        <v>4631.2911068079047</v>
      </c>
      <c r="CI56" s="8">
        <v>7041.2125361287726</v>
      </c>
      <c r="CJ56" s="8">
        <v>26.66145225516922</v>
      </c>
      <c r="CK56" s="8">
        <v>60.146637750752006</v>
      </c>
      <c r="CL56" s="8">
        <v>91.444318651023025</v>
      </c>
      <c r="CM56" s="8">
        <v>18.615736057483364</v>
      </c>
      <c r="CN56" s="27"/>
    </row>
    <row r="57" spans="1:92" s="19" customFormat="1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5"/>
      <c r="K57" s="8"/>
      <c r="L57" s="8"/>
      <c r="M57" s="8"/>
      <c r="N57" s="8"/>
      <c r="O57" s="8"/>
      <c r="P57" s="8"/>
      <c r="Q57" s="8"/>
      <c r="R57" s="14"/>
      <c r="S57" s="8"/>
      <c r="T57" s="8"/>
      <c r="U57" s="8"/>
      <c r="V57" s="8"/>
      <c r="W57" s="8"/>
      <c r="X57" s="14"/>
      <c r="Y57" s="8"/>
      <c r="Z57" s="14"/>
      <c r="AA57" s="8"/>
      <c r="AB57" s="8"/>
      <c r="AC57" s="8"/>
      <c r="AD57" s="8"/>
      <c r="AE57" s="8"/>
      <c r="AF57" s="8"/>
      <c r="AG57" s="8"/>
      <c r="AH57" s="8"/>
      <c r="AI57" s="14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14"/>
      <c r="AX57" s="8"/>
      <c r="AY57" s="8"/>
      <c r="AZ57" s="8"/>
      <c r="BA57" s="8"/>
      <c r="BB57" s="14"/>
      <c r="BC57" s="8"/>
      <c r="BD57" s="8"/>
      <c r="BE57" s="8"/>
      <c r="BF57" s="8"/>
      <c r="BG57" s="14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27"/>
    </row>
    <row r="58" spans="1:92" s="19" customFormat="1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5"/>
      <c r="K58" s="8"/>
      <c r="L58" s="8"/>
      <c r="M58" s="8"/>
      <c r="N58" s="8"/>
      <c r="O58" s="8"/>
      <c r="P58" s="8"/>
      <c r="Q58" s="8"/>
      <c r="R58" s="14"/>
      <c r="S58" s="8"/>
      <c r="T58" s="8"/>
      <c r="U58" s="8"/>
      <c r="V58" s="8"/>
      <c r="W58" s="8"/>
      <c r="X58" s="14"/>
      <c r="Y58" s="8"/>
      <c r="Z58" s="14"/>
      <c r="AA58" s="8"/>
      <c r="AB58" s="8"/>
      <c r="AC58" s="8"/>
      <c r="AD58" s="8"/>
      <c r="AE58" s="8"/>
      <c r="AF58" s="8"/>
      <c r="AG58" s="8"/>
      <c r="AH58" s="8"/>
      <c r="AI58" s="14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14"/>
      <c r="AX58" s="8"/>
      <c r="AY58" s="8"/>
      <c r="AZ58" s="8"/>
      <c r="BA58" s="8"/>
      <c r="BB58" s="14"/>
      <c r="BC58" s="8"/>
      <c r="BD58" s="8"/>
      <c r="BE58" s="8"/>
      <c r="BF58" s="8"/>
      <c r="BG58" s="14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27"/>
    </row>
    <row r="59" spans="1:92" s="19" customFormat="1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5"/>
      <c r="K59" s="8">
        <v>0.42815956483124989</v>
      </c>
      <c r="L59" s="8">
        <v>0.39164878878989212</v>
      </c>
      <c r="M59" s="8">
        <v>2.7720298043234823</v>
      </c>
      <c r="N59" s="8">
        <v>369440.84281899972</v>
      </c>
      <c r="O59" s="8">
        <v>183774.012357</v>
      </c>
      <c r="P59" s="8">
        <v>183763.751177</v>
      </c>
      <c r="Q59" s="8">
        <v>1343.4950208763639</v>
      </c>
      <c r="R59" s="14">
        <v>19.757279718770057</v>
      </c>
      <c r="S59" s="8">
        <v>688.31831986142311</v>
      </c>
      <c r="T59" s="8">
        <v>675.50432550909079</v>
      </c>
      <c r="U59" s="8">
        <v>0.93956456844512204</v>
      </c>
      <c r="V59" s="8">
        <v>1.6883498173392615</v>
      </c>
      <c r="W59" s="8">
        <v>2268.2895730928162</v>
      </c>
      <c r="X59" s="14">
        <v>33.357199604306118</v>
      </c>
      <c r="Y59" s="8">
        <v>1680.8499449999999</v>
      </c>
      <c r="Z59" s="14">
        <v>24.718381544117648</v>
      </c>
      <c r="AA59" s="8">
        <v>860.18989599999998</v>
      </c>
      <c r="AB59" s="8">
        <v>821.52562699999999</v>
      </c>
      <c r="AC59" s="8">
        <v>2.2990968728781835</v>
      </c>
      <c r="AD59" s="8">
        <v>-3762.4624064524437</v>
      </c>
      <c r="AE59" s="8">
        <v>1.5569438721136359</v>
      </c>
      <c r="AF59" s="8">
        <v>1.4241774137814258</v>
      </c>
      <c r="AG59" s="8">
        <v>10.080108379358117</v>
      </c>
      <c r="AH59" s="8">
        <v>3860.9746813666861</v>
      </c>
      <c r="AI59" s="14">
        <v>56.779039431863033</v>
      </c>
      <c r="AJ59" s="8">
        <v>2.6269649639621253</v>
      </c>
      <c r="AK59" s="8">
        <v>1469.7473070000001</v>
      </c>
      <c r="AL59" s="8">
        <v>1.2999999999999999E-2</v>
      </c>
      <c r="AM59" s="8">
        <v>0.247</v>
      </c>
      <c r="AN59" s="8">
        <v>0.23400000000000001</v>
      </c>
      <c r="AO59" s="8">
        <v>0.247</v>
      </c>
      <c r="AP59" s="8">
        <v>-2.7027027027026995</v>
      </c>
      <c r="AQ59" s="8">
        <v>0.27500000000000002</v>
      </c>
      <c r="AR59" s="8">
        <v>0.26700000000000002</v>
      </c>
      <c r="AS59" s="8">
        <v>0.27500000000000002</v>
      </c>
      <c r="AT59" s="8">
        <v>-1.4760147601476026</v>
      </c>
      <c r="AU59" s="8">
        <v>0.59099999999999997</v>
      </c>
      <c r="AV59" s="8">
        <v>2841.0125349999998</v>
      </c>
      <c r="AW59" s="14">
        <v>41.779596102941177</v>
      </c>
      <c r="AX59" s="8">
        <v>1589.689529</v>
      </c>
      <c r="AY59" s="8">
        <v>1328.182693</v>
      </c>
      <c r="AZ59" s="8">
        <v>8.9622442692420279</v>
      </c>
      <c r="BA59" s="8">
        <v>1442.379371145749</v>
      </c>
      <c r="BB59" s="14">
        <v>21.211461340378662</v>
      </c>
      <c r="BC59" s="8">
        <v>802.36496838034202</v>
      </c>
      <c r="BD59" s="8">
        <v>682.78843472064761</v>
      </c>
      <c r="BE59" s="8">
        <v>8.0514600990052259</v>
      </c>
      <c r="BF59" s="8">
        <v>4168.690396</v>
      </c>
      <c r="BG59" s="14">
        <v>61.304270529411767</v>
      </c>
      <c r="BH59" s="8">
        <v>1540.890312</v>
      </c>
      <c r="BI59" s="8">
        <v>2766.9301150000001</v>
      </c>
      <c r="BJ59" s="8">
        <v>-28.460791803566977</v>
      </c>
      <c r="BK59" s="8">
        <v>28.385062999999988</v>
      </c>
      <c r="BL59" s="8">
        <v>124.84736599999999</v>
      </c>
      <c r="BM59" s="8">
        <v>122.881699</v>
      </c>
      <c r="BN59" s="8">
        <v>0.79347451620180154</v>
      </c>
      <c r="BO59" s="8">
        <v>73.505399000000011</v>
      </c>
      <c r="BP59" s="8">
        <v>49.448430999999999</v>
      </c>
      <c r="BQ59" s="8">
        <v>35.526406000000001</v>
      </c>
      <c r="BR59" s="8">
        <v>16.38370309554109</v>
      </c>
      <c r="BS59" s="8">
        <v>-6.5727297636363637</v>
      </c>
      <c r="BT59" s="8">
        <v>-99.036809183520603</v>
      </c>
      <c r="BU59" s="8">
        <v>89.453887254545435</v>
      </c>
      <c r="BV59" s="8">
        <v>1966.9438803225639</v>
      </c>
      <c r="BW59" s="8">
        <v>12.521951956363635</v>
      </c>
      <c r="BX59" s="8">
        <v>25.722756161048689</v>
      </c>
      <c r="BY59" s="8">
        <v>-11.67731866181818</v>
      </c>
      <c r="BZ59" s="8">
        <v>266.27917304046861</v>
      </c>
      <c r="CA59" s="8">
        <v>0.94284615886871526</v>
      </c>
      <c r="CB59" s="8">
        <v>0.83151454082023746</v>
      </c>
      <c r="CC59" s="8">
        <v>0.83834814556623505</v>
      </c>
      <c r="CD59" s="8">
        <v>-2265.0869517976475</v>
      </c>
      <c r="CE59" s="8">
        <v>-1497.3754546547964</v>
      </c>
      <c r="CF59" s="8">
        <v>20.404496157257608</v>
      </c>
      <c r="CG59" s="8">
        <v>4141.1819287407097</v>
      </c>
      <c r="CH59" s="8">
        <v>1811.8446916393991</v>
      </c>
      <c r="CI59" s="8">
        <v>8297.4962036598354</v>
      </c>
      <c r="CJ59" s="8">
        <v>60.89973424618691</v>
      </c>
      <c r="CK59" s="8">
        <v>26.644774877049986</v>
      </c>
      <c r="CL59" s="8">
        <v>122.02200299499758</v>
      </c>
      <c r="CM59" s="8">
        <v>60.028944856450615</v>
      </c>
      <c r="CN59" s="27"/>
    </row>
    <row r="60" spans="1:92" s="19" customFormat="1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5"/>
      <c r="K60" s="8"/>
      <c r="L60" s="14"/>
      <c r="M60" s="8"/>
      <c r="N60" s="8"/>
      <c r="O60" s="8"/>
      <c r="P60" s="8"/>
      <c r="Q60" s="8"/>
      <c r="R60" s="14"/>
      <c r="S60" s="8"/>
      <c r="T60" s="8"/>
      <c r="U60" s="8"/>
      <c r="V60" s="8"/>
      <c r="W60" s="8"/>
      <c r="X60" s="14"/>
      <c r="Y60" s="8"/>
      <c r="Z60" s="14"/>
      <c r="AA60" s="8"/>
      <c r="AB60" s="8"/>
      <c r="AC60" s="8"/>
      <c r="AD60" s="8"/>
      <c r="AE60" s="8"/>
      <c r="AF60" s="8"/>
      <c r="AG60" s="8"/>
      <c r="AH60" s="8"/>
      <c r="AI60" s="14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14"/>
      <c r="AX60" s="8"/>
      <c r="AY60" s="8"/>
      <c r="AZ60" s="8"/>
      <c r="BA60" s="8"/>
      <c r="BB60" s="14"/>
      <c r="BC60" s="8"/>
      <c r="BD60" s="8"/>
      <c r="BE60" s="8"/>
      <c r="BF60" s="8"/>
      <c r="BG60" s="14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27"/>
    </row>
    <row r="61" spans="1:92" s="19" customFormat="1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5"/>
      <c r="K61" s="17">
        <v>0.30157410079999997</v>
      </c>
      <c r="L61" s="17">
        <v>0.28637346818430337</v>
      </c>
      <c r="M61" s="17">
        <v>2.3703686307779286</v>
      </c>
      <c r="N61" s="17">
        <v>297012.01953500014</v>
      </c>
      <c r="O61" s="17">
        <v>148837.86617700002</v>
      </c>
      <c r="P61" s="17">
        <v>148834.02499700003</v>
      </c>
      <c r="Q61" s="17">
        <v>1146.7924751042469</v>
      </c>
      <c r="R61" s="14">
        <v>18.861718340530377</v>
      </c>
      <c r="S61" s="17">
        <v>574.67972971814663</v>
      </c>
      <c r="T61" s="17">
        <v>581.13840598823526</v>
      </c>
      <c r="U61" s="17">
        <v>-0.55879693098442262</v>
      </c>
      <c r="V61" s="17">
        <v>1.4334094853095747</v>
      </c>
      <c r="W61" s="17">
        <v>1643.8232114960717</v>
      </c>
      <c r="X61" s="14">
        <v>27.036565978553813</v>
      </c>
      <c r="Y61" s="17">
        <v>1441.867195</v>
      </c>
      <c r="Z61" s="14">
        <v>23.71492097039474</v>
      </c>
      <c r="AA61" s="17">
        <v>695.61428100000001</v>
      </c>
      <c r="AB61" s="17">
        <v>746.25291400000003</v>
      </c>
      <c r="AC61" s="17">
        <v>-3.5120178318503199</v>
      </c>
      <c r="AD61" s="17">
        <v>-3579.1146644019536</v>
      </c>
      <c r="AE61" s="17">
        <v>1.1643787675675674</v>
      </c>
      <c r="AF61" s="17">
        <v>1.1056890663486616</v>
      </c>
      <c r="AG61" s="17">
        <v>9.1520024354360174</v>
      </c>
      <c r="AH61" s="17">
        <v>2807.2049569667852</v>
      </c>
      <c r="AI61" s="14">
        <v>46.171134160637919</v>
      </c>
      <c r="AJ61" s="17">
        <v>2.2279134082529257</v>
      </c>
      <c r="AK61" s="17">
        <v>1260.0152889999999</v>
      </c>
      <c r="AL61" s="17">
        <v>-1.4E-2</v>
      </c>
      <c r="AM61" s="17">
        <v>0.23400000000000001</v>
      </c>
      <c r="AN61" s="17">
        <v>0.23400000000000001</v>
      </c>
      <c r="AO61" s="17">
        <v>0.22</v>
      </c>
      <c r="AP61" s="17">
        <v>3.083700440528637</v>
      </c>
      <c r="AQ61" s="17">
        <v>0.25900000000000001</v>
      </c>
      <c r="AR61" s="17">
        <v>0.25900000000000001</v>
      </c>
      <c r="AS61" s="17">
        <v>0.255</v>
      </c>
      <c r="AT61" s="17">
        <v>0.77821011673151819</v>
      </c>
      <c r="AU61" s="17">
        <v>0.496</v>
      </c>
      <c r="AV61" s="17">
        <v>1922.573746</v>
      </c>
      <c r="AW61" s="14">
        <v>31.621278717105266</v>
      </c>
      <c r="AX61" s="17">
        <v>1276.1374209999999</v>
      </c>
      <c r="AY61" s="17">
        <v>784.46636999999998</v>
      </c>
      <c r="AZ61" s="17">
        <v>23.860533167387533</v>
      </c>
      <c r="BA61" s="17">
        <v>1326.7746016367523</v>
      </c>
      <c r="BB61" s="14">
        <v>21.821950684815008</v>
      </c>
      <c r="BC61" s="17">
        <v>747.84320794017106</v>
      </c>
      <c r="BD61" s="17">
        <v>615.95544255909078</v>
      </c>
      <c r="BE61" s="17">
        <v>9.6706185574240422</v>
      </c>
      <c r="BF61" s="17">
        <v>2891.0560610000002</v>
      </c>
      <c r="BG61" s="14">
        <v>47.550264161184217</v>
      </c>
      <c r="BH61" s="17">
        <v>1564.027527</v>
      </c>
      <c r="BI61" s="17">
        <v>1360.138428</v>
      </c>
      <c r="BJ61" s="17">
        <v>6.9725556667319859</v>
      </c>
      <c r="BK61" s="17">
        <v>42.216915000000014</v>
      </c>
      <c r="BL61" s="17">
        <v>140.482597</v>
      </c>
      <c r="BM61" s="17">
        <v>143.11551700000001</v>
      </c>
      <c r="BN61" s="17">
        <v>-0.92839827559643529</v>
      </c>
      <c r="BO61" s="17">
        <v>114.261583</v>
      </c>
      <c r="BP61" s="17">
        <v>63.821297000000001</v>
      </c>
      <c r="BQ61" s="17">
        <v>75.128433000000001</v>
      </c>
      <c r="BR61" s="17">
        <v>-8.1375732072311351</v>
      </c>
      <c r="BS61" s="17">
        <v>-10.421255675675676</v>
      </c>
      <c r="BT61" s="17">
        <v>-113.47847388030888</v>
      </c>
      <c r="BU61" s="17">
        <v>104.66128449411767</v>
      </c>
      <c r="BV61" s="17">
        <v>2474.0282738630945</v>
      </c>
      <c r="BW61" s="17">
        <v>-16.100412096525098</v>
      </c>
      <c r="BX61" s="17">
        <v>-21.19044404633205</v>
      </c>
      <c r="BY61" s="17">
        <v>5.2865642980392149</v>
      </c>
      <c r="BZ61" s="17">
        <v>166.48144203437764</v>
      </c>
      <c r="CA61" s="17">
        <v>0.90209971554632895</v>
      </c>
      <c r="CB61" s="17">
        <v>0.77297503298008174</v>
      </c>
      <c r="CC61" s="17">
        <v>0.77372248874414173</v>
      </c>
      <c r="CD61" s="17">
        <v>-1588.7291120437653</v>
      </c>
      <c r="CE61" s="17">
        <v>-1990.3855523581885</v>
      </c>
      <c r="CF61" s="17">
        <v>-11.22222890228462</v>
      </c>
      <c r="CG61" s="17">
        <v>6727.156136812373</v>
      </c>
      <c r="CH61" s="17">
        <v>1407.8972523154589</v>
      </c>
      <c r="CI61" s="17">
        <v>5531.6923682582783</v>
      </c>
      <c r="CJ61" s="17">
        <v>110.64401540809824</v>
      </c>
      <c r="CK61" s="17">
        <v>23.15620480782005</v>
      </c>
      <c r="CL61" s="17">
        <v>90.981782372669059</v>
      </c>
      <c r="CM61" s="17">
        <v>45.339086202210112</v>
      </c>
      <c r="CN61" s="27"/>
    </row>
    <row r="62" spans="1:92" s="19" customFormat="1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5"/>
      <c r="K62" s="17">
        <v>0.22350458598124998</v>
      </c>
      <c r="L62" s="17">
        <v>9.5811988776806162E-2</v>
      </c>
      <c r="M62" s="17">
        <v>1.3710693708930037</v>
      </c>
      <c r="N62" s="17">
        <v>356691.42481399979</v>
      </c>
      <c r="O62" s="17">
        <v>180799.87489500004</v>
      </c>
      <c r="P62" s="17">
        <v>180792.76961400005</v>
      </c>
      <c r="Q62" s="17">
        <v>1217.4560278600686</v>
      </c>
      <c r="R62" s="14">
        <v>14.407763643314421</v>
      </c>
      <c r="S62" s="17">
        <v>617.09347032423216</v>
      </c>
      <c r="T62" s="17">
        <v>611.01212968750019</v>
      </c>
      <c r="U62" s="17">
        <v>0.49518059657686353</v>
      </c>
      <c r="V62" s="17">
        <v>0.86689212691089734</v>
      </c>
      <c r="W62" s="17">
        <v>1055.4030454121075</v>
      </c>
      <c r="X62" s="14">
        <v>12.489976868782337</v>
      </c>
      <c r="Y62" s="17">
        <v>1443.291878</v>
      </c>
      <c r="Z62" s="14">
        <v>17.08037725443787</v>
      </c>
      <c r="AA62" s="17">
        <v>743.69213200000002</v>
      </c>
      <c r="AB62" s="17">
        <v>743.620003</v>
      </c>
      <c r="AC62" s="17">
        <v>4.8496208901044231E-3</v>
      </c>
      <c r="AD62" s="17">
        <v>-963.58188787422455</v>
      </c>
      <c r="AE62" s="17">
        <v>0.76281428662542661</v>
      </c>
      <c r="AF62" s="17">
        <v>0.32700337466486745</v>
      </c>
      <c r="AG62" s="17">
        <v>4.6794176480989895</v>
      </c>
      <c r="AH62" s="17">
        <v>1909.1383184304577</v>
      </c>
      <c r="AI62" s="14">
        <v>22.59335288083382</v>
      </c>
      <c r="AJ62" s="17">
        <v>1.4033561819850719</v>
      </c>
      <c r="AK62" s="17">
        <v>1360.408956</v>
      </c>
      <c r="AL62" s="17">
        <v>1.0999999999999999E-2</v>
      </c>
      <c r="AM62" s="17">
        <v>0.38600000000000001</v>
      </c>
      <c r="AN62" s="17">
        <v>0.375</v>
      </c>
      <c r="AO62" s="17">
        <v>0.38600000000000001</v>
      </c>
      <c r="AP62" s="17">
        <v>-1.4454664914586084</v>
      </c>
      <c r="AQ62" s="17">
        <v>0.29299999999999998</v>
      </c>
      <c r="AR62" s="17">
        <v>0.29299999999999998</v>
      </c>
      <c r="AS62" s="17">
        <v>0.28799999999999998</v>
      </c>
      <c r="AT62" s="17">
        <v>0.86058519793459631</v>
      </c>
      <c r="AU62" s="17">
        <v>0.42699999999999999</v>
      </c>
      <c r="AV62" s="17">
        <v>2126.9858649999996</v>
      </c>
      <c r="AW62" s="14">
        <v>25.171430355029582</v>
      </c>
      <c r="AX62" s="17">
        <v>1139.2795940000001</v>
      </c>
      <c r="AY62" s="17">
        <v>1508.285355</v>
      </c>
      <c r="AZ62" s="17">
        <v>-13.937552736501344</v>
      </c>
      <c r="BA62" s="17">
        <v>1443.2593447849742</v>
      </c>
      <c r="BB62" s="14">
        <v>17.079992245976026</v>
      </c>
      <c r="BC62" s="17">
        <v>621.10533234666661</v>
      </c>
      <c r="BD62" s="17">
        <v>840.56058378756472</v>
      </c>
      <c r="BE62" s="17">
        <v>-15.014049997232373</v>
      </c>
      <c r="BF62" s="17">
        <v>3113.8445590000001</v>
      </c>
      <c r="BG62" s="14">
        <v>36.850231467455622</v>
      </c>
      <c r="BH62" s="17">
        <v>1371.860365</v>
      </c>
      <c r="BI62" s="17">
        <v>1744.1302109999999</v>
      </c>
      <c r="BJ62" s="17">
        <v>-11.947078687185346</v>
      </c>
      <c r="BK62" s="17">
        <v>23.047076000000004</v>
      </c>
      <c r="BL62" s="17">
        <v>101.07893900000001</v>
      </c>
      <c r="BM62" s="17">
        <v>99.095230000000001</v>
      </c>
      <c r="BN62" s="17">
        <v>0.99099150000717851</v>
      </c>
      <c r="BO62" s="17">
        <v>116.371523</v>
      </c>
      <c r="BP62" s="17">
        <v>73.992310000000003</v>
      </c>
      <c r="BQ62" s="17">
        <v>47.248317</v>
      </c>
      <c r="BR62" s="17">
        <v>22.05860664181488</v>
      </c>
      <c r="BS62" s="17">
        <v>-4.5590819726962453</v>
      </c>
      <c r="BT62" s="17">
        <v>-80.709650914675763</v>
      </c>
      <c r="BU62" s="17">
        <v>77.447893697916669</v>
      </c>
      <c r="BV62" s="17">
        <v>4848.8447821919426</v>
      </c>
      <c r="BW62" s="17">
        <v>-71.900460935153575</v>
      </c>
      <c r="BX62" s="17">
        <v>-50.392954392491468</v>
      </c>
      <c r="BY62" s="17">
        <v>-21.485661965277782</v>
      </c>
      <c r="BZ62" s="17">
        <v>40.216818147041508</v>
      </c>
      <c r="CA62" s="17">
        <v>0.91191149548446437</v>
      </c>
      <c r="CB62" s="17">
        <v>0.80944903484349906</v>
      </c>
      <c r="CC62" s="17">
        <v>0.83556231375992862</v>
      </c>
      <c r="CD62" s="17">
        <v>185.80927461380793</v>
      </c>
      <c r="CE62" s="17">
        <v>-1149.3911624880313</v>
      </c>
      <c r="CF62" s="17">
        <v>-138.56636928361644</v>
      </c>
      <c r="CG62" s="17">
        <v>584.02103669761016</v>
      </c>
      <c r="CH62" s="17">
        <v>3902.9873428927476</v>
      </c>
      <c r="CI62" s="17">
        <v>6246.6670316668824</v>
      </c>
      <c r="CJ62" s="17">
        <v>6.9114915585515995</v>
      </c>
      <c r="CK62" s="17">
        <v>46.189199324174531</v>
      </c>
      <c r="CL62" s="17">
        <v>73.925053629193869</v>
      </c>
      <c r="CM62" s="17">
        <v>41.648227455427865</v>
      </c>
      <c r="CN62" s="27"/>
    </row>
    <row r="63" spans="1:92" s="19" customFormat="1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5"/>
      <c r="K63" s="17">
        <v>0.26848646370000001</v>
      </c>
      <c r="L63" s="17">
        <v>0.18761116825335206</v>
      </c>
      <c r="M63" s="17">
        <v>1.9185752841967831</v>
      </c>
      <c r="N63" s="17">
        <v>296899.77785200009</v>
      </c>
      <c r="O63" s="17">
        <v>145357.12569399996</v>
      </c>
      <c r="P63" s="17">
        <v>145350.38108699996</v>
      </c>
      <c r="Q63" s="17">
        <v>1056.6803882241993</v>
      </c>
      <c r="R63" s="14">
        <v>16.510631066003114</v>
      </c>
      <c r="S63" s="17">
        <v>521.03206422939081</v>
      </c>
      <c r="T63" s="17">
        <v>539.45216831672599</v>
      </c>
      <c r="U63" s="17">
        <v>-1.7369521886346526</v>
      </c>
      <c r="V63" s="17">
        <v>1.2504999223261031</v>
      </c>
      <c r="W63" s="17">
        <v>1321.3787433978778</v>
      </c>
      <c r="X63" s="14">
        <v>20.64654286559184</v>
      </c>
      <c r="Y63" s="17">
        <v>1482.31681</v>
      </c>
      <c r="Z63" s="14">
        <v>23.161200156250001</v>
      </c>
      <c r="AA63" s="17">
        <v>743.99871800000005</v>
      </c>
      <c r="AB63" s="17">
        <v>738.31809199999998</v>
      </c>
      <c r="AC63" s="17">
        <v>0.38322617416718596</v>
      </c>
      <c r="AD63" s="17">
        <v>-4336.7845139712954</v>
      </c>
      <c r="AE63" s="17">
        <v>0.95546784234875437</v>
      </c>
      <c r="AF63" s="17">
        <v>0.66765540303684001</v>
      </c>
      <c r="AG63" s="17">
        <v>6.8276700505223591</v>
      </c>
      <c r="AH63" s="17">
        <v>2056.9231417028832</v>
      </c>
      <c r="AI63" s="14">
        <v>32.13942408910755</v>
      </c>
      <c r="AJ63" s="17">
        <v>1.8767260421528027</v>
      </c>
      <c r="AK63" s="17">
        <v>1096.0167310000002</v>
      </c>
      <c r="AL63" s="17">
        <v>3.0000000000000001E-3</v>
      </c>
      <c r="AM63" s="17">
        <v>0.254</v>
      </c>
      <c r="AN63" s="17">
        <v>0.251</v>
      </c>
      <c r="AO63" s="17">
        <v>0.254</v>
      </c>
      <c r="AP63" s="17">
        <v>-0.59405940594059459</v>
      </c>
      <c r="AQ63" s="17">
        <v>0.28100000000000003</v>
      </c>
      <c r="AR63" s="17">
        <v>0.27900000000000003</v>
      </c>
      <c r="AS63" s="17">
        <v>0.28100000000000003</v>
      </c>
      <c r="AT63" s="17">
        <v>-0.35714285714285743</v>
      </c>
      <c r="AU63" s="17">
        <v>0.46800000000000003</v>
      </c>
      <c r="AV63" s="17">
        <v>1881.510994</v>
      </c>
      <c r="AW63" s="14">
        <v>29.39860928125</v>
      </c>
      <c r="AX63" s="17">
        <v>926.53591900000004</v>
      </c>
      <c r="AY63" s="17">
        <v>966.01171899999997</v>
      </c>
      <c r="AZ63" s="17">
        <v>-2.0858550245909284</v>
      </c>
      <c r="BA63" s="17">
        <v>1339.1787144409448</v>
      </c>
      <c r="BB63" s="14">
        <v>20.924667413139762</v>
      </c>
      <c r="BC63" s="17">
        <v>668.16567242231076</v>
      </c>
      <c r="BD63" s="17">
        <v>679.16064242913387</v>
      </c>
      <c r="BE63" s="17">
        <v>-0.81605843258805555</v>
      </c>
      <c r="BF63" s="17">
        <v>2936.5010499999999</v>
      </c>
      <c r="BG63" s="14">
        <v>45.882828906249998</v>
      </c>
      <c r="BH63" s="17">
        <v>1350.4723509999999</v>
      </c>
      <c r="BI63" s="17">
        <v>1663.4473949999999</v>
      </c>
      <c r="BJ63" s="17">
        <v>-10.384319105224113</v>
      </c>
      <c r="BK63" s="17">
        <v>12.912140000000008</v>
      </c>
      <c r="BL63" s="17">
        <v>86.345399999999998</v>
      </c>
      <c r="BM63" s="17">
        <v>98.265681999999998</v>
      </c>
      <c r="BN63" s="17">
        <v>-6.4569699017310338</v>
      </c>
      <c r="BO63" s="17">
        <v>80.772984000000008</v>
      </c>
      <c r="BP63" s="17">
        <v>55.994667</v>
      </c>
      <c r="BQ63" s="17">
        <v>47.302419999999998</v>
      </c>
      <c r="BR63" s="17">
        <v>8.4148036042875063</v>
      </c>
      <c r="BS63" s="17">
        <v>2.8780131957295376</v>
      </c>
      <c r="BT63" s="17">
        <v>-68.647609362007159</v>
      </c>
      <c r="BU63" s="17">
        <v>71.050568797153019</v>
      </c>
      <c r="BV63" s="17">
        <v>-5813.5886988321336</v>
      </c>
      <c r="BW63" s="17">
        <v>-29.404316156583629</v>
      </c>
      <c r="BX63" s="17">
        <v>-32.131093078853048</v>
      </c>
      <c r="BY63" s="17">
        <v>2.7765494483985762</v>
      </c>
      <c r="BZ63" s="17">
        <v>118.91734024791984</v>
      </c>
      <c r="CA63" s="17">
        <v>0.94055519731360948</v>
      </c>
      <c r="CB63" s="17">
        <v>0.83940670383729166</v>
      </c>
      <c r="CC63" s="17">
        <v>0.83530899906781442</v>
      </c>
      <c r="CD63" s="17">
        <v>-2345.4043686671239</v>
      </c>
      <c r="CE63" s="17">
        <v>-1991.380145304171</v>
      </c>
      <c r="CF63" s="17">
        <v>8.1632883123991</v>
      </c>
      <c r="CG63" s="17">
        <v>2072.7317640169667</v>
      </c>
      <c r="CH63" s="17">
        <v>2146.9403996194769</v>
      </c>
      <c r="CI63" s="17">
        <v>5396.6008526063551</v>
      </c>
      <c r="CJ63" s="17">
        <v>32.386433812765105</v>
      </c>
      <c r="CK63" s="17">
        <v>33.545943744054327</v>
      </c>
      <c r="CL63" s="17">
        <v>84.321888321974299</v>
      </c>
      <c r="CM63" s="17">
        <v>44.293751705816504</v>
      </c>
      <c r="CN63" s="27"/>
    </row>
    <row r="64" spans="1:92" s="19" customFormat="1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5"/>
      <c r="K64" s="17">
        <v>0.35877751608125003</v>
      </c>
      <c r="L64" s="17">
        <v>0.29018777279190172</v>
      </c>
      <c r="M64" s="17">
        <v>2.3861022824215041</v>
      </c>
      <c r="N64" s="17">
        <v>315304.20592600002</v>
      </c>
      <c r="O64" s="17">
        <v>158777.21712499991</v>
      </c>
      <c r="P64" s="17">
        <v>158764.6476289999</v>
      </c>
      <c r="Q64" s="17">
        <v>1439.837871461187</v>
      </c>
      <c r="R64" s="14">
        <v>20.569112449445527</v>
      </c>
      <c r="S64" s="17">
        <v>745.47883284507043</v>
      </c>
      <c r="T64" s="17">
        <v>715.01269605479445</v>
      </c>
      <c r="U64" s="17">
        <v>2.0860194110968249</v>
      </c>
      <c r="V64" s="17">
        <v>1.5032180667355306</v>
      </c>
      <c r="W64" s="17">
        <v>2164.390301550487</v>
      </c>
      <c r="X64" s="14">
        <v>30.919861450721243</v>
      </c>
      <c r="Y64" s="17">
        <v>1816.1748809999999</v>
      </c>
      <c r="Z64" s="14">
        <v>25.945355442857142</v>
      </c>
      <c r="AA64" s="17">
        <v>914.72383100000002</v>
      </c>
      <c r="AB64" s="17">
        <v>901.97399900000005</v>
      </c>
      <c r="AC64" s="17">
        <v>0.70181357567867897</v>
      </c>
      <c r="AD64" s="17">
        <v>-3047.1328524128176</v>
      </c>
      <c r="AE64" s="17">
        <v>1.6382534980878996</v>
      </c>
      <c r="AF64" s="17">
        <v>1.3250583232506927</v>
      </c>
      <c r="AG64" s="17">
        <v>10.895444211970338</v>
      </c>
      <c r="AH64" s="17">
        <v>3447.8172846579801</v>
      </c>
      <c r="AI64" s="14">
        <v>49.254532637971145</v>
      </c>
      <c r="AJ64" s="17">
        <v>2.1704871410345374</v>
      </c>
      <c r="AK64" s="17">
        <v>1588.4992910000001</v>
      </c>
      <c r="AL64" s="17">
        <v>0.01</v>
      </c>
      <c r="AM64" s="17">
        <v>0.19600000000000001</v>
      </c>
      <c r="AN64" s="17">
        <v>0.186</v>
      </c>
      <c r="AO64" s="17">
        <v>0.19600000000000001</v>
      </c>
      <c r="AP64" s="17">
        <v>-2.6178010471204214</v>
      </c>
      <c r="AQ64" s="17">
        <v>0.219</v>
      </c>
      <c r="AR64" s="17">
        <v>0.21299999999999999</v>
      </c>
      <c r="AS64" s="17">
        <v>0.219</v>
      </c>
      <c r="AT64" s="17">
        <v>-1.3888888888888902</v>
      </c>
      <c r="AU64" s="17">
        <v>0.54100000000000004</v>
      </c>
      <c r="AV64" s="17">
        <v>3094.1697840000002</v>
      </c>
      <c r="AW64" s="14">
        <v>44.202425485714286</v>
      </c>
      <c r="AX64" s="17">
        <v>1525.7780459999999</v>
      </c>
      <c r="AY64" s="17">
        <v>1639.57077</v>
      </c>
      <c r="AZ64" s="17">
        <v>-3.5949505288266517</v>
      </c>
      <c r="BA64" s="17">
        <v>1690.6145258622448</v>
      </c>
      <c r="BB64" s="14">
        <v>24.151636083746354</v>
      </c>
      <c r="BC64" s="17">
        <v>817.28247361290323</v>
      </c>
      <c r="BD64" s="17">
        <v>915.52578861734696</v>
      </c>
      <c r="BE64" s="17">
        <v>-5.6696010254474114</v>
      </c>
      <c r="BF64" s="17">
        <v>3557.8704990000001</v>
      </c>
      <c r="BG64" s="14">
        <v>50.826721414285714</v>
      </c>
      <c r="BH64" s="17">
        <v>1723.6439170000001</v>
      </c>
      <c r="BI64" s="17">
        <v>1834.388901</v>
      </c>
      <c r="BJ64" s="17">
        <v>-3.1125340789366471</v>
      </c>
      <c r="BK64" s="17">
        <v>92.116187999999994</v>
      </c>
      <c r="BL64" s="17">
        <v>256.74591800000002</v>
      </c>
      <c r="BM64" s="17">
        <v>167.35282100000001</v>
      </c>
      <c r="BN64" s="17">
        <v>21.078368969165933</v>
      </c>
      <c r="BO64" s="17">
        <v>164.03461899999999</v>
      </c>
      <c r="BP64" s="17">
        <v>94.875343000000001</v>
      </c>
      <c r="BQ64" s="17">
        <v>75.651409999999998</v>
      </c>
      <c r="BR64" s="17">
        <v>11.273265139810645</v>
      </c>
      <c r="BS64" s="17">
        <v>-55.333184278538795</v>
      </c>
      <c r="BT64" s="17">
        <v>-194.24616330985913</v>
      </c>
      <c r="BU64" s="17">
        <v>133.55279323287672</v>
      </c>
      <c r="BV64" s="17">
        <v>540.09022093675367</v>
      </c>
      <c r="BW64" s="17">
        <v>23.364111607305937</v>
      </c>
      <c r="BX64" s="17">
        <v>25.368687882629111</v>
      </c>
      <c r="BY64" s="17">
        <v>-0.6692235296803617</v>
      </c>
      <c r="BZ64" s="17">
        <v>105.41893152108351</v>
      </c>
      <c r="CA64" s="17">
        <v>0.87639452211432511</v>
      </c>
      <c r="CB64" s="17">
        <v>0.72233377519182584</v>
      </c>
      <c r="CC64" s="17">
        <v>0.78776519532602829</v>
      </c>
      <c r="CD64" s="17">
        <v>-988.51158546820363</v>
      </c>
      <c r="CE64" s="17">
        <v>-2058.6212669446149</v>
      </c>
      <c r="CF64" s="17">
        <v>-35.118576488355728</v>
      </c>
      <c r="CG64" s="17">
        <v>5026.6953632396371</v>
      </c>
      <c r="CH64" s="17">
        <v>5667.9697579815065</v>
      </c>
      <c r="CI64" s="17">
        <v>12247.694236389512</v>
      </c>
      <c r="CJ64" s="17">
        <v>71.809933760566238</v>
      </c>
      <c r="CK64" s="17">
        <v>80.970996542592957</v>
      </c>
      <c r="CL64" s="17">
        <v>174.96706051985018</v>
      </c>
      <c r="CM64" s="17">
        <v>62.713533725077589</v>
      </c>
      <c r="CN64" s="27"/>
    </row>
    <row r="65" spans="1:98" s="19" customFormat="1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5"/>
      <c r="K65" s="17">
        <v>0.34044888723125</v>
      </c>
      <c r="L65" s="17">
        <v>0.35318158871261901</v>
      </c>
      <c r="M65" s="17">
        <v>2.6323796782648179</v>
      </c>
      <c r="N65" s="17">
        <v>366845.71948500018</v>
      </c>
      <c r="O65" s="17">
        <v>193984.15742</v>
      </c>
      <c r="P65" s="17">
        <v>193981.68680200001</v>
      </c>
      <c r="Q65" s="17">
        <v>1444.3019627165356</v>
      </c>
      <c r="R65" s="14">
        <v>20.059749482174105</v>
      </c>
      <c r="S65" s="17">
        <v>763.72950899606303</v>
      </c>
      <c r="T65" s="17">
        <v>685.98741924603155</v>
      </c>
      <c r="U65" s="17">
        <v>5.3625703222145855</v>
      </c>
      <c r="V65" s="17">
        <v>1.6049437999448513</v>
      </c>
      <c r="W65" s="17">
        <v>2318.0234803100834</v>
      </c>
      <c r="X65" s="14">
        <v>32.19477055986227</v>
      </c>
      <c r="Y65" s="17">
        <v>1802.9020850000002</v>
      </c>
      <c r="Z65" s="14">
        <v>25.040306736111113</v>
      </c>
      <c r="AA65" s="17">
        <v>1024.531113</v>
      </c>
      <c r="AB65" s="17">
        <v>778.37097200000005</v>
      </c>
      <c r="AC65" s="17">
        <v>13.653550187114014</v>
      </c>
      <c r="AD65" s="17">
        <v>-2903.0820168420801</v>
      </c>
      <c r="AE65" s="17">
        <v>1.3403499497293307</v>
      </c>
      <c r="AF65" s="17">
        <v>1.3904786957189725</v>
      </c>
      <c r="AG65" s="17">
        <v>10.363699520727629</v>
      </c>
      <c r="AH65" s="17">
        <v>3657.2697379008105</v>
      </c>
      <c r="AI65" s="14">
        <v>50.795413026400148</v>
      </c>
      <c r="AJ65" s="17">
        <v>2.4942423263846507</v>
      </c>
      <c r="AK65" s="17">
        <v>1466.2848509999999</v>
      </c>
      <c r="AL65" s="17">
        <v>0</v>
      </c>
      <c r="AM65" s="17">
        <v>0.20699999999999999</v>
      </c>
      <c r="AN65" s="17">
        <v>0.20699999999999999</v>
      </c>
      <c r="AO65" s="17">
        <v>0.20699999999999999</v>
      </c>
      <c r="AP65" s="17">
        <v>0</v>
      </c>
      <c r="AQ65" s="17">
        <v>0.254</v>
      </c>
      <c r="AR65" s="17">
        <v>0.254</v>
      </c>
      <c r="AS65" s="17">
        <v>0.252</v>
      </c>
      <c r="AT65" s="17">
        <v>0.39525691699604776</v>
      </c>
      <c r="AU65" s="17">
        <v>0.52700000000000002</v>
      </c>
      <c r="AV65" s="17">
        <v>2631.965721</v>
      </c>
      <c r="AW65" s="14">
        <v>36.555079458333331</v>
      </c>
      <c r="AX65" s="17">
        <v>1186.3295290000001</v>
      </c>
      <c r="AY65" s="17">
        <v>1480.4593050000001</v>
      </c>
      <c r="AZ65" s="17">
        <v>-11.029361314627433</v>
      </c>
      <c r="BA65" s="17">
        <v>1687.481877280193</v>
      </c>
      <c r="BB65" s="14">
        <v>23.437248295558234</v>
      </c>
      <c r="BC65" s="17">
        <v>917.43412482608676</v>
      </c>
      <c r="BD65" s="17">
        <v>770.04775245410644</v>
      </c>
      <c r="BE65" s="17">
        <v>8.7341010505861547</v>
      </c>
      <c r="BF65" s="17">
        <v>3043.1884850000001</v>
      </c>
      <c r="BG65" s="14">
        <v>42.266506736111111</v>
      </c>
      <c r="BH65" s="17">
        <v>1350.4543530000001</v>
      </c>
      <c r="BI65" s="17">
        <v>1739.40535</v>
      </c>
      <c r="BJ65" s="17">
        <v>-12.587982445363471</v>
      </c>
      <c r="BK65" s="17">
        <v>67.806747000000001</v>
      </c>
      <c r="BL65" s="17">
        <v>210.814064</v>
      </c>
      <c r="BM65" s="17">
        <v>182.807716</v>
      </c>
      <c r="BN65" s="17">
        <v>7.1150402297352562</v>
      </c>
      <c r="BO65" s="17">
        <v>125.063774</v>
      </c>
      <c r="BP65" s="17">
        <v>56.679946999999999</v>
      </c>
      <c r="BQ65" s="17">
        <v>71.161017999999999</v>
      </c>
      <c r="BR65" s="17">
        <v>-11.32741058392355</v>
      </c>
      <c r="BS65" s="17">
        <v>-17.122581082677165</v>
      </c>
      <c r="BT65" s="17">
        <v>-160.51258043700784</v>
      </c>
      <c r="BU65" s="17">
        <v>144.52737115873015</v>
      </c>
      <c r="BV65" s="17">
        <v>1908.2637348405369</v>
      </c>
      <c r="BW65" s="17">
        <v>23.729521610236223</v>
      </c>
      <c r="BX65" s="17">
        <v>-4.6590158779527577</v>
      </c>
      <c r="BY65" s="17">
        <v>28.640536087301587</v>
      </c>
      <c r="BZ65" s="17">
        <v>-138.85505036612741</v>
      </c>
      <c r="CA65" s="17">
        <v>0.90336047282132104</v>
      </c>
      <c r="CB65" s="17">
        <v>0.79296531775492007</v>
      </c>
      <c r="CC65" s="17">
        <v>0.75398724613233081</v>
      </c>
      <c r="CD65" s="17">
        <v>-2529.129222816111</v>
      </c>
      <c r="CE65" s="17">
        <v>-373.95279402597032</v>
      </c>
      <c r="CF65" s="17">
        <v>74.237531571171431</v>
      </c>
      <c r="CG65" s="17">
        <v>3677.7120470602226</v>
      </c>
      <c r="CH65" s="17">
        <v>3263.9816320044893</v>
      </c>
      <c r="CI65" s="17">
        <v>8675.3316025539334</v>
      </c>
      <c r="CJ65" s="17">
        <v>51.079333986947539</v>
      </c>
      <c r="CK65" s="17">
        <v>45.33307822228457</v>
      </c>
      <c r="CL65" s="17">
        <v>120.49071670213796</v>
      </c>
      <c r="CM65" s="17">
        <v>45.72276034593537</v>
      </c>
      <c r="CN65" s="27"/>
    </row>
    <row r="66" spans="1:98" s="19" customFormat="1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5"/>
      <c r="K66" s="17">
        <v>0.22560320908124998</v>
      </c>
      <c r="L66" s="17">
        <v>0.14128709128043773</v>
      </c>
      <c r="M66" s="17">
        <v>1.664948266740498</v>
      </c>
      <c r="N66" s="17">
        <v>288260.63879300008</v>
      </c>
      <c r="O66" s="17">
        <v>132756.73845600005</v>
      </c>
      <c r="P66" s="17">
        <v>132752.75300600004</v>
      </c>
      <c r="Q66" s="17">
        <v>892.46639014860693</v>
      </c>
      <c r="R66" s="14">
        <v>14.874439835810115</v>
      </c>
      <c r="S66" s="17">
        <v>432.43771831921828</v>
      </c>
      <c r="T66" s="17">
        <v>481.52315424458214</v>
      </c>
      <c r="U66" s="17">
        <v>-5.3706277149120938</v>
      </c>
      <c r="V66" s="17">
        <v>1.0490175598709608</v>
      </c>
      <c r="W66" s="17">
        <v>936.21291486053656</v>
      </c>
      <c r="X66" s="14">
        <v>15.603548581008942</v>
      </c>
      <c r="Y66" s="17">
        <v>1219.024643</v>
      </c>
      <c r="Z66" s="14">
        <v>20.317077383333334</v>
      </c>
      <c r="AA66" s="17">
        <v>584.07577500000002</v>
      </c>
      <c r="AB66" s="17">
        <v>634.94886799999995</v>
      </c>
      <c r="AC66" s="17">
        <v>-4.1732620658760489</v>
      </c>
      <c r="AD66" s="17">
        <v>-4324.0463797539142</v>
      </c>
      <c r="AE66" s="17">
        <v>0.69846194761996894</v>
      </c>
      <c r="AF66" s="17">
        <v>0.43742133523355331</v>
      </c>
      <c r="AG66" s="17">
        <v>5.1546385967198081</v>
      </c>
      <c r="AH66" s="17">
        <v>1823.2499141697338</v>
      </c>
      <c r="AI66" s="14">
        <v>30.387498569495563</v>
      </c>
      <c r="AJ66" s="17">
        <v>1.7005420131258902</v>
      </c>
      <c r="AK66" s="17">
        <v>1072.1581120000001</v>
      </c>
      <c r="AL66" s="17">
        <v>2.8000000000000001E-2</v>
      </c>
      <c r="AM66" s="17">
        <v>0.37</v>
      </c>
      <c r="AN66" s="17">
        <v>0.34200000000000003</v>
      </c>
      <c r="AO66" s="17">
        <v>0.37</v>
      </c>
      <c r="AP66" s="17">
        <v>-3.9325842696629172</v>
      </c>
      <c r="AQ66" s="17">
        <v>0.32300000000000001</v>
      </c>
      <c r="AR66" s="17">
        <v>0.307</v>
      </c>
      <c r="AS66" s="17">
        <v>0.32300000000000001</v>
      </c>
      <c r="AT66" s="17">
        <v>-2.5396825396825418</v>
      </c>
      <c r="AU66" s="17">
        <v>0.42899999999999999</v>
      </c>
      <c r="AV66" s="17">
        <v>1936.6039960000001</v>
      </c>
      <c r="AW66" s="14">
        <v>32.276733266666668</v>
      </c>
      <c r="AX66" s="17">
        <v>841.25450899999998</v>
      </c>
      <c r="AY66" s="17">
        <v>1235.6517329999999</v>
      </c>
      <c r="AZ66" s="17">
        <v>-18.989649894845854</v>
      </c>
      <c r="BA66" s="17">
        <v>1044.0437168000001</v>
      </c>
      <c r="BB66" s="14">
        <v>17.400728613333335</v>
      </c>
      <c r="BC66" s="17">
        <v>531.23785429532165</v>
      </c>
      <c r="BD66" s="17">
        <v>553.05906651081102</v>
      </c>
      <c r="BE66" s="17">
        <v>-2.012475715532434</v>
      </c>
      <c r="BF66" s="17">
        <v>2855.2951970000004</v>
      </c>
      <c r="BG66" s="14">
        <v>47.588253283333337</v>
      </c>
      <c r="BH66" s="17">
        <v>1305.117561</v>
      </c>
      <c r="BI66" s="17">
        <v>1605.8837739999999</v>
      </c>
      <c r="BJ66" s="17">
        <v>-10.332053420373986</v>
      </c>
      <c r="BK66" s="17">
        <v>24.904549999999993</v>
      </c>
      <c r="BL66" s="17">
        <v>127.02944599999999</v>
      </c>
      <c r="BM66" s="17">
        <v>108.148155</v>
      </c>
      <c r="BN66" s="17">
        <v>8.0285243661448824</v>
      </c>
      <c r="BO66" s="17">
        <v>115.27147099999999</v>
      </c>
      <c r="BP66" s="17">
        <v>68.473992999999993</v>
      </c>
      <c r="BQ66" s="17">
        <v>59.907983999999999</v>
      </c>
      <c r="BR66" s="17">
        <v>6.6722831351942746</v>
      </c>
      <c r="BS66" s="17">
        <v>-2.5037264860681105</v>
      </c>
      <c r="BT66" s="17">
        <v>67.31531395114007</v>
      </c>
      <c r="BU66" s="17">
        <v>-66.512340021671832</v>
      </c>
      <c r="BV66" s="17">
        <v>16666.500500388371</v>
      </c>
      <c r="BW66" s="17">
        <v>7.2684781269349834</v>
      </c>
      <c r="BX66" s="17">
        <v>-2.813082456026061</v>
      </c>
      <c r="BY66" s="17">
        <v>10.14248193498452</v>
      </c>
      <c r="BZ66" s="17">
        <v>-176.7616082082024</v>
      </c>
      <c r="CA66" s="17">
        <v>0.89686878125303804</v>
      </c>
      <c r="CB66" s="17">
        <v>0.74921927690083334</v>
      </c>
      <c r="CC66" s="17">
        <v>0.79071595128920535</v>
      </c>
      <c r="CD66" s="17">
        <v>-2246.0194392754524</v>
      </c>
      <c r="CE66" s="17">
        <v>-2078.0269404784599</v>
      </c>
      <c r="CF66" s="17">
        <v>3.8850762467203981</v>
      </c>
      <c r="CG66" s="17">
        <v>999.45763826853226</v>
      </c>
      <c r="CH66" s="17">
        <v>1248.8504544912271</v>
      </c>
      <c r="CI66" s="17">
        <v>3131.0364880735947</v>
      </c>
      <c r="CJ66" s="17">
        <v>16.657627304475536</v>
      </c>
      <c r="CK66" s="17">
        <v>20.814174241520451</v>
      </c>
      <c r="CL66" s="17">
        <v>52.183941467893241</v>
      </c>
      <c r="CM66" s="17">
        <v>71.787350840517433</v>
      </c>
      <c r="CN66" s="27"/>
    </row>
    <row r="67" spans="1:98" s="19" customFormat="1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5"/>
      <c r="K67" s="17">
        <v>0.35745239249999999</v>
      </c>
      <c r="L67" s="17">
        <v>0.41462807487139064</v>
      </c>
      <c r="M67" s="17">
        <v>2.8521926353205327</v>
      </c>
      <c r="N67" s="17">
        <v>381029.97075500013</v>
      </c>
      <c r="O67" s="17">
        <v>200836.22724599988</v>
      </c>
      <c r="P67" s="17">
        <v>200831.39421199987</v>
      </c>
      <c r="Q67" s="17">
        <v>1421.7728671492534</v>
      </c>
      <c r="R67" s="14">
        <v>20.311040959275051</v>
      </c>
      <c r="S67" s="17">
        <v>752.21087214981264</v>
      </c>
      <c r="T67" s="17">
        <v>672.3839595149251</v>
      </c>
      <c r="U67" s="17">
        <v>5.6034818364183083</v>
      </c>
      <c r="V67" s="17">
        <v>1.726296002285457</v>
      </c>
      <c r="W67" s="17">
        <v>2454.4008167176885</v>
      </c>
      <c r="X67" s="14">
        <v>35.062868810252695</v>
      </c>
      <c r="Y67" s="17">
        <v>1734.482162</v>
      </c>
      <c r="Z67" s="14">
        <v>24.7783166</v>
      </c>
      <c r="AA67" s="17">
        <v>957.82440899999995</v>
      </c>
      <c r="AB67" s="17">
        <v>786.34187299999996</v>
      </c>
      <c r="AC67" s="17">
        <v>9.831776807619768</v>
      </c>
      <c r="AD67" s="17">
        <v>-1711.7314453041772</v>
      </c>
      <c r="AE67" s="17">
        <v>1.3337775839552237</v>
      </c>
      <c r="AF67" s="17">
        <v>1.5471196823559352</v>
      </c>
      <c r="AG67" s="17">
        <v>10.642509833285569</v>
      </c>
      <c r="AH67" s="17">
        <v>3853.0152405544636</v>
      </c>
      <c r="AI67" s="14">
        <v>55.043074865063765</v>
      </c>
      <c r="AJ67" s="17">
        <v>2.6852035272658217</v>
      </c>
      <c r="AK67" s="17">
        <v>1434.906219</v>
      </c>
      <c r="AL67" s="17">
        <v>1E-3</v>
      </c>
      <c r="AM67" s="17">
        <v>0.23200000000000001</v>
      </c>
      <c r="AN67" s="17">
        <v>0.23100000000000001</v>
      </c>
      <c r="AO67" s="17">
        <v>0.23200000000000001</v>
      </c>
      <c r="AP67" s="17">
        <v>-0.21598272138228961</v>
      </c>
      <c r="AQ67" s="17">
        <v>0.26800000000000002</v>
      </c>
      <c r="AR67" s="17">
        <v>0.26700000000000002</v>
      </c>
      <c r="AS67" s="17">
        <v>0.26800000000000002</v>
      </c>
      <c r="AT67" s="17">
        <v>-0.18691588785046745</v>
      </c>
      <c r="AU67" s="17">
        <v>0.54</v>
      </c>
      <c r="AV67" s="17">
        <v>2983.8395230000001</v>
      </c>
      <c r="AW67" s="14">
        <v>42.626278900000003</v>
      </c>
      <c r="AX67" s="17">
        <v>1645.9186480000001</v>
      </c>
      <c r="AY67" s="17">
        <v>1500.0620269999999</v>
      </c>
      <c r="AZ67" s="17">
        <v>4.6362847095365627</v>
      </c>
      <c r="BA67" s="17">
        <v>1538.7460744310345</v>
      </c>
      <c r="BB67" s="14">
        <v>21.982086777586208</v>
      </c>
      <c r="BC67" s="17">
        <v>866.14500982251093</v>
      </c>
      <c r="BD67" s="17">
        <v>676.31143974568977</v>
      </c>
      <c r="BE67" s="17">
        <v>12.307223982237144</v>
      </c>
      <c r="BF67" s="17">
        <v>4466.1201860000001</v>
      </c>
      <c r="BG67" s="14">
        <v>63.801716942857148</v>
      </c>
      <c r="BH67" s="17">
        <v>2339.3508449999999</v>
      </c>
      <c r="BI67" s="17">
        <v>2126.8956410000001</v>
      </c>
      <c r="BJ67" s="17">
        <v>4.7569072747320789</v>
      </c>
      <c r="BK67" s="17">
        <v>57.599665000000002</v>
      </c>
      <c r="BL67" s="17">
        <v>130.996861</v>
      </c>
      <c r="BM67" s="17">
        <v>117.65192</v>
      </c>
      <c r="BN67" s="17">
        <v>5.3669842845519486</v>
      </c>
      <c r="BO67" s="17">
        <v>156.09978899999999</v>
      </c>
      <c r="BP67" s="17">
        <v>79.077815999999999</v>
      </c>
      <c r="BQ67" s="17">
        <v>77.130174999999994</v>
      </c>
      <c r="BR67" s="17">
        <v>1.2468254585003942</v>
      </c>
      <c r="BS67" s="17">
        <v>7.0073070858208961</v>
      </c>
      <c r="BT67" s="17">
        <v>104.24159419475653</v>
      </c>
      <c r="BU67" s="17">
        <v>-96.848757723880595</v>
      </c>
      <c r="BV67" s="17">
        <v>2720.0703371545169</v>
      </c>
      <c r="BW67" s="17">
        <v>39.168072843283582</v>
      </c>
      <c r="BX67" s="17">
        <v>22.693836014981279</v>
      </c>
      <c r="BY67" s="17">
        <v>16.571767697761192</v>
      </c>
      <c r="BZ67" s="17">
        <v>15.591427963282156</v>
      </c>
      <c r="CA67" s="17">
        <v>0.8903082483455691</v>
      </c>
      <c r="CB67" s="17">
        <v>0.82012600273582204</v>
      </c>
      <c r="CC67" s="17">
        <v>0.80147045495478098</v>
      </c>
      <c r="CD67" s="17">
        <v>-1731.6565250991205</v>
      </c>
      <c r="CE67" s="17">
        <v>19.925079794940352</v>
      </c>
      <c r="CF67" s="17">
        <v>102.32806143155237</v>
      </c>
      <c r="CG67" s="17">
        <v>2745.8015191886248</v>
      </c>
      <c r="CH67" s="17">
        <v>1937.220016055393</v>
      </c>
      <c r="CI67" s="17">
        <v>8744.7494837063459</v>
      </c>
      <c r="CJ67" s="17">
        <v>39.225735988408928</v>
      </c>
      <c r="CK67" s="17">
        <v>27.674571657934184</v>
      </c>
      <c r="CL67" s="17">
        <v>124.92499262437637</v>
      </c>
      <c r="CM67" s="17">
        <v>60.387768849859839</v>
      </c>
      <c r="CN67" s="27"/>
    </row>
    <row r="68" spans="1:98" s="19" customFormat="1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5"/>
      <c r="K68" s="17">
        <v>0.39270239592499989</v>
      </c>
      <c r="L68" s="17">
        <v>0.46173215885481783</v>
      </c>
      <c r="M68" s="17">
        <v>3.0098479956189692</v>
      </c>
      <c r="N68" s="17">
        <v>464207.17345900013</v>
      </c>
      <c r="O68" s="17">
        <v>238607.27270699979</v>
      </c>
      <c r="P68" s="17">
        <v>238603.19708899979</v>
      </c>
      <c r="Q68" s="17">
        <v>1184.212738130102</v>
      </c>
      <c r="R68" s="14">
        <v>17.414893207795618</v>
      </c>
      <c r="S68" s="17">
        <v>608.69620860969405</v>
      </c>
      <c r="T68" s="17">
        <v>590.65812995549743</v>
      </c>
      <c r="U68" s="17">
        <v>1.5039824407335609</v>
      </c>
      <c r="V68" s="17">
        <v>1.8069623108653412</v>
      </c>
      <c r="W68" s="17">
        <v>2139.8277858477422</v>
      </c>
      <c r="X68" s="14">
        <v>31.468055674231504</v>
      </c>
      <c r="Y68" s="17">
        <v>1491.0812109999999</v>
      </c>
      <c r="Z68" s="14">
        <v>21.927664867647056</v>
      </c>
      <c r="AA68" s="17">
        <v>780.12022400000001</v>
      </c>
      <c r="AB68" s="17">
        <v>760.49957700000004</v>
      </c>
      <c r="AC68" s="17">
        <v>1.2735554214780576</v>
      </c>
      <c r="AD68" s="17">
        <v>-1563.0069480792949</v>
      </c>
      <c r="AE68" s="17">
        <v>1.0017918263392853</v>
      </c>
      <c r="AF68" s="17">
        <v>1.1778881603439231</v>
      </c>
      <c r="AG68" s="17">
        <v>7.6781836622932884</v>
      </c>
      <c r="AH68" s="17">
        <v>4047.7559949982005</v>
      </c>
      <c r="AI68" s="14">
        <v>59.525823455855893</v>
      </c>
      <c r="AJ68" s="17">
        <v>2.8761531019118358</v>
      </c>
      <c r="AK68" s="17">
        <v>1407.35067</v>
      </c>
      <c r="AL68" s="17">
        <v>8.9999999999999993E-3</v>
      </c>
      <c r="AM68" s="17">
        <v>0.28499999999999998</v>
      </c>
      <c r="AN68" s="17">
        <v>0.27600000000000002</v>
      </c>
      <c r="AO68" s="17">
        <v>0.28499999999999998</v>
      </c>
      <c r="AP68" s="17">
        <v>-1.6042780748663019</v>
      </c>
      <c r="AQ68" s="17">
        <v>0.39200000000000002</v>
      </c>
      <c r="AR68" s="17">
        <v>0.39200000000000002</v>
      </c>
      <c r="AS68" s="17">
        <v>0.38200000000000001</v>
      </c>
      <c r="AT68" s="17">
        <v>1.2919896640826884</v>
      </c>
      <c r="AU68" s="17">
        <v>0.56599999999999995</v>
      </c>
      <c r="AV68" s="17">
        <v>2343.1018290000002</v>
      </c>
      <c r="AW68" s="14">
        <v>34.457379838235298</v>
      </c>
      <c r="AX68" s="17">
        <v>1178.358643</v>
      </c>
      <c r="AY68" s="17">
        <v>1267.6074840000001</v>
      </c>
      <c r="AZ68" s="17">
        <v>-3.6488175373656793</v>
      </c>
      <c r="BA68" s="17">
        <v>1338.231394554386</v>
      </c>
      <c r="BB68" s="14">
        <v>19.679873449329207</v>
      </c>
      <c r="BC68" s="17">
        <v>676.91834696014496</v>
      </c>
      <c r="BD68" s="17">
        <v>682.72010538947382</v>
      </c>
      <c r="BE68" s="17">
        <v>-0.42671332362678621</v>
      </c>
      <c r="BF68" s="17">
        <v>3249.9268830000001</v>
      </c>
      <c r="BG68" s="14">
        <v>47.793042397058827</v>
      </c>
      <c r="BH68" s="17">
        <v>3239.846039</v>
      </c>
      <c r="BI68" s="17">
        <v>10.116910000000001</v>
      </c>
      <c r="BJ68" s="17">
        <v>99.377413825402954</v>
      </c>
      <c r="BK68" s="17">
        <v>79.654894999999996</v>
      </c>
      <c r="BL68" s="17">
        <v>92.422759999999997</v>
      </c>
      <c r="BM68" s="17">
        <v>149.39125100000001</v>
      </c>
      <c r="BN68" s="17">
        <v>-23.55880487007844</v>
      </c>
      <c r="BO68" s="17">
        <v>116.56989899999999</v>
      </c>
      <c r="BP68" s="17">
        <v>70.006861000000001</v>
      </c>
      <c r="BQ68" s="17">
        <v>60.467027999999999</v>
      </c>
      <c r="BR68" s="17">
        <v>7.3116798105098271</v>
      </c>
      <c r="BS68" s="17">
        <v>-18.540815436224491</v>
      </c>
      <c r="BT68" s="17">
        <v>60.185158839285727</v>
      </c>
      <c r="BU68" s="17">
        <v>-80.834638814136113</v>
      </c>
      <c r="BV68" s="17">
        <v>-682.92178701436569</v>
      </c>
      <c r="BW68" s="17">
        <v>18.941927448979595</v>
      </c>
      <c r="BX68" s="17">
        <v>-6.4259351020408202</v>
      </c>
      <c r="BY68" s="17">
        <v>26.293053829842929</v>
      </c>
      <c r="BZ68" s="17">
        <v>-164.68914984686077</v>
      </c>
      <c r="CA68" s="17">
        <v>0.88370527135058707</v>
      </c>
      <c r="CB68" s="17">
        <v>0.82766999341026892</v>
      </c>
      <c r="CC68" s="17">
        <v>0.78373104550822537</v>
      </c>
      <c r="CD68" s="17">
        <v>-302.33175636363887</v>
      </c>
      <c r="CE68" s="17">
        <v>-1260.6751917156582</v>
      </c>
      <c r="CF68" s="17">
        <v>-61.314086705096273</v>
      </c>
      <c r="CG68" s="17">
        <v>3613.342118618184</v>
      </c>
      <c r="CH68" s="17">
        <v>775.99800812288174</v>
      </c>
      <c r="CI68" s="17">
        <v>8207.2768385696672</v>
      </c>
      <c r="CJ68" s="17">
        <v>53.137384097326233</v>
      </c>
      <c r="CK68" s="17">
        <v>11.41173541357179</v>
      </c>
      <c r="CL68" s="17">
        <v>120.69524762602452</v>
      </c>
      <c r="CM68" s="17">
        <v>55.753527816481416</v>
      </c>
      <c r="CN68" s="27"/>
    </row>
    <row r="69" spans="1:98" s="19" customFormat="1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5"/>
      <c r="K69" s="17">
        <v>0.29914695492499999</v>
      </c>
      <c r="L69" s="17">
        <v>0.27736762084675498</v>
      </c>
      <c r="M69" s="17">
        <v>2.3327993314928168</v>
      </c>
      <c r="N69" s="17">
        <v>467111.50259599951</v>
      </c>
      <c r="O69" s="17">
        <v>244026.09576699993</v>
      </c>
      <c r="P69" s="17">
        <v>244021.33486799995</v>
      </c>
      <c r="Q69" s="17">
        <v>1120.1823671223021</v>
      </c>
      <c r="R69" s="14">
        <v>15.344963933182221</v>
      </c>
      <c r="S69" s="17">
        <v>585.20039900479617</v>
      </c>
      <c r="T69" s="17">
        <v>536.2794269326921</v>
      </c>
      <c r="U69" s="17">
        <v>4.3621803032621767</v>
      </c>
      <c r="V69" s="17">
        <v>1.422714909512399</v>
      </c>
      <c r="W69" s="17">
        <v>1593.7001550777909</v>
      </c>
      <c r="X69" s="14">
        <v>21.831508973668367</v>
      </c>
      <c r="Y69" s="17">
        <v>1500.8374250000002</v>
      </c>
      <c r="Z69" s="14">
        <v>20.55941678082192</v>
      </c>
      <c r="AA69" s="17">
        <v>793.03236400000003</v>
      </c>
      <c r="AB69" s="17">
        <v>707.80506100000002</v>
      </c>
      <c r="AC69" s="17">
        <v>5.6786499044025369</v>
      </c>
      <c r="AD69" s="17">
        <v>-2914.1995367874356</v>
      </c>
      <c r="AE69" s="17">
        <v>0.71737878878896877</v>
      </c>
      <c r="AF69" s="17">
        <v>0.66515016989629494</v>
      </c>
      <c r="AG69" s="17">
        <v>5.5942430011818152</v>
      </c>
      <c r="AH69" s="17">
        <v>2838.7968948077473</v>
      </c>
      <c r="AI69" s="14">
        <v>38.88762869599654</v>
      </c>
      <c r="AJ69" s="17">
        <v>2.2837432842104244</v>
      </c>
      <c r="AK69" s="17">
        <v>1243.0455360000001</v>
      </c>
      <c r="AL69" s="17">
        <v>-1E-3</v>
      </c>
      <c r="AM69" s="17">
        <v>0.29799999999999999</v>
      </c>
      <c r="AN69" s="17">
        <v>0.29799999999999999</v>
      </c>
      <c r="AO69" s="17">
        <v>0.29699999999999999</v>
      </c>
      <c r="AP69" s="17">
        <v>0.16806722689075645</v>
      </c>
      <c r="AQ69" s="17">
        <v>0.41699999999999998</v>
      </c>
      <c r="AR69" s="17">
        <v>0.41699999999999998</v>
      </c>
      <c r="AS69" s="17">
        <v>0.41599999999999998</v>
      </c>
      <c r="AT69" s="17">
        <v>0.1200480192076832</v>
      </c>
      <c r="AU69" s="17">
        <v>0.49399999999999999</v>
      </c>
      <c r="AV69" s="17">
        <v>2334.0128399999999</v>
      </c>
      <c r="AW69" s="14">
        <v>31.972778630136986</v>
      </c>
      <c r="AX69" s="17">
        <v>1185.7163849999999</v>
      </c>
      <c r="AY69" s="17">
        <v>1149.7391399999999</v>
      </c>
      <c r="AZ69" s="17">
        <v>1.5404808447379892</v>
      </c>
      <c r="BA69" s="17">
        <v>1407.183231134228</v>
      </c>
      <c r="BB69" s="14">
        <v>19.276482618277097</v>
      </c>
      <c r="BC69" s="17">
        <v>695.67944717785224</v>
      </c>
      <c r="BD69" s="17">
        <v>713.8924368451178</v>
      </c>
      <c r="BE69" s="17">
        <v>-1.2920937111263184</v>
      </c>
      <c r="BF69" s="17">
        <v>2712.0534900000002</v>
      </c>
      <c r="BG69" s="14">
        <v>37.151417671232878</v>
      </c>
      <c r="BH69" s="17">
        <v>1232.6941830000001</v>
      </c>
      <c r="BI69" s="17">
        <v>1560.7995679999999</v>
      </c>
      <c r="BJ69" s="17">
        <v>-11.745341649056721</v>
      </c>
      <c r="BK69" s="17">
        <v>18.899328000000001</v>
      </c>
      <c r="BL69" s="17">
        <v>109.500687</v>
      </c>
      <c r="BM69" s="17">
        <v>115.794445</v>
      </c>
      <c r="BN69" s="17">
        <v>-2.7935614694062707</v>
      </c>
      <c r="BO69" s="17">
        <v>98.446021999999999</v>
      </c>
      <c r="BP69" s="17">
        <v>49.069721999999999</v>
      </c>
      <c r="BQ69" s="17">
        <v>50.332084000000002</v>
      </c>
      <c r="BR69" s="17">
        <v>-1.2699588174484508</v>
      </c>
      <c r="BS69" s="17">
        <v>3.3325604460431655</v>
      </c>
      <c r="BT69" s="17">
        <v>85.83081287529977</v>
      </c>
      <c r="BU69" s="17">
        <v>-82.700120257211537</v>
      </c>
      <c r="BV69" s="17">
        <v>5383.183649483457</v>
      </c>
      <c r="BW69" s="17">
        <v>-2.7760668201438858</v>
      </c>
      <c r="BX69" s="17">
        <v>-9.3222601127098343</v>
      </c>
      <c r="BY69" s="17">
        <v>6.586248831730769</v>
      </c>
      <c r="BZ69" s="17">
        <v>581.44895289860926</v>
      </c>
      <c r="CA69" s="17">
        <v>0.92748325355273908</v>
      </c>
      <c r="CB69" s="17">
        <v>0.83336491496331533</v>
      </c>
      <c r="CC69" s="17">
        <v>0.80990900100086782</v>
      </c>
      <c r="CD69" s="17">
        <v>-994.17958131237606</v>
      </c>
      <c r="CE69" s="17">
        <v>-1920.0199554750609</v>
      </c>
      <c r="CF69" s="17">
        <v>-31.769971907390914</v>
      </c>
      <c r="CG69" s="17">
        <v>1512.8134130963088</v>
      </c>
      <c r="CH69" s="17">
        <v>2972.888259732621</v>
      </c>
      <c r="CI69" s="17">
        <v>5309.953763579002</v>
      </c>
      <c r="CJ69" s="17">
        <v>20.723471412278201</v>
      </c>
      <c r="CK69" s="17">
        <v>40.724496708666038</v>
      </c>
      <c r="CL69" s="17">
        <v>72.739092651767152</v>
      </c>
      <c r="CM69" s="17">
        <v>54.13714609213546</v>
      </c>
      <c r="CN69" s="27"/>
    </row>
    <row r="70" spans="1:98" s="19" customFormat="1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5"/>
      <c r="K70" s="17">
        <v>0.33401940232499999</v>
      </c>
      <c r="L70" s="17">
        <v>0.34918486757751066</v>
      </c>
      <c r="M70" s="17">
        <v>2.6174428555119897</v>
      </c>
      <c r="N70" s="17">
        <v>353118.65795400017</v>
      </c>
      <c r="O70" s="17">
        <v>185702.89736900004</v>
      </c>
      <c r="P70" s="17">
        <v>185698.40697500005</v>
      </c>
      <c r="Q70" s="17">
        <v>1213.4853277319585</v>
      </c>
      <c r="R70" s="14">
        <v>18.669005042030129</v>
      </c>
      <c r="S70" s="17">
        <v>638.15893435395196</v>
      </c>
      <c r="T70" s="17">
        <v>595.94914761209964</v>
      </c>
      <c r="U70" s="17">
        <v>3.4202666167300459</v>
      </c>
      <c r="V70" s="17">
        <v>1.6420469203768366</v>
      </c>
      <c r="W70" s="17">
        <v>1992.5998453247387</v>
      </c>
      <c r="X70" s="14">
        <v>30.655382235765209</v>
      </c>
      <c r="Y70" s="17">
        <v>1643.7726280000002</v>
      </c>
      <c r="Z70" s="14">
        <v>25.288809661538465</v>
      </c>
      <c r="AA70" s="17">
        <v>867.31321100000002</v>
      </c>
      <c r="AB70" s="17">
        <v>776.67579699999999</v>
      </c>
      <c r="AC70" s="17">
        <v>5.5132615582548974</v>
      </c>
      <c r="AD70" s="17">
        <v>-4228.3529086944527</v>
      </c>
      <c r="AE70" s="17">
        <v>1.1478329976804125</v>
      </c>
      <c r="AF70" s="17">
        <v>1.1999479985481467</v>
      </c>
      <c r="AG70" s="17">
        <v>8.9946489880137115</v>
      </c>
      <c r="AH70" s="17">
        <v>3318.7797323238638</v>
      </c>
      <c r="AI70" s="14">
        <v>51.058149728059441</v>
      </c>
      <c r="AJ70" s="17">
        <v>2.5576341911292708</v>
      </c>
      <c r="AK70" s="17">
        <v>1297.5974999999999</v>
      </c>
      <c r="AL70" s="17">
        <v>-2E-3</v>
      </c>
      <c r="AM70" s="17">
        <v>0.23799999999999999</v>
      </c>
      <c r="AN70" s="17">
        <v>0.23799999999999999</v>
      </c>
      <c r="AO70" s="17">
        <v>0.23599999999999999</v>
      </c>
      <c r="AP70" s="17">
        <v>0.42194092827004259</v>
      </c>
      <c r="AQ70" s="17">
        <v>0.29099999999999998</v>
      </c>
      <c r="AR70" s="17">
        <v>0.29099999999999998</v>
      </c>
      <c r="AS70" s="17">
        <v>0.28100000000000003</v>
      </c>
      <c r="AT70" s="17">
        <v>1.7482517482517401</v>
      </c>
      <c r="AU70" s="17">
        <v>0.52200000000000002</v>
      </c>
      <c r="AV70" s="17">
        <v>2220.5267050000002</v>
      </c>
      <c r="AW70" s="14">
        <v>34.161949307692311</v>
      </c>
      <c r="AX70" s="17">
        <v>992.59336399999995</v>
      </c>
      <c r="AY70" s="17">
        <v>1295.2171020000001</v>
      </c>
      <c r="AZ70" s="17">
        <v>-13.227657732028234</v>
      </c>
      <c r="BA70" s="17">
        <v>1409.792428697479</v>
      </c>
      <c r="BB70" s="14">
        <v>21.689114287653524</v>
      </c>
      <c r="BC70" s="17">
        <v>696.15505448319334</v>
      </c>
      <c r="BD70" s="17">
        <v>719.75162877118646</v>
      </c>
      <c r="BE70" s="17">
        <v>-1.6665345652411043</v>
      </c>
      <c r="BF70" s="17">
        <v>3370.7707829999999</v>
      </c>
      <c r="BG70" s="14">
        <v>51.858012046153846</v>
      </c>
      <c r="BH70" s="17">
        <v>1774.8957370000001</v>
      </c>
      <c r="BI70" s="17">
        <v>1614.972794</v>
      </c>
      <c r="BJ70" s="17">
        <v>4.7176739020266156</v>
      </c>
      <c r="BK70" s="17">
        <v>39.656131999999999</v>
      </c>
      <c r="BL70" s="17">
        <v>78.266295999999997</v>
      </c>
      <c r="BM70" s="17">
        <v>117.832256</v>
      </c>
      <c r="BN70" s="17">
        <v>-20.176569177318559</v>
      </c>
      <c r="BO70" s="17">
        <v>160.554115</v>
      </c>
      <c r="BP70" s="17">
        <v>65.444332000000003</v>
      </c>
      <c r="BQ70" s="17">
        <v>111.71882600000001</v>
      </c>
      <c r="BR70" s="17">
        <v>-26.11970486550031</v>
      </c>
      <c r="BS70" s="17">
        <v>2.7018339553264612</v>
      </c>
      <c r="BT70" s="17">
        <v>-68.330778288659801</v>
      </c>
      <c r="BU70" s="17">
        <v>73.571052405693948</v>
      </c>
      <c r="BV70" s="17">
        <v>-2707.9085468656044</v>
      </c>
      <c r="BW70" s="17">
        <v>48.678497171821306</v>
      </c>
      <c r="BX70" s="17">
        <v>8.3774946426116852</v>
      </c>
      <c r="BY70" s="17">
        <v>42.064878637010665</v>
      </c>
      <c r="BZ70" s="17">
        <v>-66.78389973377395</v>
      </c>
      <c r="CA70" s="17">
        <v>0.89142510501893901</v>
      </c>
      <c r="CB70" s="17">
        <v>0.85785634081374018</v>
      </c>
      <c r="CC70" s="17">
        <v>0.77186945927330963</v>
      </c>
      <c r="CD70" s="17">
        <v>-2029.1837964866666</v>
      </c>
      <c r="CE70" s="17">
        <v>-2199.1691122077882</v>
      </c>
      <c r="CF70" s="17">
        <v>-4.0201307552071448</v>
      </c>
      <c r="CG70" s="17">
        <v>1472.6101819554087</v>
      </c>
      <c r="CH70" s="17">
        <v>2975.4628796679967</v>
      </c>
      <c r="CI70" s="17">
        <v>5944.1417740913312</v>
      </c>
      <c r="CJ70" s="17">
        <v>22.655541260852441</v>
      </c>
      <c r="CK70" s="17">
        <v>45.776351994892259</v>
      </c>
      <c r="CL70" s="17">
        <v>91.448334986020484</v>
      </c>
      <c r="CM70" s="17">
        <v>56.709060339807984</v>
      </c>
      <c r="CN70" s="27"/>
    </row>
    <row r="71" spans="1:98" s="19" customFormat="1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5"/>
      <c r="K71" s="17">
        <v>0.38304897483125006</v>
      </c>
      <c r="L71" s="17">
        <v>0.38636236518706785</v>
      </c>
      <c r="M71" s="17">
        <v>2.7532579982577499</v>
      </c>
      <c r="N71" s="17">
        <v>349018.20752799994</v>
      </c>
      <c r="O71" s="17">
        <v>176051.25632699998</v>
      </c>
      <c r="P71" s="17">
        <v>176048.37093299997</v>
      </c>
      <c r="Q71" s="17">
        <v>1255.4910829820149</v>
      </c>
      <c r="R71" s="14">
        <v>19.617048171593982</v>
      </c>
      <c r="S71" s="17">
        <v>633.29742616546741</v>
      </c>
      <c r="T71" s="17">
        <v>622.19365681654676</v>
      </c>
      <c r="U71" s="17">
        <v>0.88441642473057058</v>
      </c>
      <c r="V71" s="17">
        <v>1.7404266091943956</v>
      </c>
      <c r="W71" s="17">
        <v>2185.0900884281878</v>
      </c>
      <c r="X71" s="14">
        <v>34.142032631690434</v>
      </c>
      <c r="Y71" s="17">
        <v>1704.4379880000001</v>
      </c>
      <c r="Z71" s="14">
        <v>26.631843562500002</v>
      </c>
      <c r="AA71" s="17">
        <v>841.61517700000002</v>
      </c>
      <c r="AB71" s="17">
        <v>863.59827399999995</v>
      </c>
      <c r="AC71" s="17">
        <v>-1.2891698096275412</v>
      </c>
      <c r="AD71" s="17">
        <v>-3470.3667748872367</v>
      </c>
      <c r="AE71" s="17">
        <v>1.3778740101843525</v>
      </c>
      <c r="AF71" s="17">
        <v>1.3897926805290208</v>
      </c>
      <c r="AG71" s="17">
        <v>9.9038057491285958</v>
      </c>
      <c r="AH71" s="17">
        <v>3288.1561351421242</v>
      </c>
      <c r="AI71" s="14">
        <v>51.37743961159569</v>
      </c>
      <c r="AJ71" s="17">
        <v>2.6508952524860119</v>
      </c>
      <c r="AK71" s="17">
        <v>1240.3945920000001</v>
      </c>
      <c r="AL71" s="17">
        <v>-3.0000000000000001E-3</v>
      </c>
      <c r="AM71" s="17">
        <v>0.19</v>
      </c>
      <c r="AN71" s="17">
        <v>0.19</v>
      </c>
      <c r="AO71" s="17">
        <v>0.187</v>
      </c>
      <c r="AP71" s="17">
        <v>0.79575596816976202</v>
      </c>
      <c r="AQ71" s="17">
        <v>0.27800000000000002</v>
      </c>
      <c r="AR71" s="17">
        <v>0.27800000000000002</v>
      </c>
      <c r="AS71" s="17">
        <v>0.27800000000000002</v>
      </c>
      <c r="AT71" s="17">
        <v>0</v>
      </c>
      <c r="AU71" s="17">
        <v>0.55900000000000005</v>
      </c>
      <c r="AV71" s="17">
        <v>2416.0842240000002</v>
      </c>
      <c r="AW71" s="14">
        <v>37.751316000000003</v>
      </c>
      <c r="AX71" s="17">
        <v>1303.2240750000001</v>
      </c>
      <c r="AY71" s="17">
        <v>1315.649242</v>
      </c>
      <c r="AZ71" s="17">
        <v>-0.4744470425256494</v>
      </c>
      <c r="BA71" s="17">
        <v>1574.256455031579</v>
      </c>
      <c r="BB71" s="14">
        <v>24.597757109868422</v>
      </c>
      <c r="BC71" s="17">
        <v>799.5639892578946</v>
      </c>
      <c r="BD71" s="17">
        <v>787.14865386631016</v>
      </c>
      <c r="BE71" s="17">
        <v>0.78245644826645533</v>
      </c>
      <c r="BF71" s="17">
        <v>3587.391693</v>
      </c>
      <c r="BG71" s="14">
        <v>56.052995203125001</v>
      </c>
      <c r="BH71" s="17">
        <v>1847.824104</v>
      </c>
      <c r="BI71" s="17">
        <v>1809.899109</v>
      </c>
      <c r="BJ71" s="17">
        <v>1.036847043680341</v>
      </c>
      <c r="BK71" s="17">
        <v>22.920842999999998</v>
      </c>
      <c r="BL71" s="17">
        <v>66.273883999999995</v>
      </c>
      <c r="BM71" s="17">
        <v>64.867251999999993</v>
      </c>
      <c r="BN71" s="17">
        <v>1.0726092840922181</v>
      </c>
      <c r="BO71" s="17">
        <v>90.998098999999996</v>
      </c>
      <c r="BP71" s="17">
        <v>40.305342000000003</v>
      </c>
      <c r="BQ71" s="17">
        <v>50.891126999999997</v>
      </c>
      <c r="BR71" s="17">
        <v>-11.607669810110732</v>
      </c>
      <c r="BS71" s="17">
        <v>-8.9515959460431649</v>
      </c>
      <c r="BT71" s="17">
        <v>-53.60552544604316</v>
      </c>
      <c r="BU71" s="17">
        <v>44.653929500000004</v>
      </c>
      <c r="BV71" s="17">
        <v>1097.6752697319459</v>
      </c>
      <c r="BW71" s="17">
        <v>28.536528805755395</v>
      </c>
      <c r="BX71" s="17">
        <v>10.692108622302159</v>
      </c>
      <c r="BY71" s="17">
        <v>17.844420183453234</v>
      </c>
      <c r="BZ71" s="17">
        <v>-25.063705574829971</v>
      </c>
      <c r="CA71" s="17">
        <v>0.93735061575617062</v>
      </c>
      <c r="CB71" s="17">
        <v>0.88759770605817423</v>
      </c>
      <c r="CC71" s="17">
        <v>0.88180161063346552</v>
      </c>
      <c r="CD71" s="17">
        <v>-1763.9708152426617</v>
      </c>
      <c r="CE71" s="17">
        <v>-1706.3959596445766</v>
      </c>
      <c r="CF71" s="17">
        <v>1.6590423817654232</v>
      </c>
      <c r="CG71" s="17">
        <v>4715.0812122040097</v>
      </c>
      <c r="CH71" s="17">
        <v>3518.7168003679944</v>
      </c>
      <c r="CI71" s="17">
        <v>9720.2649761957764</v>
      </c>
      <c r="CJ71" s="17">
        <v>73.673143940687652</v>
      </c>
      <c r="CK71" s="17">
        <v>54.979950005749913</v>
      </c>
      <c r="CL71" s="17">
        <v>151.87914025305901</v>
      </c>
      <c r="CM71" s="17">
        <v>44.618437399308149</v>
      </c>
      <c r="CN71" s="27"/>
    </row>
    <row r="72" spans="1:98" s="19" customFormat="1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5"/>
      <c r="K72" s="17">
        <v>0.33786973828125</v>
      </c>
      <c r="L72" s="17">
        <v>0.29622274348125638</v>
      </c>
      <c r="M72" s="17">
        <v>2.410786225923454</v>
      </c>
      <c r="N72" s="17">
        <v>341762.63309099991</v>
      </c>
      <c r="O72" s="17">
        <v>163982.6471549999</v>
      </c>
      <c r="P72" s="17">
        <v>163980.03226799989</v>
      </c>
      <c r="Q72" s="17">
        <v>1011.1855114408282</v>
      </c>
      <c r="R72" s="14">
        <v>16.853091857347138</v>
      </c>
      <c r="S72" s="17">
        <v>491.00337270059885</v>
      </c>
      <c r="T72" s="17">
        <v>526.16004150591721</v>
      </c>
      <c r="U72" s="17">
        <v>-3.4563442131610578</v>
      </c>
      <c r="V72" s="17">
        <v>1.3820927524691227</v>
      </c>
      <c r="W72" s="17">
        <v>1397.5521667641519</v>
      </c>
      <c r="X72" s="14">
        <v>23.292536112735867</v>
      </c>
      <c r="Y72" s="17">
        <v>1275.8669129999998</v>
      </c>
      <c r="Z72" s="14">
        <v>21.264448549999997</v>
      </c>
      <c r="AA72" s="17">
        <v>618.15949999999998</v>
      </c>
      <c r="AB72" s="17">
        <v>657.70741299999997</v>
      </c>
      <c r="AC72" s="17">
        <v>-3.0996895206733837</v>
      </c>
      <c r="AD72" s="17">
        <v>-2613.0822493643273</v>
      </c>
      <c r="AE72" s="17">
        <v>0.99961461029955612</v>
      </c>
      <c r="AF72" s="17">
        <v>0.87639864935282952</v>
      </c>
      <c r="AG72" s="17">
        <v>7.1325036269924675</v>
      </c>
      <c r="AH72" s="17">
        <v>2723.0743901337264</v>
      </c>
      <c r="AI72" s="14">
        <v>45.384573168895443</v>
      </c>
      <c r="AJ72" s="17">
        <v>2.3092435579599391</v>
      </c>
      <c r="AK72" s="17">
        <v>1179.20623</v>
      </c>
      <c r="AL72" s="17">
        <v>4.0000000000000001E-3</v>
      </c>
      <c r="AM72" s="17">
        <v>0.23300000000000001</v>
      </c>
      <c r="AN72" s="17">
        <v>0.22900000000000001</v>
      </c>
      <c r="AO72" s="17">
        <v>0.23300000000000001</v>
      </c>
      <c r="AP72" s="17">
        <v>-0.86580086580086646</v>
      </c>
      <c r="AQ72" s="17">
        <v>0.33800000000000002</v>
      </c>
      <c r="AR72" s="17">
        <v>0.33400000000000002</v>
      </c>
      <c r="AS72" s="17">
        <v>0.33800000000000002</v>
      </c>
      <c r="AT72" s="17">
        <v>-0.59523809523809568</v>
      </c>
      <c r="AU72" s="17">
        <v>0.52500000000000002</v>
      </c>
      <c r="AV72" s="17">
        <v>2271.724404</v>
      </c>
      <c r="AW72" s="14">
        <v>37.8620734</v>
      </c>
      <c r="AX72" s="17">
        <v>1044.8551030000001</v>
      </c>
      <c r="AY72" s="17">
        <v>0.48691000000000001</v>
      </c>
      <c r="AZ72" s="17">
        <v>99.906841972494206</v>
      </c>
      <c r="BA72" s="17">
        <v>1315.9570798454936</v>
      </c>
      <c r="BB72" s="14">
        <v>21.932617997424892</v>
      </c>
      <c r="BC72" s="17">
        <v>619.95679731441044</v>
      </c>
      <c r="BD72" s="17">
        <v>706.92047954077259</v>
      </c>
      <c r="BE72" s="17">
        <v>-6.5540109656918535</v>
      </c>
      <c r="BF72" s="17">
        <v>2957.8709870000002</v>
      </c>
      <c r="BG72" s="14">
        <v>49.297849783333341</v>
      </c>
      <c r="BH72" s="17">
        <v>1396.819</v>
      </c>
      <c r="BI72" s="17">
        <v>1607.8854980000001</v>
      </c>
      <c r="BJ72" s="17">
        <v>-7.0245342974821918</v>
      </c>
      <c r="BK72" s="17">
        <v>16.176234999999991</v>
      </c>
      <c r="BL72" s="17">
        <v>113.071358</v>
      </c>
      <c r="BM72" s="17">
        <v>125.24411000000001</v>
      </c>
      <c r="BN72" s="17">
        <v>-5.1078312717829979</v>
      </c>
      <c r="BO72" s="17">
        <v>120.91601800000001</v>
      </c>
      <c r="BP72" s="17">
        <v>52.189554000000001</v>
      </c>
      <c r="BQ72" s="17">
        <v>87.788096999999993</v>
      </c>
      <c r="BR72" s="17">
        <v>-25.431590504401303</v>
      </c>
      <c r="BS72" s="17">
        <v>8.7888190414201173</v>
      </c>
      <c r="BT72" s="17">
        <v>-79.399236727544917</v>
      </c>
      <c r="BU72" s="17">
        <v>87.217261000000036</v>
      </c>
      <c r="BV72" s="17">
        <v>-2131.184195917338</v>
      </c>
      <c r="BW72" s="17">
        <v>-16.560974307692312</v>
      </c>
      <c r="BX72" s="17">
        <v>-23.002212293413177</v>
      </c>
      <c r="BY72" s="17">
        <v>6.5039799260355009</v>
      </c>
      <c r="BZ72" s="17">
        <v>178.84456687488495</v>
      </c>
      <c r="CA72" s="17">
        <v>0.90297507790823173</v>
      </c>
      <c r="CB72" s="17">
        <v>0.78905207284795631</v>
      </c>
      <c r="CC72" s="17">
        <v>0.75534338612041108</v>
      </c>
      <c r="CD72" s="17">
        <v>-1196.9289979904338</v>
      </c>
      <c r="CE72" s="17">
        <v>-1416.1532513738953</v>
      </c>
      <c r="CF72" s="17">
        <v>-8.3894892109420205</v>
      </c>
      <c r="CG72" s="17">
        <v>5415.2771057279415</v>
      </c>
      <c r="CH72" s="17">
        <v>1.7676206989994299</v>
      </c>
      <c r="CI72" s="17">
        <v>15374.791709968904</v>
      </c>
      <c r="CJ72" s="17">
        <v>90.25461842879902</v>
      </c>
      <c r="CK72" s="17">
        <v>2.9460344983323832E-2</v>
      </c>
      <c r="CL72" s="17">
        <v>256.24652849948171</v>
      </c>
      <c r="CM72" s="17">
        <v>55.579459012581879</v>
      </c>
      <c r="CN72" s="27"/>
    </row>
    <row r="73" spans="1:98" s="19" customFormat="1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5"/>
      <c r="K73" s="17">
        <v>0.31509869698125004</v>
      </c>
      <c r="L73" s="17">
        <v>0.37601429616956805</v>
      </c>
      <c r="M73" s="17">
        <v>2.716137053030816</v>
      </c>
      <c r="N73" s="17">
        <v>269124.11421499989</v>
      </c>
      <c r="O73" s="17">
        <v>130715.37663299996</v>
      </c>
      <c r="P73" s="17">
        <v>130708.57792399997</v>
      </c>
      <c r="Q73" s="17">
        <v>968.15006690647488</v>
      </c>
      <c r="R73" s="14">
        <v>19.44076439571235</v>
      </c>
      <c r="S73" s="17">
        <v>487.76783059701495</v>
      </c>
      <c r="T73" s="17">
        <v>498.40625398920866</v>
      </c>
      <c r="U73" s="17">
        <v>-1.0787571442477477</v>
      </c>
      <c r="V73" s="17">
        <v>1.7712016167036899</v>
      </c>
      <c r="W73" s="17">
        <v>1714.7889637165338</v>
      </c>
      <c r="X73" s="14">
        <v>34.433513327641244</v>
      </c>
      <c r="Y73" s="17">
        <v>1409.7311359999999</v>
      </c>
      <c r="Z73" s="14">
        <v>28.307854136546183</v>
      </c>
      <c r="AA73" s="17">
        <v>689.26640299999997</v>
      </c>
      <c r="AB73" s="17">
        <v>721.61890400000004</v>
      </c>
      <c r="AC73" s="17">
        <v>-2.2930638542683521</v>
      </c>
      <c r="AD73" s="17">
        <v>-4367.2624053041554</v>
      </c>
      <c r="AE73" s="17">
        <v>1.1334485502922662</v>
      </c>
      <c r="AF73" s="17">
        <v>1.3525694106818993</v>
      </c>
      <c r="AG73" s="17">
        <v>9.7702771691755963</v>
      </c>
      <c r="AH73" s="17">
        <v>2467.0261696505322</v>
      </c>
      <c r="AI73" s="14">
        <v>49.538678105432375</v>
      </c>
      <c r="AJ73" s="17">
        <v>2.6056305336365053</v>
      </c>
      <c r="AK73" s="17">
        <v>946.80582600000002</v>
      </c>
      <c r="AL73" s="17">
        <v>-2E-3</v>
      </c>
      <c r="AM73" s="17">
        <v>0.19600000000000001</v>
      </c>
      <c r="AN73" s="17">
        <v>0.19600000000000001</v>
      </c>
      <c r="AO73" s="17">
        <v>0.19400000000000001</v>
      </c>
      <c r="AP73" s="17">
        <v>0.51282051282051322</v>
      </c>
      <c r="AQ73" s="17">
        <v>0.27800000000000002</v>
      </c>
      <c r="AR73" s="17">
        <v>0.26800000000000002</v>
      </c>
      <c r="AS73" s="17">
        <v>0.27800000000000002</v>
      </c>
      <c r="AT73" s="17">
        <v>-1.831501831501833</v>
      </c>
      <c r="AU73" s="17">
        <v>0.50700000000000001</v>
      </c>
      <c r="AV73" s="17">
        <v>2360.3239899999999</v>
      </c>
      <c r="AW73" s="14">
        <v>47.396064056224901</v>
      </c>
      <c r="AX73" s="17">
        <v>1280.231049</v>
      </c>
      <c r="AY73" s="17">
        <v>1080.0929410000001</v>
      </c>
      <c r="AZ73" s="17">
        <v>8.4792642386353023</v>
      </c>
      <c r="BA73" s="17">
        <v>1205.3403797755104</v>
      </c>
      <c r="BB73" s="14">
        <v>24.203622083845591</v>
      </c>
      <c r="BC73" s="17">
        <v>610.08544881122441</v>
      </c>
      <c r="BD73" s="17">
        <v>601.48844120103081</v>
      </c>
      <c r="BE73" s="17">
        <v>0.70957352919735184</v>
      </c>
      <c r="BF73" s="17">
        <v>3750.416416</v>
      </c>
      <c r="BG73" s="14">
        <v>75.309566586345383</v>
      </c>
      <c r="BH73" s="17">
        <v>1779.6025090000001</v>
      </c>
      <c r="BI73" s="17">
        <v>1983.906403</v>
      </c>
      <c r="BJ73" s="17">
        <v>-5.428548165478607</v>
      </c>
      <c r="BK73" s="17">
        <v>41.170957999999999</v>
      </c>
      <c r="BL73" s="17">
        <v>135.28888699999999</v>
      </c>
      <c r="BM73" s="17">
        <v>144.864788</v>
      </c>
      <c r="BN73" s="17">
        <v>-3.4180886615176527</v>
      </c>
      <c r="BO73" s="17">
        <v>90.853829999999988</v>
      </c>
      <c r="BP73" s="17">
        <v>48.907420000000002</v>
      </c>
      <c r="BQ73" s="17">
        <v>47.230283999999997</v>
      </c>
      <c r="BR73" s="17">
        <v>1.7445143062705184</v>
      </c>
      <c r="BS73" s="17">
        <v>3.7340157050359704</v>
      </c>
      <c r="BT73" s="17">
        <v>-114.81558085074626</v>
      </c>
      <c r="BU73" s="17">
        <v>114.28746547122302</v>
      </c>
      <c r="BV73" s="17">
        <v>43381.248720458112</v>
      </c>
      <c r="BW73" s="17">
        <v>23.156969406474818</v>
      </c>
      <c r="BX73" s="17">
        <v>10.148133447761193</v>
      </c>
      <c r="BY73" s="17">
        <v>14.327846978417266</v>
      </c>
      <c r="BZ73" s="17">
        <v>-17.076797161455605</v>
      </c>
      <c r="CA73" s="17">
        <v>0.91436725752447967</v>
      </c>
      <c r="CB73" s="17">
        <v>0.78911943819559272</v>
      </c>
      <c r="CC73" s="17">
        <v>0.78976454662438045</v>
      </c>
      <c r="CD73" s="17">
        <v>-2260.4444472590499</v>
      </c>
      <c r="CE73" s="17">
        <v>-2106.8179580451078</v>
      </c>
      <c r="CF73" s="17">
        <v>3.5176839620939306</v>
      </c>
      <c r="CG73" s="17">
        <v>2439.5637208233697</v>
      </c>
      <c r="CH73" s="17">
        <v>3692.1322711975549</v>
      </c>
      <c r="CI73" s="17">
        <v>10207.308792530157</v>
      </c>
      <c r="CJ73" s="17">
        <v>48.987223309706224</v>
      </c>
      <c r="CK73" s="17">
        <v>74.139202232882639</v>
      </c>
      <c r="CL73" s="17">
        <v>204.96604001064574</v>
      </c>
      <c r="CM73" s="17">
        <v>72.240303967761648</v>
      </c>
      <c r="CN73" s="27"/>
    </row>
    <row r="74" spans="1:98" s="19" customFormat="1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5"/>
      <c r="K74" s="17">
        <v>0.23840088733125001</v>
      </c>
      <c r="L74" s="17">
        <v>0.17529012642185904</v>
      </c>
      <c r="M74" s="17">
        <v>1.8545059397038539</v>
      </c>
      <c r="N74" s="17">
        <v>284432.8763080003</v>
      </c>
      <c r="O74" s="17">
        <v>146556.60200299998</v>
      </c>
      <c r="P74" s="17">
        <v>146554.16745199997</v>
      </c>
      <c r="Q74" s="17">
        <v>1151.5839105910927</v>
      </c>
      <c r="R74" s="14">
        <v>17.187819561061087</v>
      </c>
      <c r="S74" s="17">
        <v>593.35569318623493</v>
      </c>
      <c r="T74" s="17">
        <v>584.53265919067803</v>
      </c>
      <c r="U74" s="17">
        <v>0.74905520355579602</v>
      </c>
      <c r="V74" s="17">
        <v>1.2294369332623853</v>
      </c>
      <c r="W74" s="17">
        <v>1415.799791431418</v>
      </c>
      <c r="X74" s="14">
        <v>21.131340170618181</v>
      </c>
      <c r="Y74" s="17">
        <v>1496.6896670000001</v>
      </c>
      <c r="Z74" s="14">
        <v>22.33865174626866</v>
      </c>
      <c r="AA74" s="17">
        <v>743.27735900000005</v>
      </c>
      <c r="AB74" s="17">
        <v>753.41230800000005</v>
      </c>
      <c r="AC74" s="17">
        <v>-0.6771576782723927</v>
      </c>
      <c r="AD74" s="17">
        <v>-2721.1542708817447</v>
      </c>
      <c r="AE74" s="17">
        <v>0.96518577866902833</v>
      </c>
      <c r="AF74" s="17">
        <v>0.70967662518971275</v>
      </c>
      <c r="AG74" s="17">
        <v>7.5081212133759268</v>
      </c>
      <c r="AH74" s="17">
        <v>2282.9176289429874</v>
      </c>
      <c r="AI74" s="14">
        <v>34.073397446910263</v>
      </c>
      <c r="AJ74" s="17">
        <v>1.8494847428627299</v>
      </c>
      <c r="AK74" s="17">
        <v>1234.3533179999999</v>
      </c>
      <c r="AL74" s="17">
        <v>0</v>
      </c>
      <c r="AM74" s="17">
        <v>0.22800000000000001</v>
      </c>
      <c r="AN74" s="17">
        <v>0.22800000000000001</v>
      </c>
      <c r="AO74" s="17">
        <v>0.22800000000000001</v>
      </c>
      <c r="AP74" s="17">
        <v>0</v>
      </c>
      <c r="AQ74" s="17">
        <v>0.247</v>
      </c>
      <c r="AR74" s="17">
        <v>0.247</v>
      </c>
      <c r="AS74" s="17">
        <v>0.23599999999999999</v>
      </c>
      <c r="AT74" s="17">
        <v>2.2774327122153228</v>
      </c>
      <c r="AU74" s="17">
        <v>0.441</v>
      </c>
      <c r="AV74" s="17">
        <v>1837.6710440000002</v>
      </c>
      <c r="AW74" s="14">
        <v>27.427926029850749</v>
      </c>
      <c r="AX74" s="17">
        <v>1049.3094329999999</v>
      </c>
      <c r="AY74" s="17">
        <v>1222.9018940000001</v>
      </c>
      <c r="AZ74" s="17">
        <v>-7.6398026423534411</v>
      </c>
      <c r="BA74" s="17">
        <v>1486.2733893640352</v>
      </c>
      <c r="BB74" s="14">
        <v>22.183184915881121</v>
      </c>
      <c r="BC74" s="17">
        <v>726.62742750877192</v>
      </c>
      <c r="BD74" s="17">
        <v>759.64596185526307</v>
      </c>
      <c r="BE74" s="17">
        <v>-2.2215653313028452</v>
      </c>
      <c r="BF74" s="17">
        <v>2418.789276</v>
      </c>
      <c r="BG74" s="14">
        <v>36.10133247761194</v>
      </c>
      <c r="BH74" s="17">
        <v>1330.941849</v>
      </c>
      <c r="BI74" s="17">
        <v>1523.7221790000001</v>
      </c>
      <c r="BJ74" s="17">
        <v>-6.7531705345747275</v>
      </c>
      <c r="BK74" s="17">
        <v>21.694552999999999</v>
      </c>
      <c r="BL74" s="17">
        <v>137.50702999999999</v>
      </c>
      <c r="BM74" s="17">
        <v>135.77579900000001</v>
      </c>
      <c r="BN74" s="17">
        <v>0.63349424709006497</v>
      </c>
      <c r="BO74" s="17">
        <v>84.163319999999999</v>
      </c>
      <c r="BP74" s="17">
        <v>47.807364</v>
      </c>
      <c r="BQ74" s="17">
        <v>43.641576999999998</v>
      </c>
      <c r="BR74" s="17">
        <v>4.5553146427359961</v>
      </c>
      <c r="BS74" s="17">
        <v>6.6970041821862329</v>
      </c>
      <c r="BT74" s="17">
        <v>102.67211344534414</v>
      </c>
      <c r="BU74" s="17">
        <v>-100.59172526694914</v>
      </c>
      <c r="BV74" s="17">
        <v>9770.4765304477769</v>
      </c>
      <c r="BW74" s="17">
        <v>22.245639218623484</v>
      </c>
      <c r="BX74" s="17">
        <v>11.302536145748988</v>
      </c>
      <c r="BY74" s="17">
        <v>12.55520599576271</v>
      </c>
      <c r="BZ74" s="17">
        <v>-5.2505800531481039</v>
      </c>
      <c r="CA74" s="17">
        <v>0.93394400455664495</v>
      </c>
      <c r="CB74" s="17">
        <v>0.80043502066295003</v>
      </c>
      <c r="CC74" s="17">
        <v>0.80766330759260019</v>
      </c>
      <c r="CD74" s="17">
        <v>-1014.5902400273384</v>
      </c>
      <c r="CE74" s="17">
        <v>-1706.5640308544048</v>
      </c>
      <c r="CF74" s="17">
        <v>-25.429421559507691</v>
      </c>
      <c r="CG74" s="17">
        <v>3986.182172023578</v>
      </c>
      <c r="CH74" s="17">
        <v>3615.8031370996396</v>
      </c>
      <c r="CI74" s="17">
        <v>9926.3360546539989</v>
      </c>
      <c r="CJ74" s="17">
        <v>59.495256298859374</v>
      </c>
      <c r="CK74" s="17">
        <v>53.967211001487158</v>
      </c>
      <c r="CL74" s="17">
        <v>148.15426947244774</v>
      </c>
      <c r="CM74" s="17">
        <v>18.555082429649474</v>
      </c>
      <c r="CN74" s="27"/>
    </row>
    <row r="75" spans="1:98" s="19" customFormat="1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5"/>
      <c r="K75" s="17">
        <v>0.32891994432499999</v>
      </c>
      <c r="L75" s="17">
        <v>0.34734954652752903</v>
      </c>
      <c r="M75" s="17">
        <v>2.6105551330837891</v>
      </c>
      <c r="N75" s="17">
        <v>487528.92573099973</v>
      </c>
      <c r="O75" s="17">
        <v>238815.32776300024</v>
      </c>
      <c r="P75" s="17">
        <v>238811.27017800024</v>
      </c>
      <c r="Q75" s="17">
        <v>1332.0823618606555</v>
      </c>
      <c r="R75" s="14">
        <v>16.861802048869055</v>
      </c>
      <c r="S75" s="17">
        <v>652.5124745491803</v>
      </c>
      <c r="T75" s="17">
        <v>687.15999890055252</v>
      </c>
      <c r="U75" s="17">
        <v>-2.586268288558089</v>
      </c>
      <c r="V75" s="17">
        <v>1.499982228167001</v>
      </c>
      <c r="W75" s="17">
        <v>1998.0998692457074</v>
      </c>
      <c r="X75" s="14">
        <v>25.292403408173513</v>
      </c>
      <c r="Y75" s="17">
        <v>1685.178005</v>
      </c>
      <c r="Z75" s="14">
        <v>21.331367151898736</v>
      </c>
      <c r="AA75" s="17">
        <v>816.53027699999996</v>
      </c>
      <c r="AB75" s="17">
        <v>868.70182399999999</v>
      </c>
      <c r="AC75" s="17">
        <v>-3.0958078100364901</v>
      </c>
      <c r="AD75" s="17">
        <v>-3195.2140607108831</v>
      </c>
      <c r="AE75" s="17">
        <v>0.89868837247267763</v>
      </c>
      <c r="AF75" s="17">
        <v>0.94904247685117227</v>
      </c>
      <c r="AG75" s="17">
        <v>7.1326642980431396</v>
      </c>
      <c r="AH75" s="17">
        <v>4086.5008411297263</v>
      </c>
      <c r="AI75" s="14">
        <v>51.727858748477544</v>
      </c>
      <c r="AJ75" s="17">
        <v>2.51960791811823</v>
      </c>
      <c r="AK75" s="17">
        <v>1621.8796629999999</v>
      </c>
      <c r="AL75" s="17">
        <v>4.0000000000000001E-3</v>
      </c>
      <c r="AM75" s="17">
        <v>0.31</v>
      </c>
      <c r="AN75" s="17">
        <v>0.30599999999999999</v>
      </c>
      <c r="AO75" s="17">
        <v>0.31</v>
      </c>
      <c r="AP75" s="17">
        <v>-0.6493506493506499</v>
      </c>
      <c r="AQ75" s="17">
        <v>0.36599999999999999</v>
      </c>
      <c r="AR75" s="17">
        <v>0.36599999999999999</v>
      </c>
      <c r="AS75" s="17">
        <v>0.36199999999999999</v>
      </c>
      <c r="AT75" s="17">
        <v>0.54945054945054994</v>
      </c>
      <c r="AU75" s="17">
        <v>0.51800000000000002</v>
      </c>
      <c r="AV75" s="17">
        <v>2989.2496259999998</v>
      </c>
      <c r="AW75" s="14">
        <v>37.838602860759494</v>
      </c>
      <c r="AX75" s="17">
        <v>1674.339737</v>
      </c>
      <c r="AY75" s="17">
        <v>2.0378090000000002</v>
      </c>
      <c r="AZ75" s="17">
        <v>99.756879468486986</v>
      </c>
      <c r="BA75" s="17">
        <v>1492.0462299032256</v>
      </c>
      <c r="BB75" s="14">
        <v>18.886661138015516</v>
      </c>
      <c r="BC75" s="17">
        <v>679.01842737581694</v>
      </c>
      <c r="BD75" s="17">
        <v>821.83831250322601</v>
      </c>
      <c r="BE75" s="17">
        <v>-9.5158905798643527</v>
      </c>
      <c r="BF75" s="17">
        <v>2772.231976</v>
      </c>
      <c r="BG75" s="14">
        <v>35.091543999999999</v>
      </c>
      <c r="BH75" s="17">
        <v>1512.1986999999999</v>
      </c>
      <c r="BI75" s="17">
        <v>1269.50101</v>
      </c>
      <c r="BJ75" s="17">
        <v>8.7247983356190506</v>
      </c>
      <c r="BK75" s="17">
        <v>28.962136000000001</v>
      </c>
      <c r="BL75" s="17">
        <v>110.474503</v>
      </c>
      <c r="BM75" s="17">
        <v>107.12023600000001</v>
      </c>
      <c r="BN75" s="17">
        <v>1.5415202662597431</v>
      </c>
      <c r="BO75" s="17">
        <v>129.04922199999999</v>
      </c>
      <c r="BP75" s="17">
        <v>73.108658000000005</v>
      </c>
      <c r="BQ75" s="17">
        <v>60.250624000000002</v>
      </c>
      <c r="BR75" s="17">
        <v>9.6416490904622627</v>
      </c>
      <c r="BS75" s="17">
        <v>4.2962106120218602</v>
      </c>
      <c r="BT75" s="17">
        <v>85.715402838797814</v>
      </c>
      <c r="BU75" s="17">
        <v>-82.355865748618783</v>
      </c>
      <c r="BV75" s="17">
        <v>5002.8103299928143</v>
      </c>
      <c r="BW75" s="17">
        <v>13.613282530054645</v>
      </c>
      <c r="BX75" s="17">
        <v>12.901197401639342</v>
      </c>
      <c r="BY75" s="17">
        <v>1.0030627845303879</v>
      </c>
      <c r="BZ75" s="17">
        <v>85.57186400283112</v>
      </c>
      <c r="CA75" s="17">
        <v>0.91427285705315786</v>
      </c>
      <c r="CB75" s="17">
        <v>0.81643766194450429</v>
      </c>
      <c r="CC75" s="17">
        <v>0.83845644945118547</v>
      </c>
      <c r="CD75" s="17">
        <v>-1205.8450741763547</v>
      </c>
      <c r="CE75" s="17">
        <v>-1989.3689865345273</v>
      </c>
      <c r="CF75" s="17">
        <v>-24.52179720891224</v>
      </c>
      <c r="CG75" s="17">
        <v>918.19710564067543</v>
      </c>
      <c r="CH75" s="17">
        <v>11.965505122041705</v>
      </c>
      <c r="CI75" s="17">
        <v>7032.652885404711</v>
      </c>
      <c r="CJ75" s="17">
        <v>11.622748172666778</v>
      </c>
      <c r="CK75" s="17">
        <v>0.15146209015242665</v>
      </c>
      <c r="CL75" s="17">
        <v>89.020922600059635</v>
      </c>
      <c r="CM75" s="17">
        <v>65.603677422689756</v>
      </c>
      <c r="CN75" s="27"/>
    </row>
    <row r="76" spans="1:98" s="19" customFormat="1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5"/>
      <c r="K76" s="17">
        <v>0.27309558919999999</v>
      </c>
      <c r="L76" s="17">
        <v>0.18061731377031198</v>
      </c>
      <c r="M76" s="17">
        <v>1.8824748859343439</v>
      </c>
      <c r="N76" s="17">
        <v>263782.16870600008</v>
      </c>
      <c r="O76" s="17">
        <v>128842.08887100001</v>
      </c>
      <c r="P76" s="17">
        <v>128839.34774700002</v>
      </c>
      <c r="Q76" s="17">
        <v>1081.1020298360659</v>
      </c>
      <c r="R76" s="14">
        <v>17.437129513484933</v>
      </c>
      <c r="S76" s="17">
        <v>530.23432073662548</v>
      </c>
      <c r="T76" s="17">
        <v>553.06068200409845</v>
      </c>
      <c r="U76" s="17">
        <v>-2.1071232867983829</v>
      </c>
      <c r="V76" s="17">
        <v>1.1434082821091023</v>
      </c>
      <c r="W76" s="17">
        <v>1236.1410147195195</v>
      </c>
      <c r="X76" s="14">
        <v>19.937758301927733</v>
      </c>
      <c r="Y76" s="17">
        <v>1276.2095549999999</v>
      </c>
      <c r="Z76" s="14">
        <v>20.584025080645159</v>
      </c>
      <c r="AA76" s="17">
        <v>613.65105400000004</v>
      </c>
      <c r="AB76" s="17">
        <v>686.57939099999999</v>
      </c>
      <c r="AC76" s="17">
        <v>-5.6088778170395734</v>
      </c>
      <c r="AD76" s="17">
        <v>-1868.946123239944</v>
      </c>
      <c r="AE76" s="17">
        <v>1.1192442180327868</v>
      </c>
      <c r="AF76" s="17">
        <v>0.74023489250127861</v>
      </c>
      <c r="AG76" s="17">
        <v>7.7150610079276394</v>
      </c>
      <c r="AH76" s="17">
        <v>2082.6599600513068</v>
      </c>
      <c r="AI76" s="14">
        <v>33.591289678246888</v>
      </c>
      <c r="AJ76" s="17">
        <v>1.7859559541121719</v>
      </c>
      <c r="AK76" s="17">
        <v>1166.1317600000002</v>
      </c>
      <c r="AL76" s="17">
        <v>1.7000000000000001E-2</v>
      </c>
      <c r="AM76" s="17">
        <v>0.29599999999999999</v>
      </c>
      <c r="AN76" s="17">
        <v>0.27900000000000003</v>
      </c>
      <c r="AO76" s="17">
        <v>0.29599999999999999</v>
      </c>
      <c r="AP76" s="17">
        <v>-2.9565217391304279</v>
      </c>
      <c r="AQ76" s="17">
        <v>0.24399999999999999</v>
      </c>
      <c r="AR76" s="17">
        <v>0.24299999999999999</v>
      </c>
      <c r="AS76" s="17">
        <v>0.24399999999999999</v>
      </c>
      <c r="AT76" s="17">
        <v>-0.20533880903490778</v>
      </c>
      <c r="AU76" s="17">
        <v>0.47199999999999998</v>
      </c>
      <c r="AV76" s="17">
        <v>1613.6202470000001</v>
      </c>
      <c r="AW76" s="14">
        <v>26.026133016129034</v>
      </c>
      <c r="AX76" s="17">
        <v>524.09565899999996</v>
      </c>
      <c r="AY76" s="17">
        <v>0.54101100000000002</v>
      </c>
      <c r="AZ76" s="17">
        <v>99.793757840068622</v>
      </c>
      <c r="BA76" s="17">
        <v>1195.5896659662162</v>
      </c>
      <c r="BB76" s="14">
        <v>19.283704289777681</v>
      </c>
      <c r="BC76" s="17">
        <v>513.41641000716834</v>
      </c>
      <c r="BD76" s="17">
        <v>711.90858200000002</v>
      </c>
      <c r="BE76" s="17">
        <v>-16.199144985012307</v>
      </c>
      <c r="BF76" s="17">
        <v>2117.5542</v>
      </c>
      <c r="BG76" s="14">
        <v>34.1541</v>
      </c>
      <c r="BH76" s="17">
        <v>1126.9625550000001</v>
      </c>
      <c r="BI76" s="17">
        <v>1078.5781019999999</v>
      </c>
      <c r="BJ76" s="17">
        <v>2.1937683554568053</v>
      </c>
      <c r="BK76" s="17">
        <v>7.2134860000000032</v>
      </c>
      <c r="BL76" s="17">
        <v>84.253489999999999</v>
      </c>
      <c r="BM76" s="17">
        <v>81.602535000000003</v>
      </c>
      <c r="BN76" s="17">
        <v>1.598347120642736</v>
      </c>
      <c r="BO76" s="17">
        <v>114.94686400000001</v>
      </c>
      <c r="BP76" s="17">
        <v>59.042363000000002</v>
      </c>
      <c r="BQ76" s="17">
        <v>58.302982</v>
      </c>
      <c r="BR76" s="17">
        <v>0.63008975771471931</v>
      </c>
      <c r="BS76" s="17">
        <v>0.36096969262295087</v>
      </c>
      <c r="BT76" s="17">
        <v>-69.518613880658421</v>
      </c>
      <c r="BU76" s="17">
        <v>69.588388987704903</v>
      </c>
      <c r="BV76" s="17">
        <v>-199364.80036597428</v>
      </c>
      <c r="BW76" s="17">
        <v>29.09502505737705</v>
      </c>
      <c r="BX76" s="17">
        <v>13.294406037037035</v>
      </c>
      <c r="BY76" s="17">
        <v>15.9145268442623</v>
      </c>
      <c r="BZ76" s="17">
        <v>-8.9702722720923678</v>
      </c>
      <c r="CA76" s="17">
        <v>0.91264089025142447</v>
      </c>
      <c r="CB76" s="17">
        <v>0.81069233300929522</v>
      </c>
      <c r="CC76" s="17">
        <v>0.83072223624923103</v>
      </c>
      <c r="CD76" s="17">
        <v>-413.87157146958913</v>
      </c>
      <c r="CE76" s="17">
        <v>-1455.0745517703533</v>
      </c>
      <c r="CF76" s="17">
        <v>-55.710700664595379</v>
      </c>
      <c r="CG76" s="17">
        <v>371.14346048652152</v>
      </c>
      <c r="CH76" s="17">
        <v>2.4963416364865436</v>
      </c>
      <c r="CI76" s="17">
        <v>7695.7389219805145</v>
      </c>
      <c r="CJ76" s="17">
        <v>5.9861848465567986</v>
      </c>
      <c r="CK76" s="17">
        <v>4.0263574782041026E-2</v>
      </c>
      <c r="CL76" s="17">
        <v>124.12482132226636</v>
      </c>
      <c r="CM76" s="17">
        <v>28.81713865852354</v>
      </c>
      <c r="CN76" s="27"/>
    </row>
    <row r="77" spans="1:98" s="19" customFormat="1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5"/>
      <c r="K77" s="8"/>
      <c r="L77" s="14"/>
      <c r="M77" s="8"/>
      <c r="N77" s="8"/>
      <c r="O77" s="8"/>
      <c r="P77" s="8"/>
      <c r="Q77" s="8"/>
      <c r="R77" s="14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4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14"/>
      <c r="AX77" s="8"/>
      <c r="AY77" s="8"/>
      <c r="AZ77" s="8"/>
      <c r="BA77" s="8"/>
      <c r="BB77" s="14"/>
      <c r="BC77" s="8"/>
      <c r="BD77" s="8"/>
      <c r="BE77" s="8"/>
      <c r="BF77" s="8"/>
      <c r="BG77" s="14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27"/>
    </row>
    <row r="78" spans="1:98" s="19" customFormat="1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5"/>
      <c r="K78" s="17">
        <v>0.36946676458125</v>
      </c>
      <c r="L78" s="17">
        <v>0.23871251374352989</v>
      </c>
      <c r="M78" s="17">
        <v>2.1641486824264309</v>
      </c>
      <c r="N78" s="17">
        <v>477858.65542900021</v>
      </c>
      <c r="O78" s="17">
        <v>242366.25510000004</v>
      </c>
      <c r="P78" s="17">
        <v>242358.37436800005</v>
      </c>
      <c r="Q78" s="17">
        <v>1874.0220594078432</v>
      </c>
      <c r="R78" s="17">
        <v>18.19438892628974</v>
      </c>
      <c r="S78" s="17">
        <v>950.47747207843156</v>
      </c>
      <c r="T78" s="17">
        <v>927.21161614566927</v>
      </c>
      <c r="U78" s="17">
        <v>1.2390686018613923</v>
      </c>
      <c r="V78" s="17">
        <v>1.3526888979118699</v>
      </c>
      <c r="W78" s="17">
        <v>2534.9688342029281</v>
      </c>
      <c r="X78" s="17">
        <v>24.611347904882798</v>
      </c>
      <c r="Y78" s="17">
        <v>2207.5424160000002</v>
      </c>
      <c r="Z78" s="17">
        <v>21.4324506407767</v>
      </c>
      <c r="AA78" s="17">
        <v>1125.1231230000001</v>
      </c>
      <c r="AB78" s="17">
        <v>1103.3203739999999</v>
      </c>
      <c r="AC78" s="17">
        <v>0.9783846451279431</v>
      </c>
      <c r="AD78" s="17">
        <v>-515.35866575530565</v>
      </c>
      <c r="AE78" s="17">
        <v>1.448889272867647</v>
      </c>
      <c r="AF78" s="17">
        <v>0.9361275048765878</v>
      </c>
      <c r="AG78" s="17">
        <v>8.4868575781428657</v>
      </c>
      <c r="AH78" s="17">
        <v>4193.8495591617611</v>
      </c>
      <c r="AI78" s="17">
        <v>40.716986011279232</v>
      </c>
      <c r="AJ78" s="17">
        <v>2.0167381775767073</v>
      </c>
      <c r="AK78" s="17">
        <v>2079.5210830000001</v>
      </c>
      <c r="AL78" s="17">
        <v>-1E-3</v>
      </c>
      <c r="AM78" s="17">
        <v>0.247</v>
      </c>
      <c r="AN78" s="17">
        <v>0.247</v>
      </c>
      <c r="AO78" s="17">
        <v>0.246</v>
      </c>
      <c r="AP78" s="17">
        <v>0.20283975659229225</v>
      </c>
      <c r="AQ78" s="17">
        <v>0.255</v>
      </c>
      <c r="AR78" s="17">
        <v>0.255</v>
      </c>
      <c r="AS78" s="17">
        <v>0.254</v>
      </c>
      <c r="AT78" s="17">
        <v>0.19646365422396872</v>
      </c>
      <c r="AU78" s="17">
        <v>0.54900000000000004</v>
      </c>
      <c r="AV78" s="17">
        <v>4062.8505100000002</v>
      </c>
      <c r="AW78" s="17">
        <v>39.445150582524271</v>
      </c>
      <c r="AX78" s="17">
        <v>2027.097168</v>
      </c>
      <c r="AY78" s="17">
        <v>1793.2180020000001</v>
      </c>
      <c r="AZ78" s="17">
        <v>6.1219861606339654</v>
      </c>
      <c r="BA78" s="17">
        <v>2187.1693049919027</v>
      </c>
      <c r="BB78" s="17">
        <v>21.234653446523328</v>
      </c>
      <c r="BC78" s="17">
        <v>1072.1679080161941</v>
      </c>
      <c r="BD78" s="17">
        <v>1119.5256392032522</v>
      </c>
      <c r="BE78" s="17">
        <v>-2.1607825257842195</v>
      </c>
      <c r="BF78" s="17">
        <v>2971.3782769999998</v>
      </c>
      <c r="BG78" s="17">
        <v>28.848332786407767</v>
      </c>
      <c r="BH78" s="17">
        <v>1421.6513749999999</v>
      </c>
      <c r="BI78" s="17">
        <v>1693.3472899999999</v>
      </c>
      <c r="BJ78" s="17">
        <v>-8.7221839949006856</v>
      </c>
      <c r="BK78" s="17">
        <v>59.475171999999993</v>
      </c>
      <c r="BL78" s="17">
        <v>125.460514</v>
      </c>
      <c r="BM78" s="17">
        <v>109.41051899999999</v>
      </c>
      <c r="BN78" s="17">
        <v>6.8335353214885419</v>
      </c>
      <c r="BO78" s="17">
        <v>283.61614500000002</v>
      </c>
      <c r="BP78" s="17">
        <v>144.900858</v>
      </c>
      <c r="BQ78" s="17">
        <v>142.376137</v>
      </c>
      <c r="BR78" s="17">
        <v>0.8788455198092</v>
      </c>
      <c r="BS78" s="17">
        <v>22.645600964705885</v>
      </c>
      <c r="BT78" s="17">
        <v>112.8772302784314</v>
      </c>
      <c r="BU78" s="17">
        <v>-90.58026905511808</v>
      </c>
      <c r="BV78" s="17">
        <v>912.4898110367518</v>
      </c>
      <c r="BW78" s="17">
        <v>-68.962460454901958</v>
      </c>
      <c r="BX78" s="17">
        <v>-21.619659349019607</v>
      </c>
      <c r="BY78" s="17">
        <v>-47.373560598425186</v>
      </c>
      <c r="BZ78" s="17">
        <v>-37.328162490493227</v>
      </c>
      <c r="CA78" s="17">
        <v>0.86548781482770432</v>
      </c>
      <c r="CB78" s="17">
        <v>0.8062598524249458</v>
      </c>
      <c r="CC78" s="17">
        <v>0.81419426626397173</v>
      </c>
      <c r="CD78" s="17">
        <v>882.65378892686761</v>
      </c>
      <c r="CE78" s="17">
        <v>-1398.0124546821712</v>
      </c>
      <c r="CF78" s="17">
        <v>-442.53961273097468</v>
      </c>
      <c r="CG78" s="17">
        <v>9011.4447929476319</v>
      </c>
      <c r="CH78" s="17">
        <v>4716.0832962377099</v>
      </c>
      <c r="CI78" s="17">
        <v>19991.359977626904</v>
      </c>
      <c r="CJ78" s="17">
        <v>87.489755271336236</v>
      </c>
      <c r="CK78" s="17">
        <v>45.78721646832728</v>
      </c>
      <c r="CL78" s="17">
        <v>194.09087356919323</v>
      </c>
      <c r="CM78" s="17">
        <v>52.250413934132169</v>
      </c>
      <c r="CN78" s="35"/>
      <c r="CO78" s="8"/>
      <c r="CP78" s="8"/>
      <c r="CQ78" s="8"/>
      <c r="CR78" s="8"/>
      <c r="CS78" s="8"/>
      <c r="CT78" s="8"/>
    </row>
    <row r="79" spans="1:98" s="19" customFormat="1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5"/>
      <c r="K79" s="17">
        <v>0.41807710279999993</v>
      </c>
      <c r="L79" s="17">
        <v>0.4084799844271968</v>
      </c>
      <c r="M79" s="17">
        <v>2.8309675544699555</v>
      </c>
      <c r="N79" s="17">
        <v>336763.68899100024</v>
      </c>
      <c r="O79" s="17">
        <v>169603.105274</v>
      </c>
      <c r="P79" s="17">
        <v>169594.53926200001</v>
      </c>
      <c r="Q79" s="17">
        <v>1634.8463611504853</v>
      </c>
      <c r="R79" s="17">
        <v>23.354948016435504</v>
      </c>
      <c r="S79" s="17">
        <v>835.51845627093599</v>
      </c>
      <c r="T79" s="17">
        <v>811.58643072815539</v>
      </c>
      <c r="U79" s="17">
        <v>1.4529752010136434</v>
      </c>
      <c r="V79" s="17">
        <v>1.7594925763287348</v>
      </c>
      <c r="W79" s="17">
        <v>2876.5000358823245</v>
      </c>
      <c r="X79" s="17">
        <v>41.092857655461778</v>
      </c>
      <c r="Y79" s="17">
        <v>2141.8456420000002</v>
      </c>
      <c r="Z79" s="17">
        <v>30.59779488571429</v>
      </c>
      <c r="AA79" s="17">
        <v>1043.033676</v>
      </c>
      <c r="AB79" s="17">
        <v>1098.811966</v>
      </c>
      <c r="AC79" s="17">
        <v>-2.6042161445357772</v>
      </c>
      <c r="AD79" s="17">
        <v>-2414.6188394258425</v>
      </c>
      <c r="AE79" s="17">
        <v>2.0295004990291261</v>
      </c>
      <c r="AF79" s="17">
        <v>1.9829125457630914</v>
      </c>
      <c r="AG79" s="17">
        <v>13.742560944028911</v>
      </c>
      <c r="AH79" s="17">
        <v>4238.1892705687023</v>
      </c>
      <c r="AI79" s="17">
        <v>60.545561008124317</v>
      </c>
      <c r="AJ79" s="17">
        <v>2.6018226364184391</v>
      </c>
      <c r="AK79" s="17">
        <v>1628.930893</v>
      </c>
      <c r="AL79" s="17">
        <v>-1.7999999999999999E-2</v>
      </c>
      <c r="AM79" s="17">
        <v>0.16</v>
      </c>
      <c r="AN79" s="17">
        <v>0.16</v>
      </c>
      <c r="AO79" s="17">
        <v>0.14199999999999999</v>
      </c>
      <c r="AP79" s="17">
        <v>5.9602649006622572</v>
      </c>
      <c r="AQ79" s="17">
        <v>0.20599999999999999</v>
      </c>
      <c r="AR79" s="17">
        <v>0.20300000000000001</v>
      </c>
      <c r="AS79" s="17">
        <v>0.20599999999999999</v>
      </c>
      <c r="AT79" s="17">
        <v>-0.73349633251833124</v>
      </c>
      <c r="AU79" s="17">
        <v>0.58399999999999996</v>
      </c>
      <c r="AV79" s="17">
        <v>2628.1426550000001</v>
      </c>
      <c r="AW79" s="17">
        <v>37.54489507142857</v>
      </c>
      <c r="AX79" s="17">
        <v>1974.5649719999999</v>
      </c>
      <c r="AY79" s="17">
        <v>1701.552612</v>
      </c>
      <c r="AZ79" s="17">
        <v>7.4266492777125475</v>
      </c>
      <c r="BA79" s="17">
        <v>1920.5197188562499</v>
      </c>
      <c r="BB79" s="17">
        <v>27.435995983660714</v>
      </c>
      <c r="BC79" s="17">
        <v>1103.6254829562499</v>
      </c>
      <c r="BD79" s="17">
        <v>921.07500828873231</v>
      </c>
      <c r="BE79" s="17">
        <v>9.0161717971070328</v>
      </c>
      <c r="BF79" s="17">
        <v>3630.8168329999999</v>
      </c>
      <c r="BG79" s="17">
        <v>51.868811899999997</v>
      </c>
      <c r="BH79" s="17">
        <v>1823.406387</v>
      </c>
      <c r="BI79" s="17">
        <v>1813.2173459999999</v>
      </c>
      <c r="BJ79" s="17">
        <v>0.28017858728526557</v>
      </c>
      <c r="BK79" s="17">
        <v>16.554953999999981</v>
      </c>
      <c r="BL79" s="17">
        <v>187.17186699999999</v>
      </c>
      <c r="BM79" s="17">
        <v>202.91529800000001</v>
      </c>
      <c r="BN79" s="17">
        <v>-4.0358751613886126</v>
      </c>
      <c r="BO79" s="17">
        <v>128.95905299999998</v>
      </c>
      <c r="BP79" s="17">
        <v>88.437308999999999</v>
      </c>
      <c r="BQ79" s="17">
        <v>70.800342999999998</v>
      </c>
      <c r="BR79" s="17">
        <v>11.075876702829053</v>
      </c>
      <c r="BS79" s="17">
        <v>-2.8475747669902907</v>
      </c>
      <c r="BT79" s="17">
        <v>-151.66473917241382</v>
      </c>
      <c r="BU79" s="17">
        <v>146.57904040291263</v>
      </c>
      <c r="BV79" s="17">
        <v>5864.3618722344881</v>
      </c>
      <c r="BW79" s="17">
        <v>82.058104825242708</v>
      </c>
      <c r="BX79" s="17">
        <v>47.222111827586211</v>
      </c>
      <c r="BY79" s="17">
        <v>35.836482208737863</v>
      </c>
      <c r="BZ79" s="17">
        <v>13.707948889514142</v>
      </c>
      <c r="CA79" s="17">
        <v>0.93638341610877995</v>
      </c>
      <c r="CB79" s="17">
        <v>0.79099027793463517</v>
      </c>
      <c r="CC79" s="17">
        <v>0.80057549326947708</v>
      </c>
      <c r="CD79" s="17">
        <v>-1062.2586992481399</v>
      </c>
      <c r="CE79" s="17">
        <v>-1352.360140177703</v>
      </c>
      <c r="CF79" s="17">
        <v>-12.014378260982362</v>
      </c>
      <c r="CG79" s="17">
        <v>6652.9644729975771</v>
      </c>
      <c r="CH79" s="17">
        <v>4875.1566352980026</v>
      </c>
      <c r="CI79" s="17">
        <v>10547.374885479863</v>
      </c>
      <c r="CJ79" s="17">
        <v>95.042349614251108</v>
      </c>
      <c r="CK79" s="17">
        <v>69.645094789971466</v>
      </c>
      <c r="CL79" s="17">
        <v>150.67678407828376</v>
      </c>
      <c r="CM79" s="17">
        <v>31.564826643704397</v>
      </c>
      <c r="CN79" s="35"/>
      <c r="CO79" s="8"/>
      <c r="CP79" s="8"/>
      <c r="CQ79" s="8"/>
      <c r="CR79" s="8"/>
      <c r="CS79" s="8"/>
      <c r="CT79" s="8"/>
    </row>
    <row r="80" spans="1:98" s="19" customFormat="1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5"/>
      <c r="K80" s="34">
        <v>0.346588114</v>
      </c>
      <c r="L80" s="17">
        <v>0.24946825112260707</v>
      </c>
      <c r="M80" s="17">
        <v>2.2123668518185564</v>
      </c>
      <c r="N80" s="17">
        <v>597937.55150200031</v>
      </c>
      <c r="O80" s="17">
        <v>303065.05154200009</v>
      </c>
      <c r="P80" s="17">
        <v>303070.1009800001</v>
      </c>
      <c r="Q80" s="17">
        <v>1748.3605813011691</v>
      </c>
      <c r="R80" s="17">
        <v>16.188523900936751</v>
      </c>
      <c r="S80" s="17">
        <v>886.1738406695905</v>
      </c>
      <c r="T80" s="17">
        <v>869.78750675516255</v>
      </c>
      <c r="U80" s="17">
        <v>0.93318306456231048</v>
      </c>
      <c r="V80" s="17">
        <v>1.2838063410799196</v>
      </c>
      <c r="W80" s="17">
        <v>2244.5564007686153</v>
      </c>
      <c r="X80" s="17">
        <v>20.782929636746438</v>
      </c>
      <c r="Y80" s="17">
        <v>2136.2371210000001</v>
      </c>
      <c r="Z80" s="17">
        <v>19.779973342592594</v>
      </c>
      <c r="AA80" s="17">
        <v>1083.375076</v>
      </c>
      <c r="AB80" s="17">
        <v>1081.5356449999999</v>
      </c>
      <c r="AC80" s="17">
        <v>8.4965674665348198E-2</v>
      </c>
      <c r="AD80" s="17">
        <v>-3588.9802500341748</v>
      </c>
      <c r="AE80" s="17">
        <v>5.7348830409356716E-5</v>
      </c>
      <c r="AF80" s="17">
        <v>0.72943933076785683</v>
      </c>
      <c r="AG80" s="17">
        <v>6.4689089234460706</v>
      </c>
      <c r="AH80" s="17">
        <v>4296.8774949892486</v>
      </c>
      <c r="AI80" s="17">
        <v>39.785902731381931</v>
      </c>
      <c r="AJ80" s="17">
        <v>2.1165373942436538</v>
      </c>
      <c r="AK80" s="17">
        <v>2030.1448520000001</v>
      </c>
      <c r="AL80" s="17">
        <v>-0.01</v>
      </c>
      <c r="AM80" s="17">
        <v>0.441</v>
      </c>
      <c r="AN80" s="17">
        <v>0.441</v>
      </c>
      <c r="AO80" s="17">
        <v>0.43099999999999999</v>
      </c>
      <c r="AP80" s="17">
        <v>1.1467889908256892</v>
      </c>
      <c r="AQ80" s="17">
        <v>0.34200000000000003</v>
      </c>
      <c r="AR80" s="17">
        <v>0.34200000000000003</v>
      </c>
      <c r="AS80" s="17">
        <v>0.33900000000000002</v>
      </c>
      <c r="AT80" s="17">
        <v>0.44052863436123385</v>
      </c>
      <c r="AU80" s="17">
        <v>-4.0000000000000001E-3</v>
      </c>
      <c r="AV80" s="17">
        <v>2910.4063109999997</v>
      </c>
      <c r="AW80" s="17">
        <v>26.948206583333331</v>
      </c>
      <c r="AX80" s="17">
        <v>1436.9800720000001</v>
      </c>
      <c r="AY80" s="17">
        <v>1479.9002840000001</v>
      </c>
      <c r="AZ80" s="17">
        <v>-1.4714423206187888</v>
      </c>
      <c r="BA80" s="17">
        <v>1748.2154713310658</v>
      </c>
      <c r="BB80" s="17">
        <v>16.187180290102461</v>
      </c>
      <c r="BC80" s="17">
        <v>941.78945270748318</v>
      </c>
      <c r="BD80" s="17">
        <v>825.13107601160095</v>
      </c>
      <c r="BE80" s="17">
        <v>6.6023556124764058</v>
      </c>
      <c r="BF80" s="17">
        <v>4115.6170350000002</v>
      </c>
      <c r="BG80" s="17">
        <v>38.107565138888894</v>
      </c>
      <c r="BH80" s="17">
        <v>2033.751587</v>
      </c>
      <c r="BI80" s="17">
        <v>2190.6088260000001</v>
      </c>
      <c r="BJ80" s="17">
        <v>-3.7131594765751856</v>
      </c>
      <c r="BK80" s="17">
        <v>48.564780999999996</v>
      </c>
      <c r="BL80" s="17">
        <v>131.39360400000001</v>
      </c>
      <c r="BM80" s="17">
        <v>160.06720000000001</v>
      </c>
      <c r="BN80" s="17">
        <v>-9.8378909295810484</v>
      </c>
      <c r="BO80" s="17">
        <v>187.98339099999998</v>
      </c>
      <c r="BP80" s="17">
        <v>91.629276000000004</v>
      </c>
      <c r="BQ80" s="17">
        <v>97.075458999999995</v>
      </c>
      <c r="BR80" s="17">
        <v>-2.8860870926211741</v>
      </c>
      <c r="BS80" s="17">
        <v>7.6679122719298238</v>
      </c>
      <c r="BT80" s="17">
        <v>-109.57234342397663</v>
      </c>
      <c r="BU80" s="17">
        <v>118.26309776696165</v>
      </c>
      <c r="BV80" s="17">
        <v>-2621.5841824460499</v>
      </c>
      <c r="BW80" s="17">
        <v>20.950635505847952</v>
      </c>
      <c r="BX80" s="17">
        <v>6.7685467514619919</v>
      </c>
      <c r="BY80" s="17">
        <v>14.347065991150442</v>
      </c>
      <c r="BZ80" s="17">
        <v>-35.890595892557705</v>
      </c>
      <c r="CA80" s="17">
        <v>0.90030780589468207</v>
      </c>
      <c r="CB80" s="17">
        <v>0.82928411746535202</v>
      </c>
      <c r="CC80" s="17">
        <v>0.80791303016441518</v>
      </c>
      <c r="CD80" s="17">
        <v>-2538.2160697470963</v>
      </c>
      <c r="CE80" s="17">
        <v>-1050.7641802870814</v>
      </c>
      <c r="CF80" s="17">
        <v>41.444972828865524</v>
      </c>
      <c r="CG80" s="17">
        <v>1091.4377265317778</v>
      </c>
      <c r="CH80" s="17">
        <v>634.60344511445555</v>
      </c>
      <c r="CI80" s="17">
        <v>11411.686399361868</v>
      </c>
      <c r="CJ80" s="17">
        <v>10.10590487529424</v>
      </c>
      <c r="CK80" s="17">
        <v>5.875957825133848</v>
      </c>
      <c r="CL80" s="17">
        <v>105.66376295705433</v>
      </c>
      <c r="CM80" s="17">
        <v>48.065830523826122</v>
      </c>
      <c r="CN80" s="35"/>
      <c r="CO80" s="8"/>
      <c r="CP80" s="8"/>
      <c r="CQ80" s="8"/>
      <c r="CR80" s="8"/>
      <c r="CS80" s="8"/>
      <c r="CT80" s="8"/>
    </row>
    <row r="81" spans="1:98" s="19" customFormat="1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5"/>
      <c r="K81" s="17">
        <v>0.3857948368312501</v>
      </c>
      <c r="L81" s="17">
        <v>0.31566560017646939</v>
      </c>
      <c r="M81" s="17">
        <v>2.4886460325772184</v>
      </c>
      <c r="N81" s="17">
        <v>389355.954921</v>
      </c>
      <c r="O81" s="17">
        <v>189622.93943699985</v>
      </c>
      <c r="P81" s="17">
        <v>189617.96213299985</v>
      </c>
      <c r="Q81" s="17">
        <v>1469.3036176830192</v>
      </c>
      <c r="R81" s="17">
        <v>19.081865164714536</v>
      </c>
      <c r="S81" s="17">
        <v>718.29220845833333</v>
      </c>
      <c r="T81" s="17">
        <v>753.74535565660381</v>
      </c>
      <c r="U81" s="17">
        <v>-2.4084403864779556</v>
      </c>
      <c r="V81" s="17">
        <v>1.5263055922949755</v>
      </c>
      <c r="W81" s="17">
        <v>2242.6063284488309</v>
      </c>
      <c r="X81" s="17">
        <v>29.124757512322478</v>
      </c>
      <c r="Y81" s="17">
        <v>1848.3109359999999</v>
      </c>
      <c r="Z81" s="17">
        <v>24.004038129870128</v>
      </c>
      <c r="AA81" s="17">
        <v>898.83615899999995</v>
      </c>
      <c r="AB81" s="17">
        <v>949.47477700000002</v>
      </c>
      <c r="AC81" s="17">
        <v>-2.7397239833244198</v>
      </c>
      <c r="AD81" s="17">
        <v>-4267.1648918796482</v>
      </c>
      <c r="AE81" s="17">
        <v>1.4558295729481134</v>
      </c>
      <c r="AF81" s="17">
        <v>1.1911909440621486</v>
      </c>
      <c r="AG81" s="17">
        <v>9.3911171040649748</v>
      </c>
      <c r="AH81" s="17">
        <v>3575.7595486121409</v>
      </c>
      <c r="AI81" s="17">
        <v>46.438435696261571</v>
      </c>
      <c r="AJ81" s="17">
        <v>2.3580855237466745</v>
      </c>
      <c r="AK81" s="17">
        <v>1516.3824690000001</v>
      </c>
      <c r="AL81" s="17">
        <v>0.01</v>
      </c>
      <c r="AM81" s="17">
        <v>0.26100000000000001</v>
      </c>
      <c r="AN81" s="17">
        <v>0.251</v>
      </c>
      <c r="AO81" s="17">
        <v>0.26100000000000001</v>
      </c>
      <c r="AP81" s="17">
        <v>-1.9531250000000018</v>
      </c>
      <c r="AQ81" s="17">
        <v>0.26500000000000001</v>
      </c>
      <c r="AR81" s="17">
        <v>0.26400000000000001</v>
      </c>
      <c r="AS81" s="17">
        <v>0.26500000000000001</v>
      </c>
      <c r="AT81" s="17">
        <v>-0.18903591682419676</v>
      </c>
      <c r="AU81" s="17">
        <v>0.56100000000000005</v>
      </c>
      <c r="AV81" s="17">
        <v>1885.08168</v>
      </c>
      <c r="AW81" s="17">
        <v>24.481580259740259</v>
      </c>
      <c r="AX81" s="17">
        <v>954.81279800000004</v>
      </c>
      <c r="AY81" s="17">
        <v>1006.984314</v>
      </c>
      <c r="AZ81" s="17">
        <v>-2.6593736773734222</v>
      </c>
      <c r="BA81" s="17">
        <v>1585.1385246858238</v>
      </c>
      <c r="BB81" s="17">
        <v>20.586214606309401</v>
      </c>
      <c r="BC81" s="17">
        <v>803.48955029083663</v>
      </c>
      <c r="BD81" s="17">
        <v>812.52881252490431</v>
      </c>
      <c r="BE81" s="17">
        <v>-0.55935393075099216</v>
      </c>
      <c r="BF81" s="17">
        <v>2137.3913250000001</v>
      </c>
      <c r="BG81" s="17">
        <v>27.758328896103897</v>
      </c>
      <c r="BH81" s="17">
        <v>1015.387978</v>
      </c>
      <c r="BI81" s="17">
        <v>1130.623405</v>
      </c>
      <c r="BJ81" s="17">
        <v>-5.3697491035162912</v>
      </c>
      <c r="BK81" s="17">
        <v>32.514780000000002</v>
      </c>
      <c r="BL81" s="17">
        <v>110.00563</v>
      </c>
      <c r="BM81" s="17">
        <v>90.925963999999993</v>
      </c>
      <c r="BN81" s="17">
        <v>9.4956027671785659</v>
      </c>
      <c r="BO81" s="17">
        <v>77.544949000000003</v>
      </c>
      <c r="BP81" s="17">
        <v>31.973766999999999</v>
      </c>
      <c r="BQ81" s="17">
        <v>45.697420000000001</v>
      </c>
      <c r="BR81" s="17">
        <v>-17.66891112401823</v>
      </c>
      <c r="BS81" s="17">
        <v>8.0454842528301906</v>
      </c>
      <c r="BT81" s="17">
        <v>61.085501821969686</v>
      </c>
      <c r="BU81" s="17">
        <v>-52.818352966037736</v>
      </c>
      <c r="BV81" s="17">
        <v>1377.7888456221237</v>
      </c>
      <c r="BW81" s="17">
        <v>18.406905045283015</v>
      </c>
      <c r="BX81" s="17">
        <v>3.03574271969697</v>
      </c>
      <c r="BY81" s="17">
        <v>15.391056369811322</v>
      </c>
      <c r="BZ81" s="17">
        <v>-67.050786140871992</v>
      </c>
      <c r="CA81" s="17">
        <v>0.94380035865171619</v>
      </c>
      <c r="CB81" s="17">
        <v>0.86358832150275811</v>
      </c>
      <c r="CC81" s="17">
        <v>0.87420714912710373</v>
      </c>
      <c r="CD81" s="17">
        <v>-2506.1851539986005</v>
      </c>
      <c r="CE81" s="17">
        <v>-1760.9797378810438</v>
      </c>
      <c r="CF81" s="17">
        <v>17.463712675731664</v>
      </c>
      <c r="CG81" s="17">
        <v>2397.0487532230868</v>
      </c>
      <c r="CH81" s="17">
        <v>1384.2356893360381</v>
      </c>
      <c r="CI81" s="17">
        <v>4372.3043326827819</v>
      </c>
      <c r="CJ81" s="17">
        <v>31.130503288611518</v>
      </c>
      <c r="CK81" s="17">
        <v>17.977086874494002</v>
      </c>
      <c r="CL81" s="17">
        <v>56.783173151724441</v>
      </c>
      <c r="CM81" s="17">
        <v>17.283868940893839</v>
      </c>
      <c r="CN81" s="35"/>
      <c r="CO81" s="8"/>
      <c r="CP81" s="8"/>
      <c r="CQ81" s="8"/>
      <c r="CR81" s="8"/>
      <c r="CS81" s="8"/>
      <c r="CT81" s="8"/>
    </row>
    <row r="82" spans="1:98" s="19" customFormat="1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5"/>
      <c r="K82" s="17">
        <v>0.36143511823125002</v>
      </c>
      <c r="L82" s="17">
        <v>1.0450454103349949</v>
      </c>
      <c r="M82" s="17">
        <v>4.5281111901953777</v>
      </c>
      <c r="N82" s="17">
        <v>600282.09697499988</v>
      </c>
      <c r="O82" s="17">
        <v>283762.88775499992</v>
      </c>
      <c r="P82" s="17">
        <v>283756.64809099992</v>
      </c>
      <c r="Q82" s="17">
        <v>2077.1917861314882</v>
      </c>
      <c r="R82" s="17">
        <v>25.331607147944979</v>
      </c>
      <c r="S82" s="17">
        <v>981.94820556747425</v>
      </c>
      <c r="T82" s="17">
        <v>1114.6677041830983</v>
      </c>
      <c r="U82" s="17">
        <v>-6.3301770247185267</v>
      </c>
      <c r="V82" s="17">
        <v>2.8902188828119098</v>
      </c>
      <c r="W82" s="17">
        <v>6003.5389234990253</v>
      </c>
      <c r="X82" s="17">
        <v>73.213889310963722</v>
      </c>
      <c r="Y82" s="17">
        <v>2843.501221</v>
      </c>
      <c r="Z82" s="17">
        <v>34.676844158536582</v>
      </c>
      <c r="AA82" s="17">
        <v>1327.1006769999999</v>
      </c>
      <c r="AB82" s="17">
        <v>1523.32547</v>
      </c>
      <c r="AC82" s="17">
        <v>-6.8840511165855549</v>
      </c>
      <c r="AD82" s="17">
        <v>-3339.4323899247661</v>
      </c>
      <c r="AE82" s="17">
        <v>1.250640547512976</v>
      </c>
      <c r="AF82" s="17">
        <v>3.6160740842041346</v>
      </c>
      <c r="AG82" s="17">
        <v>15.66820481036463</v>
      </c>
      <c r="AH82" s="17">
        <v>7856.2393766007817</v>
      </c>
      <c r="AI82" s="17">
        <v>95.807797275619293</v>
      </c>
      <c r="AJ82" s="17">
        <v>4.1534403574950804</v>
      </c>
      <c r="AK82" s="17">
        <v>1891.501671</v>
      </c>
      <c r="AL82" s="17">
        <v>-0.01</v>
      </c>
      <c r="AM82" s="17">
        <v>0.189</v>
      </c>
      <c r="AN82" s="17">
        <v>0.189</v>
      </c>
      <c r="AO82" s="17">
        <v>0.17899999999999999</v>
      </c>
      <c r="AP82" s="17">
        <v>2.7173913043478284</v>
      </c>
      <c r="AQ82" s="17">
        <v>0.28899999999999998</v>
      </c>
      <c r="AR82" s="17">
        <v>0.28899999999999998</v>
      </c>
      <c r="AS82" s="17">
        <v>0.28399999999999997</v>
      </c>
      <c r="AT82" s="17">
        <v>0.8726003490401405</v>
      </c>
      <c r="AU82" s="17">
        <v>0.54300000000000004</v>
      </c>
      <c r="AV82" s="17">
        <v>2814.430832</v>
      </c>
      <c r="AW82" s="17">
        <v>34.322327219512196</v>
      </c>
      <c r="AX82" s="17">
        <v>1206.6535490000001</v>
      </c>
      <c r="AY82" s="17">
        <v>1663.014572</v>
      </c>
      <c r="AZ82" s="17">
        <v>-15.902919911204599</v>
      </c>
      <c r="BA82" s="17">
        <v>2028.7181672486772</v>
      </c>
      <c r="BB82" s="17">
        <v>24.74046545425216</v>
      </c>
      <c r="BC82" s="17">
        <v>961.86529292592593</v>
      </c>
      <c r="BD82" s="17">
        <v>1126.9298245251398</v>
      </c>
      <c r="BE82" s="17">
        <v>-7.902380191344009</v>
      </c>
      <c r="BF82" s="17">
        <v>7143.2604530000008</v>
      </c>
      <c r="BG82" s="17">
        <v>87.11293235365855</v>
      </c>
      <c r="BH82" s="17">
        <v>3409.4170530000001</v>
      </c>
      <c r="BI82" s="17">
        <v>3792.0561069999999</v>
      </c>
      <c r="BJ82" s="17">
        <v>-5.3133441658206468</v>
      </c>
      <c r="BK82" s="17">
        <v>61.693320999999997</v>
      </c>
      <c r="BL82" s="17">
        <v>139.00383400000001</v>
      </c>
      <c r="BM82" s="17">
        <v>194.70996099999999</v>
      </c>
      <c r="BN82" s="17">
        <v>-16.692785205358376</v>
      </c>
      <c r="BO82" s="17">
        <v>95.199950000000001</v>
      </c>
      <c r="BP82" s="17">
        <v>65.462363999999994</v>
      </c>
      <c r="BQ82" s="17">
        <v>62.144162999999999</v>
      </c>
      <c r="BR82" s="17">
        <v>2.600337990548081</v>
      </c>
      <c r="BS82" s="17">
        <v>-24.033880231833912</v>
      </c>
      <c r="BT82" s="17">
        <v>115.51776456747402</v>
      </c>
      <c r="BU82" s="17">
        <v>-142.09127912676053</v>
      </c>
      <c r="BV82" s="17">
        <v>-969.42029673756201</v>
      </c>
      <c r="BW82" s="17">
        <v>11.192194283737022</v>
      </c>
      <c r="BX82" s="17">
        <v>-16.743144705882351</v>
      </c>
      <c r="BY82" s="17">
        <v>28.891145366197186</v>
      </c>
      <c r="BZ82" s="17">
        <v>-375.65268020735232</v>
      </c>
      <c r="CA82" s="17">
        <v>0.94770911911139444</v>
      </c>
      <c r="CB82" s="17">
        <v>0.86649868096683658</v>
      </c>
      <c r="CC82" s="17">
        <v>0.85571448809675554</v>
      </c>
      <c r="CD82" s="17">
        <v>-1307.184438318503</v>
      </c>
      <c r="CE82" s="17">
        <v>-2032.247951606266</v>
      </c>
      <c r="CF82" s="17">
        <v>-21.712178257458216</v>
      </c>
      <c r="CG82" s="17">
        <v>2063.8671675382466</v>
      </c>
      <c r="CH82" s="17">
        <v>3308.9187083701613</v>
      </c>
      <c r="CI82" s="17">
        <v>8171.0855380594421</v>
      </c>
      <c r="CJ82" s="17">
        <v>25.16911179924691</v>
      </c>
      <c r="CK82" s="17">
        <v>40.35266717524587</v>
      </c>
      <c r="CL82" s="17">
        <v>99.647384610480998</v>
      </c>
      <c r="CM82" s="17">
        <v>17.615736630048414</v>
      </c>
      <c r="CN82" s="35"/>
      <c r="CO82" s="8"/>
      <c r="CP82" s="8"/>
      <c r="CQ82" s="8"/>
      <c r="CR82" s="8"/>
      <c r="CS82" s="8"/>
      <c r="CT82" s="8"/>
    </row>
    <row r="83" spans="1:98" s="19" customFormat="1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5"/>
      <c r="K83" s="17">
        <v>0.4296097231999999</v>
      </c>
      <c r="L83" s="17">
        <v>0.33642218284146269</v>
      </c>
      <c r="M83" s="17">
        <v>2.5691639160142152</v>
      </c>
      <c r="N83" s="17">
        <v>513102.09635999985</v>
      </c>
      <c r="O83" s="17">
        <v>254834.34740599999</v>
      </c>
      <c r="P83" s="17">
        <v>254822.53532599998</v>
      </c>
      <c r="Q83" s="17">
        <v>1757.2694274726023</v>
      </c>
      <c r="R83" s="17">
        <v>18.497572920764235</v>
      </c>
      <c r="S83" s="17">
        <v>872.74791246575342</v>
      </c>
      <c r="T83" s="17">
        <v>887.60169918213046</v>
      </c>
      <c r="U83" s="17">
        <v>-0.84379753988028783</v>
      </c>
      <c r="V83" s="17">
        <v>1.4661898856044275</v>
      </c>
      <c r="W83" s="17">
        <v>2576.4906608422125</v>
      </c>
      <c r="X83" s="17">
        <v>27.120954324654868</v>
      </c>
      <c r="Y83" s="17">
        <v>2326.8714749999999</v>
      </c>
      <c r="Z83" s="17">
        <v>24.493383947368422</v>
      </c>
      <c r="AA83" s="17">
        <v>1181.5686490000001</v>
      </c>
      <c r="AB83" s="17">
        <v>1145.4290920000001</v>
      </c>
      <c r="AC83" s="17">
        <v>1.5530550959825777</v>
      </c>
      <c r="AD83" s="17">
        <v>-5408.6692434995766</v>
      </c>
      <c r="AE83" s="17">
        <v>1.4712661753424656</v>
      </c>
      <c r="AF83" s="17">
        <v>1.1521307631556943</v>
      </c>
      <c r="AG83" s="17">
        <v>8.798506561692518</v>
      </c>
      <c r="AH83" s="17">
        <v>5034.7663001696228</v>
      </c>
      <c r="AI83" s="17">
        <v>52.997540001785502</v>
      </c>
      <c r="AJ83" s="17">
        <v>2.3204234956677841</v>
      </c>
      <c r="AK83" s="17">
        <v>2169.7618170000001</v>
      </c>
      <c r="AL83" s="17">
        <v>-8.0000000000000002E-3</v>
      </c>
      <c r="AM83" s="17">
        <v>0.30399999999999999</v>
      </c>
      <c r="AN83" s="17">
        <v>0.30399999999999999</v>
      </c>
      <c r="AO83" s="17">
        <v>0.29599999999999999</v>
      </c>
      <c r="AP83" s="17">
        <v>1.3333333333333346</v>
      </c>
      <c r="AQ83" s="17">
        <v>0.29199999999999998</v>
      </c>
      <c r="AR83" s="17">
        <v>0.29199999999999998</v>
      </c>
      <c r="AS83" s="17">
        <v>0.29099999999999998</v>
      </c>
      <c r="AT83" s="17">
        <v>0.1715265866209264</v>
      </c>
      <c r="AU83" s="17">
        <v>0.59199999999999997</v>
      </c>
      <c r="AV83" s="17">
        <v>2688.3030849999996</v>
      </c>
      <c r="AW83" s="17">
        <v>28.297927210526311</v>
      </c>
      <c r="AX83" s="17">
        <v>1150.8572240000001</v>
      </c>
      <c r="AY83" s="17">
        <v>1560.565063</v>
      </c>
      <c r="AZ83" s="17">
        <v>-15.110440043380816</v>
      </c>
      <c r="BA83" s="17">
        <v>1811.1050851809214</v>
      </c>
      <c r="BB83" s="17">
        <v>19.064264054536014</v>
      </c>
      <c r="BC83" s="17">
        <v>929.08282686184248</v>
      </c>
      <c r="BD83" s="17">
        <v>906.42735831418941</v>
      </c>
      <c r="BE83" s="17">
        <v>1.2342872695898626</v>
      </c>
      <c r="BF83" s="17">
        <v>3171.7687379999998</v>
      </c>
      <c r="BG83" s="17">
        <v>33.387039347368422</v>
      </c>
      <c r="BH83" s="17">
        <v>1264.6860280000001</v>
      </c>
      <c r="BI83" s="17">
        <v>1930.851181</v>
      </c>
      <c r="BJ83" s="17">
        <v>-20.846734349510744</v>
      </c>
      <c r="BK83" s="17">
        <v>57.635741999999993</v>
      </c>
      <c r="BL83" s="17">
        <v>208.32541699999999</v>
      </c>
      <c r="BM83" s="17">
        <v>186.03574800000001</v>
      </c>
      <c r="BN83" s="17">
        <v>5.652095332460024</v>
      </c>
      <c r="BO83" s="17">
        <v>206.792542</v>
      </c>
      <c r="BP83" s="17">
        <v>125.749054</v>
      </c>
      <c r="BQ83" s="17">
        <v>94.117928000000006</v>
      </c>
      <c r="BR83" s="17">
        <v>14.386483005438258</v>
      </c>
      <c r="BS83" s="17">
        <v>17.563968558219177</v>
      </c>
      <c r="BT83" s="17">
        <v>166.58725526027396</v>
      </c>
      <c r="BU83" s="17">
        <v>-149.545123742268</v>
      </c>
      <c r="BV83" s="17">
        <v>1855.0049251088722</v>
      </c>
      <c r="BW83" s="17">
        <v>-24.995091773972607</v>
      </c>
      <c r="BX83" s="17">
        <v>-2.636441811643838</v>
      </c>
      <c r="BY83" s="17">
        <v>-22.209349769759449</v>
      </c>
      <c r="BZ83" s="17">
        <v>-78.777558340164319</v>
      </c>
      <c r="CA83" s="17">
        <v>0.89795534728022175</v>
      </c>
      <c r="CB83" s="17">
        <v>0.77958236566930073</v>
      </c>
      <c r="CC83" s="17">
        <v>0.80348129741141761</v>
      </c>
      <c r="CD83" s="17">
        <v>-3139.4798289268051</v>
      </c>
      <c r="CE83" s="17">
        <v>-2269.1894145727706</v>
      </c>
      <c r="CF83" s="17">
        <v>16.090656965204435</v>
      </c>
      <c r="CG83" s="17">
        <v>804.94915557207605</v>
      </c>
      <c r="CH83" s="17">
        <v>1112.0485465258184</v>
      </c>
      <c r="CI83" s="17">
        <v>5371.2793850517119</v>
      </c>
      <c r="CJ83" s="17">
        <v>8.4731490060218526</v>
      </c>
      <c r="CK83" s="17">
        <v>11.705774173955984</v>
      </c>
      <c r="CL83" s="17">
        <v>56.539783000544332</v>
      </c>
      <c r="CM83" s="17">
        <v>37.552575810104386</v>
      </c>
      <c r="CN83" s="35"/>
      <c r="CO83" s="8"/>
      <c r="CP83" s="8"/>
      <c r="CQ83" s="8"/>
      <c r="CR83" s="8"/>
      <c r="CS83" s="8"/>
      <c r="CT83" s="8"/>
    </row>
    <row r="84" spans="1:98" s="19" customFormat="1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0"/>
      <c r="K84" s="17">
        <v>0.40811477223124992</v>
      </c>
      <c r="L84" s="17">
        <v>0.39272186486454819</v>
      </c>
      <c r="M84" s="17">
        <v>2.7758247402605294</v>
      </c>
      <c r="N84" s="17">
        <v>498932.84830999991</v>
      </c>
      <c r="O84" s="17">
        <v>247169.58772800001</v>
      </c>
      <c r="P84" s="17">
        <v>247166.521997</v>
      </c>
      <c r="Q84" s="17">
        <v>1569.0371745754717</v>
      </c>
      <c r="R84" s="17">
        <v>18.459260877358492</v>
      </c>
      <c r="S84" s="17">
        <v>777.28003755345912</v>
      </c>
      <c r="T84" s="17">
        <v>796.81322828164559</v>
      </c>
      <c r="U84" s="17">
        <v>-1.2409169870772245</v>
      </c>
      <c r="V84" s="17">
        <v>1.7424803076603868</v>
      </c>
      <c r="W84" s="17">
        <v>2734.016378684852</v>
      </c>
      <c r="X84" s="17">
        <v>32.164898572762965</v>
      </c>
      <c r="Y84" s="17">
        <v>2057.5560719999999</v>
      </c>
      <c r="Z84" s="17">
        <v>24.206542023529408</v>
      </c>
      <c r="AA84" s="17">
        <v>1014.540405</v>
      </c>
      <c r="AB84" s="17">
        <v>1054.340794</v>
      </c>
      <c r="AC84" s="17">
        <v>-1.9237638690533625</v>
      </c>
      <c r="AD84" s="17">
        <v>-3786.9320414354193</v>
      </c>
      <c r="AE84" s="17">
        <v>1.2833797868907231</v>
      </c>
      <c r="AF84" s="17">
        <v>1.2349744178130446</v>
      </c>
      <c r="AG84" s="17">
        <v>8.7290086171714751</v>
      </c>
      <c r="AH84" s="17">
        <v>4368.8769709904536</v>
      </c>
      <c r="AI84" s="17">
        <v>51.398552599887687</v>
      </c>
      <c r="AJ84" s="17">
        <v>2.670815892015816</v>
      </c>
      <c r="AK84" s="17">
        <v>1635.783651</v>
      </c>
      <c r="AL84" s="17">
        <v>-3.0000000000000001E-3</v>
      </c>
      <c r="AM84" s="17">
        <v>0.26700000000000002</v>
      </c>
      <c r="AN84" s="17">
        <v>0.26700000000000002</v>
      </c>
      <c r="AO84" s="17">
        <v>0.26400000000000001</v>
      </c>
      <c r="AP84" s="17">
        <v>0.56497175141242983</v>
      </c>
      <c r="AQ84" s="17">
        <v>0.318</v>
      </c>
      <c r="AR84" s="17">
        <v>0.318</v>
      </c>
      <c r="AS84" s="17">
        <v>0.316</v>
      </c>
      <c r="AT84" s="17">
        <v>0.31545741324921167</v>
      </c>
      <c r="AU84" s="17">
        <v>0.57699999999999996</v>
      </c>
      <c r="AV84" s="17">
        <v>2215.080551</v>
      </c>
      <c r="AW84" s="17">
        <v>26.059771188235295</v>
      </c>
      <c r="AX84" s="17">
        <v>1276.17347</v>
      </c>
      <c r="AY84" s="17">
        <v>6.7806749999999996</v>
      </c>
      <c r="AZ84" s="17">
        <v>98.94295910318759</v>
      </c>
      <c r="BA84" s="17">
        <v>1731.4326483632958</v>
      </c>
      <c r="BB84" s="17">
        <v>20.369795863097597</v>
      </c>
      <c r="BC84" s="17">
        <v>886.26036730337069</v>
      </c>
      <c r="BD84" s="17">
        <v>854.96750490530314</v>
      </c>
      <c r="BE84" s="17">
        <v>1.7971721506142599</v>
      </c>
      <c r="BF84" s="17">
        <v>1199.3859520000001</v>
      </c>
      <c r="BG84" s="17">
        <v>14.110422964705883</v>
      </c>
      <c r="BH84" s="17">
        <v>496.25161000000003</v>
      </c>
      <c r="BI84" s="17">
        <v>718.98595</v>
      </c>
      <c r="BJ84" s="17">
        <v>-18.328460815513303</v>
      </c>
      <c r="BK84" s="17">
        <v>21.135507000000004</v>
      </c>
      <c r="BL84" s="17">
        <v>81.530400999999998</v>
      </c>
      <c r="BM84" s="17">
        <v>85.497814000000005</v>
      </c>
      <c r="BN84" s="17">
        <v>-2.375295096100984</v>
      </c>
      <c r="BO84" s="17">
        <v>127.390125</v>
      </c>
      <c r="BP84" s="17">
        <v>74.984162999999995</v>
      </c>
      <c r="BQ84" s="17">
        <v>56.283208000000002</v>
      </c>
      <c r="BR84" s="17">
        <v>14.246461140750654</v>
      </c>
      <c r="BS84" s="17">
        <v>6.9990074025157236</v>
      </c>
      <c r="BT84" s="17">
        <v>-53.882341751572334</v>
      </c>
      <c r="BU84" s="17">
        <v>61.248640443037964</v>
      </c>
      <c r="BV84" s="17">
        <v>-1562.9420828128725</v>
      </c>
      <c r="BW84" s="17">
        <v>-47.002481572327042</v>
      </c>
      <c r="BX84" s="17">
        <v>-23.999407820754715</v>
      </c>
      <c r="BY84" s="17">
        <v>-22.983962560126574</v>
      </c>
      <c r="BZ84" s="17">
        <v>2.1612865411659592</v>
      </c>
      <c r="CA84" s="17">
        <v>0.93267446453560732</v>
      </c>
      <c r="CB84" s="17">
        <v>0.86634738065826855</v>
      </c>
      <c r="CC84" s="17">
        <v>0.88146606800122096</v>
      </c>
      <c r="CD84" s="17">
        <v>-1869.8730715652857</v>
      </c>
      <c r="CE84" s="17">
        <v>-1917.0589698701369</v>
      </c>
      <c r="CF84" s="17">
        <v>-1.2460191465956587</v>
      </c>
      <c r="CG84" s="17">
        <v>2641.0569304362948</v>
      </c>
      <c r="CH84" s="17">
        <v>13.398627855739102</v>
      </c>
      <c r="CI84" s="17">
        <v>5750.7866975766583</v>
      </c>
      <c r="CJ84" s="17">
        <v>31.071258005132879</v>
      </c>
      <c r="CK84" s="17">
        <v>0.1576309159498718</v>
      </c>
      <c r="CL84" s="17">
        <v>67.656314089137155</v>
      </c>
      <c r="CM84" s="17">
        <v>32.723276752746862</v>
      </c>
      <c r="CN84" s="27"/>
    </row>
    <row r="85" spans="1:98" s="19" customFormat="1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0"/>
      <c r="K85" s="17">
        <v>0.46666047273125</v>
      </c>
      <c r="L85" s="17">
        <v>0.41579698138978693</v>
      </c>
      <c r="M85" s="17">
        <v>2.8562102119535284</v>
      </c>
      <c r="N85" s="17">
        <v>447446.96939099993</v>
      </c>
      <c r="O85" s="17">
        <v>222113.66048700002</v>
      </c>
      <c r="P85" s="17">
        <v>222106.87981200003</v>
      </c>
      <c r="Q85" s="17">
        <v>1833.8351962090157</v>
      </c>
      <c r="R85" s="17">
        <v>21.323665072197858</v>
      </c>
      <c r="S85" s="17">
        <v>910.32465110655744</v>
      </c>
      <c r="T85" s="17">
        <v>946.89325170588245</v>
      </c>
      <c r="U85" s="17">
        <v>-1.9689989281251326</v>
      </c>
      <c r="V85" s="17">
        <v>1.7713899121609034</v>
      </c>
      <c r="W85" s="17">
        <v>3248.4371671302615</v>
      </c>
      <c r="X85" s="17">
        <v>37.77252519918909</v>
      </c>
      <c r="Y85" s="17">
        <v>2356.1221999999998</v>
      </c>
      <c r="Z85" s="17">
        <v>27.396769767441857</v>
      </c>
      <c r="AA85" s="17">
        <v>1094.195328</v>
      </c>
      <c r="AB85" s="17">
        <v>1261.926872</v>
      </c>
      <c r="AC85" s="17">
        <v>-7.1189662403758183</v>
      </c>
      <c r="AD85" s="17">
        <v>-2150.0918050444288</v>
      </c>
      <c r="AE85" s="17">
        <v>1.9125429210297131</v>
      </c>
      <c r="AF85" s="17">
        <v>1.7040859893024054</v>
      </c>
      <c r="AG85" s="17">
        <v>11.705779557186592</v>
      </c>
      <c r="AH85" s="17">
        <v>5215.3896264106588</v>
      </c>
      <c r="AI85" s="17">
        <v>60.64406542337975</v>
      </c>
      <c r="AJ85" s="17">
        <v>2.6222935501439766</v>
      </c>
      <c r="AK85" s="17">
        <v>1988.865673</v>
      </c>
      <c r="AL85" s="17">
        <v>-1.7999999999999999E-2</v>
      </c>
      <c r="AM85" s="17">
        <v>0.248</v>
      </c>
      <c r="AN85" s="17">
        <v>0.248</v>
      </c>
      <c r="AO85" s="17">
        <v>0.23</v>
      </c>
      <c r="AP85" s="17">
        <v>3.7656903765690357</v>
      </c>
      <c r="AQ85" s="17">
        <v>0.24399999999999999</v>
      </c>
      <c r="AR85" s="17">
        <v>0.24399999999999999</v>
      </c>
      <c r="AS85" s="17">
        <v>0.23799999999999999</v>
      </c>
      <c r="AT85" s="17">
        <v>1.2448132780082999</v>
      </c>
      <c r="AU85" s="17">
        <v>0.61699999999999999</v>
      </c>
      <c r="AV85" s="17">
        <v>2489.0847170000002</v>
      </c>
      <c r="AW85" s="17">
        <v>28.942845546511631</v>
      </c>
      <c r="AX85" s="17">
        <v>1168.7827150000001</v>
      </c>
      <c r="AY85" s="17">
        <v>1326.7219540000001</v>
      </c>
      <c r="AZ85" s="17">
        <v>-6.3289498497828722</v>
      </c>
      <c r="BA85" s="17">
        <v>1823.246846794355</v>
      </c>
      <c r="BB85" s="17">
        <v>21.200544730166918</v>
      </c>
      <c r="BC85" s="17">
        <v>895.71587395967754</v>
      </c>
      <c r="BD85" s="17">
        <v>1000.3512632043476</v>
      </c>
      <c r="BE85" s="17">
        <v>-5.5185487472334271</v>
      </c>
      <c r="BF85" s="17">
        <v>3496.3575700000001</v>
      </c>
      <c r="BG85" s="17">
        <v>40.655320581395351</v>
      </c>
      <c r="BH85" s="17">
        <v>1961.959351</v>
      </c>
      <c r="BI85" s="17">
        <v>1561.196273</v>
      </c>
      <c r="BJ85" s="17">
        <v>11.375117104392773</v>
      </c>
      <c r="BK85" s="17">
        <v>40.828316999999998</v>
      </c>
      <c r="BL85" s="17">
        <v>140.374393</v>
      </c>
      <c r="BM85" s="17">
        <v>131.285404</v>
      </c>
      <c r="BN85" s="17">
        <v>3.345724726430535</v>
      </c>
      <c r="BO85" s="17">
        <v>244.464967</v>
      </c>
      <c r="BP85" s="17">
        <v>120.789783</v>
      </c>
      <c r="BQ85" s="17">
        <v>125.13591</v>
      </c>
      <c r="BR85" s="17">
        <v>-1.7672521105795953</v>
      </c>
      <c r="BS85" s="17">
        <v>-4.0683751188524617</v>
      </c>
      <c r="BT85" s="17">
        <v>89.333453090163928</v>
      </c>
      <c r="BU85" s="17">
        <v>-95.787486857142852</v>
      </c>
      <c r="BV85" s="17">
        <v>-2868.2982864832497</v>
      </c>
      <c r="BW85" s="17">
        <v>90.690785389344271</v>
      </c>
      <c r="BX85" s="17">
        <v>38.52118579918033</v>
      </c>
      <c r="BY85" s="17">
        <v>53.73143707142858</v>
      </c>
      <c r="BZ85" s="17">
        <v>-16.487608480879448</v>
      </c>
      <c r="CA85" s="17">
        <v>0.89199227242812673</v>
      </c>
      <c r="CB85" s="17">
        <v>0.80731003454859018</v>
      </c>
      <c r="CC85" s="17">
        <v>0.83111823996343881</v>
      </c>
      <c r="CD85" s="17">
        <v>-842.69665501025281</v>
      </c>
      <c r="CE85" s="17">
        <v>-1307.3951500341693</v>
      </c>
      <c r="CF85" s="17">
        <v>-21.612960615619649</v>
      </c>
      <c r="CG85" s="17">
        <v>2624.5823634434664</v>
      </c>
      <c r="CH85" s="17">
        <v>2215.1868799668655</v>
      </c>
      <c r="CI85" s="17">
        <v>5681.7750271276982</v>
      </c>
      <c r="CJ85" s="17">
        <v>30.518399574924029</v>
      </c>
      <c r="CK85" s="17">
        <v>25.7579869763589</v>
      </c>
      <c r="CL85" s="17">
        <v>66.06715147822905</v>
      </c>
      <c r="CM85" s="17">
        <v>31.80533830741447</v>
      </c>
      <c r="CN85" s="27"/>
    </row>
    <row r="86" spans="1:98" s="19" customFormat="1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0"/>
      <c r="K86" s="17">
        <v>0.39548258119999996</v>
      </c>
      <c r="L86" s="17">
        <v>0.33304954823122196</v>
      </c>
      <c r="M86" s="17">
        <v>2.5562535352144895</v>
      </c>
      <c r="N86" s="17">
        <v>418734.76066899975</v>
      </c>
      <c r="O86" s="17">
        <v>213703.04477800016</v>
      </c>
      <c r="P86" s="17">
        <v>213702.61196900017</v>
      </c>
      <c r="Q86" s="17">
        <v>1836.5582616096492</v>
      </c>
      <c r="R86" s="17">
        <v>20.869980245564197</v>
      </c>
      <c r="S86" s="17">
        <v>937.29437242543861</v>
      </c>
      <c r="T86" s="17">
        <v>923.57904136936929</v>
      </c>
      <c r="U86" s="17">
        <v>0.73703729412202024</v>
      </c>
      <c r="V86" s="17">
        <v>1.6646989749555807</v>
      </c>
      <c r="W86" s="17">
        <v>3057.3166555477865</v>
      </c>
      <c r="X86" s="17">
        <v>34.742234722133936</v>
      </c>
      <c r="Y86" s="17">
        <v>2314.8069379999997</v>
      </c>
      <c r="Z86" s="17">
        <v>26.304624295454541</v>
      </c>
      <c r="AA86" s="17">
        <v>1156.4296260000001</v>
      </c>
      <c r="AB86" s="17">
        <v>1193.7413939999999</v>
      </c>
      <c r="AC86" s="17">
        <v>-1.5876192703627077</v>
      </c>
      <c r="AD86" s="17">
        <v>-1750.133839576207</v>
      </c>
      <c r="AE86" s="17">
        <v>1.7345727245614033</v>
      </c>
      <c r="AF86" s="17">
        <v>1.4607436325930787</v>
      </c>
      <c r="AG86" s="17">
        <v>11.211638312344252</v>
      </c>
      <c r="AH86" s="17">
        <v>4688.1837244748576</v>
      </c>
      <c r="AI86" s="17">
        <v>53.274815050850655</v>
      </c>
      <c r="AJ86" s="17">
        <v>2.4235354475130206</v>
      </c>
      <c r="AK86" s="17">
        <v>1934.4399229999999</v>
      </c>
      <c r="AL86" s="17">
        <v>4.0000000000000001E-3</v>
      </c>
      <c r="AM86" s="17">
        <v>0.19800000000000001</v>
      </c>
      <c r="AN86" s="17">
        <v>0.19400000000000001</v>
      </c>
      <c r="AO86" s="17">
        <v>0.19800000000000001</v>
      </c>
      <c r="AP86" s="17">
        <v>-1.0204081632653068</v>
      </c>
      <c r="AQ86" s="17">
        <v>0.22800000000000001</v>
      </c>
      <c r="AR86" s="17">
        <v>0.22800000000000001</v>
      </c>
      <c r="AS86" s="17">
        <v>0.222</v>
      </c>
      <c r="AT86" s="17">
        <v>1.3333333333333344</v>
      </c>
      <c r="AU86" s="17">
        <v>0.56799999999999995</v>
      </c>
      <c r="AV86" s="17">
        <v>3181.9217989999997</v>
      </c>
      <c r="AW86" s="17">
        <v>36.158202261363634</v>
      </c>
      <c r="AX86" s="17">
        <v>1610.662693</v>
      </c>
      <c r="AY86" s="17">
        <v>1633.799988</v>
      </c>
      <c r="AZ86" s="17">
        <v>-0.71313179638326663</v>
      </c>
      <c r="BA86" s="17">
        <v>2113.1496236666667</v>
      </c>
      <c r="BB86" s="17">
        <v>24.013063905303031</v>
      </c>
      <c r="BC86" s="17">
        <v>1036.0327918969072</v>
      </c>
      <c r="BD86" s="17">
        <v>1098.060904459596</v>
      </c>
      <c r="BE86" s="17">
        <v>-2.9065318298155454</v>
      </c>
      <c r="BF86" s="17">
        <v>5516.4215180000001</v>
      </c>
      <c r="BG86" s="17">
        <v>62.686608159090909</v>
      </c>
      <c r="BH86" s="17">
        <v>2845.9717559999999</v>
      </c>
      <c r="BI86" s="17">
        <v>2701.395544</v>
      </c>
      <c r="BJ86" s="17">
        <v>2.6062130769671579</v>
      </c>
      <c r="BK86" s="17">
        <v>24.958652999999998</v>
      </c>
      <c r="BL86" s="17">
        <v>108.364559</v>
      </c>
      <c r="BM86" s="17">
        <v>109.915459</v>
      </c>
      <c r="BN86" s="17">
        <v>-0.7105093788291692</v>
      </c>
      <c r="BO86" s="17">
        <v>128.81478799999999</v>
      </c>
      <c r="BP86" s="17">
        <v>75.254672999999997</v>
      </c>
      <c r="BQ86" s="17">
        <v>69.952759</v>
      </c>
      <c r="BR86" s="17">
        <v>3.6512690342185774</v>
      </c>
      <c r="BS86" s="17">
        <v>1.8931440833333317</v>
      </c>
      <c r="BT86" s="17">
        <v>-84.13049718421054</v>
      </c>
      <c r="BU86" s="17">
        <v>88.377442234234223</v>
      </c>
      <c r="BV86" s="17">
        <v>-4061.9301023798926</v>
      </c>
      <c r="BW86" s="17">
        <v>38.845401206140352</v>
      </c>
      <c r="BX86" s="17">
        <v>39.211374662280704</v>
      </c>
      <c r="BY86" s="17">
        <v>-0.39138011711711418</v>
      </c>
      <c r="BZ86" s="17">
        <v>102.01638419429338</v>
      </c>
      <c r="CA86" s="17">
        <v>0.93770774396971734</v>
      </c>
      <c r="CB86" s="17">
        <v>0.86297571845697585</v>
      </c>
      <c r="CC86" s="17">
        <v>0.86905433943629096</v>
      </c>
      <c r="CD86" s="17">
        <v>-462.85765379357298</v>
      </c>
      <c r="CE86" s="17">
        <v>-1287.276185782637</v>
      </c>
      <c r="CF86" s="17">
        <v>-47.106027741780856</v>
      </c>
      <c r="CG86" s="17">
        <v>4983.788002733545</v>
      </c>
      <c r="CH86" s="17">
        <v>4253.3861031609949</v>
      </c>
      <c r="CI86" s="17">
        <v>11577.935641574031</v>
      </c>
      <c r="CJ86" s="17">
        <v>56.63395457651756</v>
      </c>
      <c r="CK86" s="17">
        <v>48.333932990465854</v>
      </c>
      <c r="CL86" s="17">
        <v>131.56745047243217</v>
      </c>
      <c r="CM86" s="17">
        <v>36.156719607677566</v>
      </c>
      <c r="CN86" s="27"/>
    </row>
    <row r="87" spans="1:98" s="19" customFormat="1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0"/>
      <c r="K87" s="34">
        <v>0.346588114</v>
      </c>
      <c r="L87" s="17">
        <v>0.47923371454054303</v>
      </c>
      <c r="M87" s="17">
        <v>2.0663602983481</v>
      </c>
      <c r="N87" s="17">
        <v>407225.10600899986</v>
      </c>
      <c r="O87" s="17">
        <v>193993.04780099992</v>
      </c>
      <c r="P87" s="17">
        <v>193992.29038499991</v>
      </c>
      <c r="Q87" s="17">
        <v>484.78571722500004</v>
      </c>
      <c r="R87" s="17">
        <v>6.136528066139241</v>
      </c>
      <c r="S87" s="17">
        <v>631.8958889674268</v>
      </c>
      <c r="T87" s="17">
        <v>253.76578523809508</v>
      </c>
      <c r="U87" s="17">
        <v>42.694644551321623</v>
      </c>
      <c r="V87" s="17">
        <v>0.14621445865754298</v>
      </c>
      <c r="W87" s="17">
        <v>70.882681208962097</v>
      </c>
      <c r="X87" s="17">
        <v>0.89724912922736832</v>
      </c>
      <c r="Y87" s="17">
        <v>1763.7869110000001</v>
      </c>
      <c r="Z87" s="17">
        <v>22.32641659493671</v>
      </c>
      <c r="AA87" s="17">
        <v>867.40336600000001</v>
      </c>
      <c r="AB87" s="17">
        <v>896.52781700000003</v>
      </c>
      <c r="AC87" s="17">
        <v>-1.6511103880178992</v>
      </c>
      <c r="AD87" s="17">
        <v>-4568.4898903486355</v>
      </c>
      <c r="AE87" s="17">
        <v>2.3349166666666663E-5</v>
      </c>
      <c r="AF87" s="17">
        <v>0.57051632683397979</v>
      </c>
      <c r="AG87" s="17">
        <v>-3.6504289266048819</v>
      </c>
      <c r="AH87" s="17">
        <v>3344.5314534085555</v>
      </c>
      <c r="AI87" s="17">
        <v>42.33584118238678</v>
      </c>
      <c r="AJ87" s="17">
        <v>2.0165050756321392</v>
      </c>
      <c r="AK87" s="17">
        <v>1658.5782469999999</v>
      </c>
      <c r="AL87" s="17">
        <v>1.6E-2</v>
      </c>
      <c r="AM87" s="17">
        <v>0.34699999999999998</v>
      </c>
      <c r="AN87" s="17">
        <v>0.33100000000000002</v>
      </c>
      <c r="AO87" s="17">
        <v>0.34699999999999998</v>
      </c>
      <c r="AP87" s="17">
        <v>-2.3598820058996992</v>
      </c>
      <c r="AQ87" s="17">
        <v>0.84</v>
      </c>
      <c r="AR87" s="17">
        <v>0.307</v>
      </c>
      <c r="AS87" s="17">
        <v>0.84</v>
      </c>
      <c r="AT87" s="17">
        <v>-46.469049694856139</v>
      </c>
      <c r="AU87" s="17">
        <v>4.0000000000000001E-3</v>
      </c>
      <c r="AV87" s="17">
        <v>2479.5629349999999</v>
      </c>
      <c r="AW87" s="17">
        <v>31.386872594936708</v>
      </c>
      <c r="AX87" s="17">
        <v>1141.137039</v>
      </c>
      <c r="AY87" s="17">
        <v>710.816689</v>
      </c>
      <c r="AZ87" s="17">
        <v>23.236020614009636</v>
      </c>
      <c r="BA87" s="17">
        <v>1414.1954864755044</v>
      </c>
      <c r="BB87" s="17">
        <v>17.901208689563347</v>
      </c>
      <c r="BC87" s="17">
        <v>690.8909116374623</v>
      </c>
      <c r="BD87" s="17">
        <v>754.66905714121026</v>
      </c>
      <c r="BE87" s="17">
        <v>-4.4120027450423223</v>
      </c>
      <c r="BF87" s="17">
        <v>2596.331177</v>
      </c>
      <c r="BG87" s="17">
        <v>32.864951607594939</v>
      </c>
      <c r="BH87" s="17">
        <v>1309.5358430000001</v>
      </c>
      <c r="BI87" s="17">
        <v>1296.2449799999999</v>
      </c>
      <c r="BJ87" s="17">
        <v>0.5100529899785885</v>
      </c>
      <c r="BK87" s="17">
        <v>15.418823000000003</v>
      </c>
      <c r="BL87" s="17">
        <v>132.5658</v>
      </c>
      <c r="BM87" s="17">
        <v>141.131809</v>
      </c>
      <c r="BN87" s="17">
        <v>-3.129734684675308</v>
      </c>
      <c r="BO87" s="17">
        <v>133.90029200000001</v>
      </c>
      <c r="BP87" s="17">
        <v>73.379163000000005</v>
      </c>
      <c r="BQ87" s="17">
        <v>60.737533999999997</v>
      </c>
      <c r="BR87" s="17">
        <v>9.4258427792924309</v>
      </c>
      <c r="BS87" s="17">
        <v>1.4263161190476266</v>
      </c>
      <c r="BT87" s="17">
        <v>-90.748503889250827</v>
      </c>
      <c r="BU87" s="17">
        <v>34.648981591666562</v>
      </c>
      <c r="BV87" s="17">
        <v>223.52683293047795</v>
      </c>
      <c r="BW87" s="17">
        <v>3.3153901690476264</v>
      </c>
      <c r="BX87" s="17">
        <v>7.4713599153094465</v>
      </c>
      <c r="BY87" s="17">
        <v>1.0415111535714223</v>
      </c>
      <c r="BZ87" s="17">
        <v>75.530907372044979</v>
      </c>
      <c r="CA87" s="17">
        <v>0.92194937814701128</v>
      </c>
      <c r="CB87" s="17">
        <v>0.80812849152905331</v>
      </c>
      <c r="CC87" s="17">
        <v>0.81621461676029816</v>
      </c>
      <c r="CD87" s="17">
        <v>-2896.3801052768504</v>
      </c>
      <c r="CE87" s="17">
        <v>-1672.1097850717847</v>
      </c>
      <c r="CF87" s="17">
        <v>26.79814007669037</v>
      </c>
      <c r="CG87" s="17">
        <v>670.72959246621008</v>
      </c>
      <c r="CH87" s="17">
        <v>2546.7574282525525</v>
      </c>
      <c r="CI87" s="17">
        <v>9058.8967695441825</v>
      </c>
      <c r="CJ87" s="17">
        <v>8.4902480059013943</v>
      </c>
      <c r="CK87" s="17">
        <v>32.237435800665224</v>
      </c>
      <c r="CL87" s="17">
        <v>114.66957936131877</v>
      </c>
      <c r="CM87" s="17">
        <v>50.382557117873681</v>
      </c>
      <c r="CN87" s="27"/>
    </row>
    <row r="88" spans="1:98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0"/>
      <c r="K88" s="8"/>
      <c r="L88" s="14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17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</row>
    <row r="89" spans="1:98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0"/>
      <c r="K89" s="17">
        <v>0.20305772073124997</v>
      </c>
      <c r="L89" s="17">
        <v>0.16256452549299272</v>
      </c>
      <c r="M89" s="17">
        <v>1.7859216080703311</v>
      </c>
      <c r="N89" s="17">
        <v>283663.54014499986</v>
      </c>
      <c r="O89" s="17">
        <v>162460.04315899996</v>
      </c>
      <c r="P89" s="17">
        <v>162456.88725899995</v>
      </c>
      <c r="Q89" s="17">
        <v>1009.5148579679718</v>
      </c>
      <c r="R89" s="17">
        <v>41</v>
      </c>
      <c r="S89" s="17">
        <v>578.16393123131684</v>
      </c>
      <c r="T89" s="17">
        <v>479.67215028853758</v>
      </c>
      <c r="U89" s="17">
        <v>9.3106845817993289</v>
      </c>
      <c r="V89" s="17">
        <v>1.2618351722710721</v>
      </c>
      <c r="W89" s="17">
        <v>1273.8413547142227</v>
      </c>
      <c r="X89" s="17">
        <f>W89/D89</f>
        <v>20.219704043082899</v>
      </c>
      <c r="Y89" s="17">
        <v>1530.4307859999999</v>
      </c>
      <c r="Z89" s="17">
        <f>Y89/D89</f>
        <v>24.292552158730157</v>
      </c>
      <c r="AA89" s="17">
        <v>902.60520899999995</v>
      </c>
      <c r="AB89" s="17">
        <v>627.82557699999995</v>
      </c>
      <c r="AC89" s="17">
        <v>17.954397841027227</v>
      </c>
      <c r="AD89" s="17">
        <v>-6023.4148348188237</v>
      </c>
      <c r="AE89" s="17">
        <v>0.7226253406806048</v>
      </c>
      <c r="AF89" s="17">
        <v>0.57852144303556119</v>
      </c>
      <c r="AG89" s="17">
        <v>6.355592911282316</v>
      </c>
      <c r="AH89" s="17">
        <v>2092.9307568765526</v>
      </c>
      <c r="AI89" s="17">
        <f>AH89/D89</f>
        <v>33.221123125024647</v>
      </c>
      <c r="AJ89" s="17">
        <v>1.8380252038025313</v>
      </c>
      <c r="AK89" s="17">
        <v>1138.684471</v>
      </c>
      <c r="AL89" s="17">
        <v>-1.2E-2</v>
      </c>
      <c r="AM89" s="17">
        <v>0.26500000000000001</v>
      </c>
      <c r="AN89" s="17">
        <v>0.26500000000000001</v>
      </c>
      <c r="AO89" s="17">
        <v>0.253</v>
      </c>
      <c r="AP89" s="17">
        <v>2.3166023166023186</v>
      </c>
      <c r="AQ89" s="17">
        <v>0.28100000000000003</v>
      </c>
      <c r="AR89" s="17">
        <v>0.28100000000000003</v>
      </c>
      <c r="AS89" s="17">
        <v>0.253</v>
      </c>
      <c r="AT89" s="17">
        <v>5.2434456928838999</v>
      </c>
      <c r="AU89" s="17">
        <v>0.40699999999999997</v>
      </c>
      <c r="AV89" s="17">
        <v>2112.9556419999999</v>
      </c>
      <c r="AW89" s="17">
        <f>AV89/D89</f>
        <v>33.538978444444446</v>
      </c>
      <c r="AX89" s="17">
        <v>1450.9922489999999</v>
      </c>
      <c r="AY89" s="17">
        <v>924.82271600000001</v>
      </c>
      <c r="AZ89" s="17">
        <v>22.146907092994084</v>
      </c>
      <c r="BA89" s="17">
        <v>1289.6773229660378</v>
      </c>
      <c r="BB89" s="17">
        <f>BA89/D89</f>
        <v>20.471068618508536</v>
      </c>
      <c r="BC89" s="17">
        <v>764.17503198113207</v>
      </c>
      <c r="BD89" s="17">
        <v>550.72375220158096</v>
      </c>
      <c r="BE89" s="17">
        <v>16.233285964457231</v>
      </c>
      <c r="BF89" s="17">
        <v>3792.8497280000001</v>
      </c>
      <c r="BG89" s="17">
        <f>BF89/D89</f>
        <v>60.20396393650794</v>
      </c>
      <c r="BH89" s="17">
        <v>2363.9126889999998</v>
      </c>
      <c r="BI89" s="17">
        <v>1456.871212</v>
      </c>
      <c r="BJ89" s="17">
        <v>23.739669672566489</v>
      </c>
      <c r="BK89" s="17">
        <v>48.564780999999996</v>
      </c>
      <c r="BL89" s="17">
        <v>84.848602</v>
      </c>
      <c r="BM89" s="17">
        <v>127.552425</v>
      </c>
      <c r="BN89" s="17">
        <v>-20.105280846876507</v>
      </c>
      <c r="BO89" s="17">
        <v>118.42737199999999</v>
      </c>
      <c r="BP89" s="17">
        <v>77.418712999999997</v>
      </c>
      <c r="BQ89" s="17">
        <v>46.112194000000002</v>
      </c>
      <c r="BR89" s="17">
        <v>25.343065764100636</v>
      </c>
      <c r="BS89" s="17">
        <v>-3.7598680106761582</v>
      </c>
      <c r="BT89" s="17">
        <v>67.232107231316704</v>
      </c>
      <c r="BU89" s="17">
        <v>-79.180671909090918</v>
      </c>
      <c r="BV89" s="17">
        <v>-1225.3587195519242</v>
      </c>
      <c r="BW89" s="17">
        <v>6.905562857651244</v>
      </c>
      <c r="BX89" s="17">
        <v>18.551424387900351</v>
      </c>
      <c r="BY89" s="17">
        <v>-10.650010288537551</v>
      </c>
      <c r="BZ89" s="17">
        <v>369.57226022102572</v>
      </c>
      <c r="CA89" s="17">
        <v>0.9016201860106946</v>
      </c>
      <c r="CB89" s="17">
        <v>0.84761808447224063</v>
      </c>
      <c r="CC89" s="17">
        <v>0.78332284054538825</v>
      </c>
      <c r="CD89" s="17">
        <v>-3781.49270524946</v>
      </c>
      <c r="CE89" s="17">
        <v>-2241.9221295693619</v>
      </c>
      <c r="CF89" s="17">
        <v>25.559763321969619</v>
      </c>
      <c r="CG89" s="17">
        <v>2282.0561779004352</v>
      </c>
      <c r="CH89" s="17">
        <v>1285.347212548224</v>
      </c>
      <c r="CI89" s="17">
        <v>5209.1422896492822</v>
      </c>
      <c r="CJ89" s="17">
        <v>36.22311393492754</v>
      </c>
      <c r="CK89" s="17">
        <v>20.402336707114667</v>
      </c>
      <c r="CL89" s="17">
        <v>82.684798248401307</v>
      </c>
      <c r="CM89" s="17">
        <v>55.239957044020137</v>
      </c>
      <c r="CN89" s="4"/>
      <c r="CO89" s="4"/>
      <c r="CP89" s="4"/>
      <c r="CQ89" s="4"/>
      <c r="CR89" s="4"/>
      <c r="CS89" s="4"/>
      <c r="CT89" s="4"/>
    </row>
    <row r="90" spans="1:98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0"/>
      <c r="K90" s="17">
        <v>0.21726755658124997</v>
      </c>
      <c r="L90" s="17">
        <v>0.15428019007009874</v>
      </c>
      <c r="M90" s="17">
        <v>1.7398210624013428</v>
      </c>
      <c r="N90" s="17">
        <v>281933.11565400014</v>
      </c>
      <c r="O90" s="17">
        <v>136843.71815999999</v>
      </c>
      <c r="P90" s="17">
        <v>136843.06894599998</v>
      </c>
      <c r="Q90" s="17">
        <v>1136.8794351814518</v>
      </c>
      <c r="R90" s="17">
        <f t="shared" ref="R90:R100" si="0">Q90/D90</f>
        <v>16.718815223256644</v>
      </c>
      <c r="S90" s="17">
        <v>554.06162722267197</v>
      </c>
      <c r="T90" s="17">
        <v>585.09024905241927</v>
      </c>
      <c r="U90" s="17">
        <v>-2.7238353792830226</v>
      </c>
      <c r="V90" s="17">
        <v>1.135413171355472</v>
      </c>
      <c r="W90" s="17">
        <v>1290.8278849481899</v>
      </c>
      <c r="X90" s="17">
        <f t="shared" ref="X90:X99" si="1">W90/D90</f>
        <v>18.98276301394397</v>
      </c>
      <c r="Y90" s="17">
        <v>1396.0615809999999</v>
      </c>
      <c r="Z90" s="17">
        <f t="shared" ref="Z90:Z100" si="2">Y90/D90</f>
        <v>20.530317367647058</v>
      </c>
      <c r="AA90" s="17">
        <v>669.62769700000001</v>
      </c>
      <c r="AB90" s="17">
        <v>748.83174899999995</v>
      </c>
      <c r="AC90" s="17">
        <v>-5.5838079984135085</v>
      </c>
      <c r="AD90" s="17">
        <v>-1801.7685223923263</v>
      </c>
      <c r="AE90" s="17">
        <v>0.87607885718245959</v>
      </c>
      <c r="AF90" s="17">
        <v>0.62209754060523692</v>
      </c>
      <c r="AG90" s="17">
        <v>7.0154075096828343</v>
      </c>
      <c r="AH90" s="17">
        <v>1951.3477245787665</v>
      </c>
      <c r="AI90" s="17">
        <f t="shared" ref="AI90:AI100" si="3">AH90/D90</f>
        <v>28.6962900673348</v>
      </c>
      <c r="AJ90" s="17">
        <v>1.7137403438905299</v>
      </c>
      <c r="AK90" s="17">
        <v>1138.648414</v>
      </c>
      <c r="AL90" s="17">
        <v>2E-3</v>
      </c>
      <c r="AM90" s="17">
        <v>0.26800000000000002</v>
      </c>
      <c r="AN90" s="17">
        <v>0.26600000000000001</v>
      </c>
      <c r="AO90" s="17">
        <v>0.26800000000000002</v>
      </c>
      <c r="AP90" s="17">
        <v>-0.37453183520599281</v>
      </c>
      <c r="AQ90" s="17">
        <v>0.248</v>
      </c>
      <c r="AR90" s="17">
        <v>0.247</v>
      </c>
      <c r="AS90" s="17">
        <v>0.248</v>
      </c>
      <c r="AT90" s="17">
        <v>-0.20202020202020218</v>
      </c>
      <c r="AU90" s="17">
        <v>0.42099999999999999</v>
      </c>
      <c r="AV90" s="17">
        <v>2057.17733</v>
      </c>
      <c r="AW90" s="17">
        <f t="shared" ref="AW90:AW100" si="4">AV90/D90</f>
        <v>30.252607794117647</v>
      </c>
      <c r="AX90" s="17">
        <v>1469.657158</v>
      </c>
      <c r="AY90" s="17">
        <v>1.208259</v>
      </c>
      <c r="AZ90" s="17">
        <v>99.835707742389587</v>
      </c>
      <c r="BA90" s="17">
        <v>1382.5997488805972</v>
      </c>
      <c r="BB90" s="17">
        <f t="shared" ref="BB90:BB100" si="5">BA90/D90</f>
        <v>20.332349248244075</v>
      </c>
      <c r="BC90" s="17">
        <v>680.91849306390964</v>
      </c>
      <c r="BD90" s="17">
        <v>706.85815426865679</v>
      </c>
      <c r="BE90" s="17">
        <v>-1.869152450043424</v>
      </c>
      <c r="BF90" s="17">
        <v>2306.3491319999998</v>
      </c>
      <c r="BG90" s="17">
        <f t="shared" ref="BG90:BG100" si="6">BF90/D90</f>
        <v>33.916899000000001</v>
      </c>
      <c r="BH90" s="17">
        <v>1493.3173770000001</v>
      </c>
      <c r="BI90" s="17">
        <v>1077.460022</v>
      </c>
      <c r="BJ90" s="17">
        <v>16.176326863685802</v>
      </c>
      <c r="BK90" s="17">
        <v>27.880116000000001</v>
      </c>
      <c r="BL90" s="17">
        <v>122.124279</v>
      </c>
      <c r="BM90" s="17">
        <v>122.448887</v>
      </c>
      <c r="BN90" s="17">
        <v>-0.13272429077521847</v>
      </c>
      <c r="BO90" s="17">
        <v>91.178435000000007</v>
      </c>
      <c r="BP90" s="17">
        <v>42.631689000000001</v>
      </c>
      <c r="BQ90" s="17">
        <v>50.314050000000002</v>
      </c>
      <c r="BR90" s="17">
        <v>-8.265425701763478</v>
      </c>
      <c r="BS90" s="17">
        <v>-1.0042159032258069</v>
      </c>
      <c r="BT90" s="17">
        <v>-95.323997425101197</v>
      </c>
      <c r="BU90" s="17">
        <v>93.933156350806442</v>
      </c>
      <c r="BV90" s="17">
        <v>13607.388886747756</v>
      </c>
      <c r="BW90" s="17">
        <v>-24.307404294354836</v>
      </c>
      <c r="BX90" s="17">
        <v>-6.6005567530364386</v>
      </c>
      <c r="BY90" s="17">
        <v>-17.594428604838708</v>
      </c>
      <c r="BZ90" s="17">
        <v>-45.43863816897872</v>
      </c>
      <c r="CA90" s="17">
        <v>0.92141972871627054</v>
      </c>
      <c r="CB90" s="17">
        <v>0.80254171442821809</v>
      </c>
      <c r="CC90" s="17">
        <v>0.81253913501840658</v>
      </c>
      <c r="CD90" s="17">
        <v>-601.88113647299315</v>
      </c>
      <c r="CE90" s="17">
        <v>-1199.8873859193359</v>
      </c>
      <c r="CF90" s="17">
        <v>-33.18995986522895</v>
      </c>
      <c r="CG90" s="17">
        <v>6793.0505185616048</v>
      </c>
      <c r="CH90" s="17">
        <v>2.1988493929962294</v>
      </c>
      <c r="CI90" s="17">
        <v>9990.7572471986641</v>
      </c>
      <c r="CJ90" s="17">
        <v>99.897801743553018</v>
      </c>
      <c r="CK90" s="17">
        <v>3.2336020485238669E-2</v>
      </c>
      <c r="CL90" s="17">
        <v>146.92290069409799</v>
      </c>
      <c r="CM90" s="17">
        <v>43.76457288686921</v>
      </c>
      <c r="CN90" s="4"/>
      <c r="CO90" s="4"/>
      <c r="CP90" s="4"/>
      <c r="CQ90" s="4"/>
      <c r="CR90" s="4"/>
      <c r="CS90" s="4"/>
      <c r="CT90" s="4"/>
    </row>
    <row r="91" spans="1:98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0"/>
      <c r="K91" s="17">
        <v>0.27309558919999999</v>
      </c>
      <c r="L91" s="17">
        <v>0.2672159895067111</v>
      </c>
      <c r="M91" s="17">
        <v>2.2897112730913634</v>
      </c>
      <c r="N91" s="17">
        <v>325234.19746299984</v>
      </c>
      <c r="O91" s="17">
        <v>153870.262885</v>
      </c>
      <c r="P91" s="17">
        <v>153863.01333400002</v>
      </c>
      <c r="Q91" s="17">
        <v>1295.7863216454182</v>
      </c>
      <c r="R91" s="17">
        <f t="shared" si="0"/>
        <v>18.779511907904613</v>
      </c>
      <c r="S91" s="17">
        <v>635.83587876033062</v>
      </c>
      <c r="T91" s="17">
        <v>682.79273479282858</v>
      </c>
      <c r="U91" s="17">
        <v>-3.5610372435320246</v>
      </c>
      <c r="V91" s="17">
        <v>1.5298329631179011</v>
      </c>
      <c r="W91" s="17">
        <v>1982.3366280104558</v>
      </c>
      <c r="X91" s="17">
        <f t="shared" si="1"/>
        <v>28.729516347977619</v>
      </c>
      <c r="Y91" s="17">
        <v>1748.620598</v>
      </c>
      <c r="Z91" s="17">
        <f t="shared" si="2"/>
        <v>25.342327507246377</v>
      </c>
      <c r="AA91" s="17">
        <v>841.84961699999997</v>
      </c>
      <c r="AB91" s="17">
        <v>906.77098100000001</v>
      </c>
      <c r="AC91" s="17">
        <v>-3.7127187037745304</v>
      </c>
      <c r="AD91" s="17">
        <v>-3306.3599251811006</v>
      </c>
      <c r="AE91" s="17">
        <v>1.0880302358565737</v>
      </c>
      <c r="AF91" s="17">
        <v>1.0646055358833111</v>
      </c>
      <c r="AG91" s="17">
        <v>9.1223556696867067</v>
      </c>
      <c r="AH91" s="17">
        <v>2986.4468861446712</v>
      </c>
      <c r="AI91" s="17">
        <f t="shared" si="3"/>
        <v>43.281838929632919</v>
      </c>
      <c r="AJ91" s="17">
        <v>2.1873409301128923</v>
      </c>
      <c r="AK91" s="17">
        <v>1365.332146</v>
      </c>
      <c r="AL91" s="17">
        <v>1E-3</v>
      </c>
      <c r="AM91" s="17">
        <v>0.20799999999999999</v>
      </c>
      <c r="AN91" s="17">
        <v>0.20699999999999999</v>
      </c>
      <c r="AO91" s="17">
        <v>0.20799999999999999</v>
      </c>
      <c r="AP91" s="17">
        <v>-0.240963855421687</v>
      </c>
      <c r="AQ91" s="17">
        <v>0.251</v>
      </c>
      <c r="AR91" s="17">
        <v>0.24199999999999999</v>
      </c>
      <c r="AS91" s="17">
        <v>0.251</v>
      </c>
      <c r="AT91" s="17">
        <v>-1.8255578093306306</v>
      </c>
      <c r="AU91" s="17">
        <v>0.47199999999999998</v>
      </c>
      <c r="AV91" s="17">
        <v>2333.093124</v>
      </c>
      <c r="AW91" s="17">
        <f t="shared" si="4"/>
        <v>33.812943826086958</v>
      </c>
      <c r="AX91" s="17">
        <v>1166.5105289999999</v>
      </c>
      <c r="AY91" s="17">
        <v>1176.4831240000001</v>
      </c>
      <c r="AZ91" s="17">
        <v>-0.42563474242583377</v>
      </c>
      <c r="BA91" s="17">
        <v>1614.1707949134614</v>
      </c>
      <c r="BB91" s="17">
        <f t="shared" si="5"/>
        <v>23.393779636426977</v>
      </c>
      <c r="BC91" s="17">
        <v>756.97671111111106</v>
      </c>
      <c r="BD91" s="17">
        <v>860.81076607211537</v>
      </c>
      <c r="BE91" s="17">
        <v>-6.4182753560308541</v>
      </c>
      <c r="BF91" s="17">
        <v>2435.4163440000002</v>
      </c>
      <c r="BG91" s="17">
        <f t="shared" si="6"/>
        <v>35.295889043478262</v>
      </c>
      <c r="BH91" s="17">
        <v>999.46423300000004</v>
      </c>
      <c r="BI91" s="17">
        <v>1443.183655</v>
      </c>
      <c r="BJ91" s="17">
        <v>-18.165509002744976</v>
      </c>
      <c r="BK91" s="17">
        <v>20.486296999999993</v>
      </c>
      <c r="BL91" s="17">
        <v>151.879898</v>
      </c>
      <c r="BM91" s="17">
        <v>133.882259</v>
      </c>
      <c r="BN91" s="17">
        <v>6.2981184034105642</v>
      </c>
      <c r="BO91" s="17">
        <v>63.514724999999999</v>
      </c>
      <c r="BP91" s="17">
        <v>43.803880999999997</v>
      </c>
      <c r="BQ91" s="17">
        <v>43.280903000000002</v>
      </c>
      <c r="BR91" s="17">
        <v>0.60053889552047912</v>
      </c>
      <c r="BS91" s="17">
        <v>12.098463354581673</v>
      </c>
      <c r="BT91" s="17">
        <v>120.85312669834713</v>
      </c>
      <c r="BU91" s="17">
        <v>-104.42638547410361</v>
      </c>
      <c r="BV91" s="17">
        <v>1371.4193770823545</v>
      </c>
      <c r="BW91" s="17">
        <v>3.3995338406374493</v>
      </c>
      <c r="BX91" s="17">
        <v>16.084503847107438</v>
      </c>
      <c r="BY91" s="17">
        <v>-11.985519362549802</v>
      </c>
      <c r="BZ91" s="17">
        <v>684.80432935053091</v>
      </c>
      <c r="CA91" s="17">
        <v>0.95416346665167029</v>
      </c>
      <c r="CB91" s="17">
        <v>0.81139519965871054</v>
      </c>
      <c r="CC91" s="17">
        <v>0.83655541884706541</v>
      </c>
      <c r="CD91" s="17">
        <v>-1714.2122061380601</v>
      </c>
      <c r="CE91" s="17">
        <v>-1592.1477190430383</v>
      </c>
      <c r="CF91" s="17">
        <v>3.6918088126275617</v>
      </c>
      <c r="CG91" s="17">
        <v>2231.7408030328143</v>
      </c>
      <c r="CH91" s="17">
        <v>4737.4589615288796</v>
      </c>
      <c r="CI91" s="17">
        <v>10492.1500053994</v>
      </c>
      <c r="CJ91" s="17">
        <v>32.344069609171221</v>
      </c>
      <c r="CK91" s="17">
        <v>68.658825529404055</v>
      </c>
      <c r="CL91" s="17">
        <v>152.0601450057884</v>
      </c>
      <c r="CM91" s="17">
        <v>35.32394440334393</v>
      </c>
      <c r="CN91" s="4"/>
      <c r="CO91" s="4"/>
      <c r="CP91" s="4"/>
      <c r="CQ91" s="4"/>
      <c r="CR91" s="4"/>
      <c r="CS91" s="4"/>
      <c r="CT91" s="4"/>
    </row>
    <row r="92" spans="1:98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0"/>
      <c r="K92" s="17">
        <v>0.24056815698125</v>
      </c>
      <c r="L92" s="17">
        <v>0.15875763257749187</v>
      </c>
      <c r="M92" s="17">
        <v>1.7648866114202324</v>
      </c>
      <c r="N92" s="17">
        <v>473547.01200700027</v>
      </c>
      <c r="O92" s="17">
        <v>236332.46433700016</v>
      </c>
      <c r="P92" s="17">
        <v>236324.83607800017</v>
      </c>
      <c r="Q92" s="17">
        <v>1276.4762101752024</v>
      </c>
      <c r="R92" s="17">
        <f t="shared" si="0"/>
        <v>14.505411479263664</v>
      </c>
      <c r="S92" s="17">
        <v>654.68539360110799</v>
      </c>
      <c r="T92" s="17">
        <v>639.89020742318041</v>
      </c>
      <c r="U92" s="17">
        <v>1.142859958601212</v>
      </c>
      <c r="V92" s="17">
        <v>1.2088691620872671</v>
      </c>
      <c r="W92" s="17">
        <v>1543.0927266188271</v>
      </c>
      <c r="X92" s="17">
        <f t="shared" si="1"/>
        <v>17.53514462066849</v>
      </c>
      <c r="Y92" s="17">
        <v>1728.6212150000001</v>
      </c>
      <c r="Z92" s="17">
        <f t="shared" si="2"/>
        <v>19.643422897727273</v>
      </c>
      <c r="AA92" s="17">
        <v>879.55810499999995</v>
      </c>
      <c r="AB92" s="17">
        <v>849.06311000000005</v>
      </c>
      <c r="AC92" s="17">
        <v>1.7641224540912455</v>
      </c>
      <c r="AD92" s="17">
        <v>-3222.7233984552445</v>
      </c>
      <c r="AE92" s="17">
        <v>0.64843168997641509</v>
      </c>
      <c r="AF92" s="17">
        <v>0.4279181471091425</v>
      </c>
      <c r="AG92" s="17">
        <v>4.7571067693267723</v>
      </c>
      <c r="AH92" s="17">
        <v>2429.4848506216131</v>
      </c>
      <c r="AI92" s="17">
        <f t="shared" si="3"/>
        <v>27.607782393427421</v>
      </c>
      <c r="AJ92" s="17">
        <v>1.8304721205220593</v>
      </c>
      <c r="AK92" s="17">
        <v>1327.2449350000002</v>
      </c>
      <c r="AL92" s="17">
        <v>-1E-3</v>
      </c>
      <c r="AM92" s="17">
        <v>0.29099999999999998</v>
      </c>
      <c r="AN92" s="17">
        <v>0.29099999999999998</v>
      </c>
      <c r="AO92" s="17">
        <v>0.28999999999999998</v>
      </c>
      <c r="AP92" s="17">
        <v>0.17211703958691926</v>
      </c>
      <c r="AQ92" s="17">
        <v>0.371</v>
      </c>
      <c r="AR92" s="17">
        <v>0.36099999999999999</v>
      </c>
      <c r="AS92" s="17">
        <v>0.371</v>
      </c>
      <c r="AT92" s="17">
        <v>-1.366120218579236</v>
      </c>
      <c r="AU92" s="17">
        <v>0.443</v>
      </c>
      <c r="AV92" s="17">
        <v>3069.8061980000002</v>
      </c>
      <c r="AW92" s="17">
        <f t="shared" si="4"/>
        <v>34.884161340909095</v>
      </c>
      <c r="AX92" s="17">
        <v>1745.7712859999999</v>
      </c>
      <c r="AY92" s="17">
        <v>1458.0434270000001</v>
      </c>
      <c r="AZ92" s="17">
        <v>8.9807896140965084</v>
      </c>
      <c r="BA92" s="17">
        <v>1714.3316351443298</v>
      </c>
      <c r="BB92" s="17">
        <f t="shared" si="5"/>
        <v>19.481041308458291</v>
      </c>
      <c r="BC92" s="17">
        <v>841.71068080412374</v>
      </c>
      <c r="BD92" s="17">
        <v>875.61326429310361</v>
      </c>
      <c r="BE92" s="17">
        <v>-1.9741519115113983</v>
      </c>
      <c r="BF92" s="17">
        <v>2948.313126</v>
      </c>
      <c r="BG92" s="17">
        <f t="shared" si="6"/>
        <v>33.503558249999998</v>
      </c>
      <c r="BH92" s="17">
        <v>1544.2445829999999</v>
      </c>
      <c r="BI92" s="17">
        <v>1499.178314</v>
      </c>
      <c r="BJ92" s="17">
        <v>1.4807757753424013</v>
      </c>
      <c r="BK92" s="17">
        <v>22.109328999999988</v>
      </c>
      <c r="BL92" s="17">
        <v>140.91540499999999</v>
      </c>
      <c r="BM92" s="17">
        <v>152.25861</v>
      </c>
      <c r="BN92" s="17">
        <v>-3.8691031331682009</v>
      </c>
      <c r="BO92" s="17">
        <v>114.04517799999999</v>
      </c>
      <c r="BP92" s="17">
        <v>83.279670999999993</v>
      </c>
      <c r="BQ92" s="17">
        <v>58.916130000000003</v>
      </c>
      <c r="BR92" s="17">
        <v>17.13379778352245</v>
      </c>
      <c r="BS92" s="17">
        <v>7.7221221482479789</v>
      </c>
      <c r="BT92" s="17">
        <v>-121.42281357894741</v>
      </c>
      <c r="BU92" s="17">
        <v>125.73860499460913</v>
      </c>
      <c r="BV92" s="17">
        <v>-5726.9083412285436</v>
      </c>
      <c r="BW92" s="17">
        <v>7.3589685471698107</v>
      </c>
      <c r="BX92" s="17">
        <v>1.137522409972298</v>
      </c>
      <c r="BY92" s="17">
        <v>7.4315894986522926</v>
      </c>
      <c r="BZ92" s="17">
        <v>-73.450634742500895</v>
      </c>
      <c r="CA92" s="17">
        <v>0.92698612203403619</v>
      </c>
      <c r="CB92" s="17">
        <v>0.79687933873324901</v>
      </c>
      <c r="CC92" s="17">
        <v>0.80082323980416292</v>
      </c>
      <c r="CD92" s="17">
        <v>-1812.0707145728038</v>
      </c>
      <c r="CE92" s="17">
        <v>-1410.6526838824429</v>
      </c>
      <c r="CF92" s="17">
        <v>12.455863599177428</v>
      </c>
      <c r="CG92" s="17">
        <v>7939.9907323219786</v>
      </c>
      <c r="CH92" s="17">
        <v>5986.3258312383477</v>
      </c>
      <c r="CI92" s="17">
        <v>15009.58517925737</v>
      </c>
      <c r="CJ92" s="17">
        <v>90.22716741274975</v>
      </c>
      <c r="CK92" s="17">
        <v>68.026429900435772</v>
      </c>
      <c r="CL92" s="17">
        <v>170.56346794610647</v>
      </c>
      <c r="CM92" s="17">
        <v>52.375664335016111</v>
      </c>
      <c r="CN92" s="4"/>
      <c r="CO92" s="4"/>
      <c r="CP92" s="4"/>
      <c r="CQ92" s="4"/>
      <c r="CR92" s="4"/>
      <c r="CS92" s="4"/>
      <c r="CT92" s="4"/>
    </row>
    <row r="93" spans="1:98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0"/>
      <c r="K93" s="17">
        <v>0.34303784283124999</v>
      </c>
      <c r="L93" s="17">
        <v>0.24464155973512386</v>
      </c>
      <c r="M93" s="17">
        <v>2.190859968597521</v>
      </c>
      <c r="N93" s="17">
        <v>387263.37699799979</v>
      </c>
      <c r="O93" s="17">
        <v>179210.63613599996</v>
      </c>
      <c r="P93" s="17">
        <v>179198.53551699995</v>
      </c>
      <c r="Q93" s="17">
        <v>1455.993762699248</v>
      </c>
      <c r="R93" s="17">
        <f t="shared" si="0"/>
        <v>17.908902370224453</v>
      </c>
      <c r="S93" s="17">
        <v>694.6532427984497</v>
      </c>
      <c r="T93" s="17">
        <v>782.74766339473672</v>
      </c>
      <c r="U93" s="17">
        <v>-5.9627972493451082</v>
      </c>
      <c r="V93" s="17">
        <v>1.4450094273199141</v>
      </c>
      <c r="W93" s="17">
        <v>2103.9247132194073</v>
      </c>
      <c r="X93" s="17">
        <f t="shared" si="1"/>
        <v>25.87853275792629</v>
      </c>
      <c r="Y93" s="17">
        <v>1919.0572090000001</v>
      </c>
      <c r="Z93" s="17">
        <f t="shared" si="2"/>
        <v>23.604639717097172</v>
      </c>
      <c r="AA93" s="17">
        <v>907.65463299999999</v>
      </c>
      <c r="AB93" s="17">
        <v>1011.402576</v>
      </c>
      <c r="AC93" s="17">
        <v>-5.4061933387625221</v>
      </c>
      <c r="AD93" s="17">
        <v>-3154.0675179767495</v>
      </c>
      <c r="AE93" s="17">
        <v>1.289615950493421</v>
      </c>
      <c r="AF93" s="17">
        <v>0.91970511178617986</v>
      </c>
      <c r="AG93" s="17">
        <v>8.236315671419252</v>
      </c>
      <c r="AH93" s="17">
        <v>3124.953326019855</v>
      </c>
      <c r="AI93" s="17">
        <f t="shared" si="3"/>
        <v>38.437310283147049</v>
      </c>
      <c r="AJ93" s="17">
        <v>2.1172215806548813</v>
      </c>
      <c r="AK93" s="17">
        <v>1475.9689559999999</v>
      </c>
      <c r="AL93" s="17">
        <v>-1.2999999999999999E-2</v>
      </c>
      <c r="AM93" s="17">
        <v>0.25600000000000001</v>
      </c>
      <c r="AN93" s="17">
        <v>0.25600000000000001</v>
      </c>
      <c r="AO93" s="17">
        <v>0.24299999999999999</v>
      </c>
      <c r="AP93" s="17">
        <v>2.6052104208416855</v>
      </c>
      <c r="AQ93" s="17">
        <v>0.26600000000000001</v>
      </c>
      <c r="AR93" s="17">
        <v>0.25800000000000001</v>
      </c>
      <c r="AS93" s="17">
        <v>0.26600000000000001</v>
      </c>
      <c r="AT93" s="17">
        <v>-1.5267175572519098</v>
      </c>
      <c r="AU93" s="17">
        <v>0.52900000000000003</v>
      </c>
      <c r="AV93" s="17">
        <v>3216.1677690000001</v>
      </c>
      <c r="AW93" s="17">
        <f t="shared" si="4"/>
        <v>39.559259151291513</v>
      </c>
      <c r="AX93" s="17">
        <v>2024.2838750000001</v>
      </c>
      <c r="AY93" s="17">
        <v>1417.016779</v>
      </c>
      <c r="AZ93" s="17">
        <v>17.646441187698681</v>
      </c>
      <c r="BA93" s="17">
        <v>1690.6984357148438</v>
      </c>
      <c r="BB93" s="17">
        <f t="shared" si="5"/>
        <v>20.795798717279752</v>
      </c>
      <c r="BC93" s="17">
        <v>886.2853853789062</v>
      </c>
      <c r="BD93" s="17">
        <v>848.02227145679035</v>
      </c>
      <c r="BE93" s="17">
        <v>2.2062471886867066</v>
      </c>
      <c r="BF93" s="17">
        <v>3842.2079320000003</v>
      </c>
      <c r="BG93" s="17">
        <f t="shared" si="6"/>
        <v>47.259630159901604</v>
      </c>
      <c r="BH93" s="17">
        <v>2850.6786499999998</v>
      </c>
      <c r="BI93" s="17">
        <v>2055.8067930000002</v>
      </c>
      <c r="BJ93" s="17">
        <v>16.200432391662957</v>
      </c>
      <c r="BK93" s="17">
        <v>45.733485999999999</v>
      </c>
      <c r="BL93" s="17">
        <v>142.12366499999999</v>
      </c>
      <c r="BM93" s="17">
        <v>109.338379</v>
      </c>
      <c r="BN93" s="17">
        <v>13.037866661101342</v>
      </c>
      <c r="BO93" s="17">
        <v>68.546131000000003</v>
      </c>
      <c r="BP93" s="17">
        <v>54.047026000000002</v>
      </c>
      <c r="BQ93" s="17">
        <v>84.181353000000001</v>
      </c>
      <c r="BR93" s="17">
        <v>-21.800390931300726</v>
      </c>
      <c r="BS93" s="17">
        <v>-20.221347518796993</v>
      </c>
      <c r="BT93" s="17">
        <v>-107.44644806589147</v>
      </c>
      <c r="BU93" s="17">
        <v>83.918781740601474</v>
      </c>
      <c r="BV93" s="17">
        <v>813.36256286835203</v>
      </c>
      <c r="BW93" s="17">
        <v>-16.217863996240602</v>
      </c>
      <c r="BX93" s="17">
        <v>-35.997730275193796</v>
      </c>
      <c r="BY93" s="17">
        <v>19.828131184210527</v>
      </c>
      <c r="BZ93" s="17">
        <v>345.25198271944026</v>
      </c>
      <c r="CA93" s="17">
        <v>0.9437970062122899</v>
      </c>
      <c r="CB93" s="17">
        <v>0.82228103782840922</v>
      </c>
      <c r="CC93" s="17">
        <v>0.83939235690538816</v>
      </c>
      <c r="CD93" s="17">
        <v>-1566.5931144770948</v>
      </c>
      <c r="CE93" s="17">
        <v>-1587.4744034996506</v>
      </c>
      <c r="CF93" s="17">
        <v>-0.66204318403274598</v>
      </c>
      <c r="CG93" s="17">
        <v>3510.19120410819</v>
      </c>
      <c r="CH93" s="17">
        <v>2403.5811459689562</v>
      </c>
      <c r="CI93" s="17">
        <v>8198.2800558465788</v>
      </c>
      <c r="CJ93" s="17">
        <v>43.17578356836642</v>
      </c>
      <c r="CK93" s="17">
        <v>29.564343738855552</v>
      </c>
      <c r="CL93" s="17">
        <v>100.83985308544378</v>
      </c>
      <c r="CM93" s="17">
        <v>60.018952263805247</v>
      </c>
      <c r="CN93" s="4"/>
      <c r="CO93" s="4"/>
      <c r="CP93" s="4"/>
      <c r="CQ93" s="4"/>
      <c r="CR93" s="4"/>
      <c r="CS93" s="4"/>
      <c r="CT93" s="4"/>
    </row>
    <row r="94" spans="1:98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0"/>
      <c r="K94" s="17">
        <v>0.19029313992499999</v>
      </c>
      <c r="L94" s="17">
        <v>8.113040724507932E-2</v>
      </c>
      <c r="M94" s="17">
        <v>1.261657081043996</v>
      </c>
      <c r="N94" s="17">
        <v>273802.41928199999</v>
      </c>
      <c r="O94" s="17">
        <v>138304.30447199999</v>
      </c>
      <c r="P94" s="17">
        <v>138304.03396599999</v>
      </c>
      <c r="Q94" s="17">
        <v>1362.2340181741295</v>
      </c>
      <c r="R94" s="17">
        <f t="shared" si="0"/>
        <v>15.969918149755328</v>
      </c>
      <c r="S94" s="17">
        <v>688.09502336815922</v>
      </c>
      <c r="T94" s="17">
        <v>677.51104230999999</v>
      </c>
      <c r="U94" s="17">
        <v>0.77503910711638691</v>
      </c>
      <c r="V94" s="17">
        <v>0.97130438682468889</v>
      </c>
      <c r="W94" s="17">
        <v>1323.1438777343549</v>
      </c>
      <c r="X94" s="17">
        <f t="shared" si="1"/>
        <v>15.511651556088569</v>
      </c>
      <c r="Y94" s="17">
        <v>1829.59195</v>
      </c>
      <c r="Z94" s="17">
        <f t="shared" si="2"/>
        <v>21.448909144196953</v>
      </c>
      <c r="AA94" s="17">
        <v>957.46372599999995</v>
      </c>
      <c r="AB94" s="17">
        <v>886.01419099999998</v>
      </c>
      <c r="AC94" s="17">
        <v>3.8758009706063632</v>
      </c>
      <c r="AD94" s="17">
        <v>-340.10265630896629</v>
      </c>
      <c r="AE94" s="17">
        <v>0.94673203942786066</v>
      </c>
      <c r="AF94" s="17">
        <v>0.40363386689094188</v>
      </c>
      <c r="AG94" s="17">
        <v>6.2769009007163978</v>
      </c>
      <c r="AH94" s="17">
        <v>1946.3551369961515</v>
      </c>
      <c r="AI94" s="17">
        <f t="shared" si="3"/>
        <v>22.817762450130733</v>
      </c>
      <c r="AJ94" s="17">
        <v>1.2766133236077728</v>
      </c>
      <c r="AK94" s="17">
        <v>1524.6238629999998</v>
      </c>
      <c r="AL94" s="17">
        <v>-0.03</v>
      </c>
      <c r="AM94" s="17">
        <v>0.29199999999999998</v>
      </c>
      <c r="AN94" s="17">
        <v>0.29199999999999998</v>
      </c>
      <c r="AO94" s="17">
        <v>0.26200000000000001</v>
      </c>
      <c r="AP94" s="17">
        <v>5.4151624548736406</v>
      </c>
      <c r="AQ94" s="17">
        <v>0.20100000000000001</v>
      </c>
      <c r="AR94" s="17">
        <v>0.20100000000000001</v>
      </c>
      <c r="AS94" s="17">
        <v>0.2</v>
      </c>
      <c r="AT94" s="17">
        <v>0.24937655860349148</v>
      </c>
      <c r="AU94" s="17">
        <v>0.39400000000000002</v>
      </c>
      <c r="AV94" s="17">
        <v>2139.6635510000001</v>
      </c>
      <c r="AW94" s="17">
        <f t="shared" si="4"/>
        <v>25.083980668229778</v>
      </c>
      <c r="AX94" s="17">
        <v>1628.209511</v>
      </c>
      <c r="AY94" s="17">
        <v>1041.3024439999999</v>
      </c>
      <c r="AZ94" s="17">
        <v>21.985556794406644</v>
      </c>
      <c r="BA94" s="17">
        <v>1656.4785924794523</v>
      </c>
      <c r="BB94" s="17">
        <f t="shared" si="5"/>
        <v>19.419444226019372</v>
      </c>
      <c r="BC94" s="17">
        <v>967.76937887328779</v>
      </c>
      <c r="BD94" s="17">
        <v>769.00300244656478</v>
      </c>
      <c r="BE94" s="17">
        <v>11.444584135755969</v>
      </c>
      <c r="BF94" s="17">
        <v>2659.9721089999998</v>
      </c>
      <c r="BG94" s="17">
        <f t="shared" si="6"/>
        <v>31.183729296600234</v>
      </c>
      <c r="BH94" s="17">
        <v>1471.5145849999999</v>
      </c>
      <c r="BI94" s="17">
        <v>1260.520264</v>
      </c>
      <c r="BJ94" s="17">
        <v>7.7229732657776911</v>
      </c>
      <c r="BK94" s="17">
        <v>47.80736499999999</v>
      </c>
      <c r="BL94" s="17">
        <v>151.33888999999999</v>
      </c>
      <c r="BM94" s="17">
        <v>103.531525</v>
      </c>
      <c r="BN94" s="17">
        <v>18.757518404009346</v>
      </c>
      <c r="BO94" s="17">
        <v>100.08708799999999</v>
      </c>
      <c r="BP94" s="17">
        <v>35.291969999999999</v>
      </c>
      <c r="BQ94" s="17">
        <v>68.311690999999996</v>
      </c>
      <c r="BR94" s="17">
        <v>-31.871191308577409</v>
      </c>
      <c r="BS94" s="17">
        <v>10.166795288557216</v>
      </c>
      <c r="BT94" s="17">
        <v>85.08627080597013</v>
      </c>
      <c r="BU94" s="17">
        <v>-75.330771490000004</v>
      </c>
      <c r="BV94" s="17">
        <v>1644.3755168263021</v>
      </c>
      <c r="BW94" s="17">
        <v>-24.934519154228852</v>
      </c>
      <c r="BX94" s="17">
        <v>-11.356122890547264</v>
      </c>
      <c r="BY94" s="17">
        <v>-13.373618560000001</v>
      </c>
      <c r="BZ94" s="17">
        <v>-8.1581753431881925</v>
      </c>
      <c r="CA94" s="17">
        <v>0.92521088753094205</v>
      </c>
      <c r="CB94" s="17">
        <v>0.83687462358116604</v>
      </c>
      <c r="CC94" s="17">
        <v>0.83755540693586128</v>
      </c>
      <c r="CD94" s="17">
        <v>-634.73328158580227</v>
      </c>
      <c r="CE94" s="17">
        <v>294.63062527683604</v>
      </c>
      <c r="CF94" s="17">
        <v>273.25982012276836</v>
      </c>
      <c r="CG94" s="17">
        <v>6840.5783809694412</v>
      </c>
      <c r="CH94" s="17">
        <v>4031.6151591043081</v>
      </c>
      <c r="CI94" s="17">
        <v>8449.77311837862</v>
      </c>
      <c r="CJ94" s="17">
        <v>80.194353821447152</v>
      </c>
      <c r="CK94" s="17">
        <v>47.263952627248628</v>
      </c>
      <c r="CL94" s="17">
        <v>99.059473837967417</v>
      </c>
      <c r="CM94" s="17">
        <v>20.100633709397616</v>
      </c>
      <c r="CN94" s="4"/>
      <c r="CO94" s="4"/>
      <c r="CP94" s="4"/>
      <c r="CQ94" s="4"/>
      <c r="CR94" s="4"/>
      <c r="CS94" s="4"/>
      <c r="CT94" s="4"/>
    </row>
    <row r="95" spans="1:98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0"/>
      <c r="K95" s="17">
        <v>0.32385971292499999</v>
      </c>
      <c r="L95" s="17">
        <v>0.28314357846969318</v>
      </c>
      <c r="M95" s="17">
        <v>2.3569635146890544</v>
      </c>
      <c r="N95" s="17">
        <v>359104.65987099992</v>
      </c>
      <c r="O95" s="17">
        <v>163956.73284000001</v>
      </c>
      <c r="P95" s="17">
        <v>163948.45536700002</v>
      </c>
      <c r="Q95" s="17">
        <v>1502.5840587447701</v>
      </c>
      <c r="R95" s="17">
        <f t="shared" si="0"/>
        <v>19.488768595911417</v>
      </c>
      <c r="S95" s="17">
        <v>686.04229551046024</v>
      </c>
      <c r="T95" s="17">
        <v>830.54632325531918</v>
      </c>
      <c r="U95" s="17">
        <v>-9.5282284171734268</v>
      </c>
      <c r="V95" s="17">
        <v>1.5680395999388732</v>
      </c>
      <c r="W95" s="17">
        <v>2356.1113063486778</v>
      </c>
      <c r="X95" s="17">
        <f t="shared" si="1"/>
        <v>30.559160912434216</v>
      </c>
      <c r="Y95" s="17">
        <v>2121.8642959999997</v>
      </c>
      <c r="Z95" s="17">
        <f t="shared" si="2"/>
        <v>27.520937691309985</v>
      </c>
      <c r="AA95" s="17">
        <v>934.65110000000004</v>
      </c>
      <c r="AB95" s="17">
        <v>1187.2131959999999</v>
      </c>
      <c r="AC95" s="17">
        <v>-11.902839237933994</v>
      </c>
      <c r="AD95" s="17">
        <v>-5893.9298884484569</v>
      </c>
      <c r="AE95" s="17">
        <v>1.3550615603556486</v>
      </c>
      <c r="AF95" s="17">
        <v>1.1847011651451598</v>
      </c>
      <c r="AG95" s="17">
        <v>9.8617720279876764</v>
      </c>
      <c r="AH95" s="17">
        <v>3399.6815164424393</v>
      </c>
      <c r="AI95" s="17">
        <f t="shared" si="3"/>
        <v>44.094442496010892</v>
      </c>
      <c r="AJ95" s="17">
        <v>2.2261891367126463</v>
      </c>
      <c r="AK95" s="17">
        <v>1527.130584</v>
      </c>
      <c r="AL95" s="17">
        <v>1.4E-2</v>
      </c>
      <c r="AM95" s="17">
        <v>0.20799999999999999</v>
      </c>
      <c r="AN95" s="17">
        <v>0.19400000000000001</v>
      </c>
      <c r="AO95" s="17">
        <v>0.20799999999999999</v>
      </c>
      <c r="AP95" s="17">
        <v>-3.4825870646766131</v>
      </c>
      <c r="AQ95" s="17">
        <v>0.23899999999999999</v>
      </c>
      <c r="AR95" s="17">
        <v>0.23899999999999999</v>
      </c>
      <c r="AS95" s="17">
        <v>0.23499999999999999</v>
      </c>
      <c r="AT95" s="17">
        <v>0.84388185654008518</v>
      </c>
      <c r="AU95" s="17">
        <v>0.51400000000000001</v>
      </c>
      <c r="AV95" s="17">
        <v>2398.068534</v>
      </c>
      <c r="AW95" s="17">
        <f t="shared" si="4"/>
        <v>31.103353229571987</v>
      </c>
      <c r="AX95" s="17">
        <v>1038.2367019999999</v>
      </c>
      <c r="AY95" s="17">
        <v>1359.976089</v>
      </c>
      <c r="AZ95" s="17">
        <v>-13.415798139657245</v>
      </c>
      <c r="BA95" s="17">
        <v>1803.6029493942308</v>
      </c>
      <c r="BB95" s="17">
        <f t="shared" si="5"/>
        <v>23.393034363089896</v>
      </c>
      <c r="BC95" s="17">
        <v>796.85719027319578</v>
      </c>
      <c r="BD95" s="17">
        <v>1060.7766858028847</v>
      </c>
      <c r="BE95" s="17">
        <v>-14.207293424642517</v>
      </c>
      <c r="BF95" s="17">
        <v>2750.6997460000002</v>
      </c>
      <c r="BG95" s="17">
        <f t="shared" si="6"/>
        <v>35.6770395071336</v>
      </c>
      <c r="BH95" s="17">
        <v>1011.9435580000001</v>
      </c>
      <c r="BI95" s="17">
        <v>1849.0323169999999</v>
      </c>
      <c r="BJ95" s="17">
        <v>-29.258854166325321</v>
      </c>
      <c r="BK95" s="17">
        <v>42.812027</v>
      </c>
      <c r="BL95" s="17">
        <v>82.684556999999998</v>
      </c>
      <c r="BM95" s="17">
        <v>113.32383</v>
      </c>
      <c r="BN95" s="17">
        <v>-15.631613253365531</v>
      </c>
      <c r="BO95" s="17">
        <v>130.47388899999999</v>
      </c>
      <c r="BP95" s="17">
        <v>67.536242999999999</v>
      </c>
      <c r="BQ95" s="17">
        <v>76.444892999999993</v>
      </c>
      <c r="BR95" s="17">
        <v>-6.1873730458690055</v>
      </c>
      <c r="BS95" s="17">
        <v>31.857792878661087</v>
      </c>
      <c r="BT95" s="17">
        <v>-59.383118447698742</v>
      </c>
      <c r="BU95" s="17">
        <v>92.78681137021276</v>
      </c>
      <c r="BV95" s="17">
        <v>-455.54822387721475</v>
      </c>
      <c r="BW95" s="17">
        <v>-1.3196299623430956</v>
      </c>
      <c r="BX95" s="17">
        <v>-23.615482012552306</v>
      </c>
      <c r="BY95" s="17">
        <v>22.892297595744679</v>
      </c>
      <c r="BZ95" s="17">
        <v>6430.970929047061</v>
      </c>
      <c r="CA95" s="17">
        <v>0.92449909592235446</v>
      </c>
      <c r="CB95" s="17">
        <v>0.86153130152970125</v>
      </c>
      <c r="CC95" s="17">
        <v>0.8621850291703067</v>
      </c>
      <c r="CD95" s="17">
        <v>-2648.9984853041997</v>
      </c>
      <c r="CE95" s="17">
        <v>-3244.9314031442591</v>
      </c>
      <c r="CF95" s="17">
        <v>-10.110960413832395</v>
      </c>
      <c r="CG95" s="17">
        <v>2011.4275909215896</v>
      </c>
      <c r="CH95" s="17">
        <v>4013.9205650651547</v>
      </c>
      <c r="CI95" s="17">
        <v>8008.0658169709241</v>
      </c>
      <c r="CJ95" s="17">
        <v>26.088555005468091</v>
      </c>
      <c r="CK95" s="17">
        <v>52.061226524839881</v>
      </c>
      <c r="CL95" s="17">
        <v>103.86596390364365</v>
      </c>
      <c r="CM95" s="17">
        <v>11.517779166189596</v>
      </c>
      <c r="CN95" s="4"/>
      <c r="CO95" s="4"/>
      <c r="CP95" s="4"/>
      <c r="CQ95" s="4"/>
      <c r="CR95" s="4"/>
      <c r="CS95" s="4"/>
      <c r="CT95" s="4"/>
    </row>
    <row r="96" spans="1:98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0"/>
      <c r="K96" s="17">
        <v>0.27541486192499998</v>
      </c>
      <c r="L96" s="17">
        <v>0.24195038377398895</v>
      </c>
      <c r="M96" s="17">
        <v>2.1787763835799359</v>
      </c>
      <c r="N96" s="17">
        <v>319661.96157300007</v>
      </c>
      <c r="O96" s="17">
        <v>147476.03236400001</v>
      </c>
      <c r="P96" s="17">
        <v>147476.176634</v>
      </c>
      <c r="Q96" s="17">
        <v>1486.8154225255812</v>
      </c>
      <c r="R96" s="17">
        <f t="shared" si="0"/>
        <v>19.745224734735476</v>
      </c>
      <c r="S96" s="17">
        <v>719.40785943414619</v>
      </c>
      <c r="T96" s="17">
        <v>801.0333812325581</v>
      </c>
      <c r="U96" s="17">
        <v>-5.368541684821678</v>
      </c>
      <c r="V96" s="17">
        <v>1.4595054700350014</v>
      </c>
      <c r="W96" s="17">
        <v>2170.0152421084877</v>
      </c>
      <c r="X96" s="17">
        <f t="shared" si="1"/>
        <v>28.818263507416837</v>
      </c>
      <c r="Y96" s="17">
        <v>2024.1936949999999</v>
      </c>
      <c r="Z96" s="17">
        <f t="shared" si="2"/>
        <v>26.881722377158034</v>
      </c>
      <c r="AA96" s="17">
        <v>948.89772000000005</v>
      </c>
      <c r="AB96" s="17">
        <v>1075.295975</v>
      </c>
      <c r="AC96" s="17">
        <v>-6.2443754919412466</v>
      </c>
      <c r="AD96" s="17">
        <v>-3229.5909971428518</v>
      </c>
      <c r="AE96" s="17">
        <v>1.2809993577906975</v>
      </c>
      <c r="AF96" s="17">
        <v>1.1253506222045997</v>
      </c>
      <c r="AG96" s="17">
        <v>10.133843644557841</v>
      </c>
      <c r="AH96" s="17">
        <v>3439.431826464423</v>
      </c>
      <c r="AI96" s="17">
        <f t="shared" si="3"/>
        <v>45.676385477615185</v>
      </c>
      <c r="AJ96" s="17">
        <v>2.0639609262221672</v>
      </c>
      <c r="AK96" s="17">
        <v>1666.4229359999999</v>
      </c>
      <c r="AL96" s="17">
        <v>1.0999999999999999E-2</v>
      </c>
      <c r="AM96" s="17">
        <v>0.17799999999999999</v>
      </c>
      <c r="AN96" s="17">
        <v>0.16700000000000001</v>
      </c>
      <c r="AO96" s="17">
        <v>0.17799999999999999</v>
      </c>
      <c r="AP96" s="17">
        <v>-3.1884057971014443</v>
      </c>
      <c r="AQ96" s="17">
        <v>0.215</v>
      </c>
      <c r="AR96" s="17">
        <v>0.20499999999999999</v>
      </c>
      <c r="AS96" s="17">
        <v>0.215</v>
      </c>
      <c r="AT96" s="17">
        <v>-2.3809523809523832</v>
      </c>
      <c r="AU96" s="17">
        <v>0.47399999999999998</v>
      </c>
      <c r="AV96" s="17">
        <v>3491.308121</v>
      </c>
      <c r="AW96" s="17">
        <f t="shared" si="4"/>
        <v>46.365313691899075</v>
      </c>
      <c r="AX96" s="17">
        <v>1892.76403</v>
      </c>
      <c r="AY96" s="17">
        <v>1613.0070800000001</v>
      </c>
      <c r="AZ96" s="17">
        <v>7.9798977520811372</v>
      </c>
      <c r="BA96" s="17">
        <v>1931.2565806011239</v>
      </c>
      <c r="BB96" s="17">
        <f t="shared" si="5"/>
        <v>25.647497750346933</v>
      </c>
      <c r="BC96" s="17">
        <v>976.43756868862295</v>
      </c>
      <c r="BD96" s="17">
        <v>1015.4257954719102</v>
      </c>
      <c r="BE96" s="17">
        <v>-1.9573745611671891</v>
      </c>
      <c r="BF96" s="17">
        <v>3847.113194</v>
      </c>
      <c r="BG96" s="17">
        <f t="shared" si="6"/>
        <v>51.090480664010627</v>
      </c>
      <c r="BH96" s="17">
        <v>1655.36833</v>
      </c>
      <c r="BI96" s="17">
        <v>2250.6249389999998</v>
      </c>
      <c r="BJ96" s="17">
        <v>-15.239570782783135</v>
      </c>
      <c r="BK96" s="17">
        <v>62.522869000000014</v>
      </c>
      <c r="BL96" s="17">
        <v>223.11305200000001</v>
      </c>
      <c r="BM96" s="17">
        <v>209.94844800000001</v>
      </c>
      <c r="BN96" s="17">
        <v>3.0398924864020458</v>
      </c>
      <c r="BO96" s="17">
        <v>83.658378999999996</v>
      </c>
      <c r="BP96" s="17">
        <v>58.916130000000003</v>
      </c>
      <c r="BQ96" s="17">
        <v>57.455399</v>
      </c>
      <c r="BR96" s="17">
        <v>1.2552305641700408</v>
      </c>
      <c r="BS96" s="17">
        <v>-18.770994865116275</v>
      </c>
      <c r="BT96" s="17">
        <v>-168.73358927317076</v>
      </c>
      <c r="BU96" s="17">
        <v>142.08071775348833</v>
      </c>
      <c r="BV96" s="17">
        <v>1166.1569253321582</v>
      </c>
      <c r="BW96" s="17">
        <v>-4.9419073860465135</v>
      </c>
      <c r="BX96" s="17">
        <v>-27.817216570731709</v>
      </c>
      <c r="BY96" s="17">
        <v>22.061601232558139</v>
      </c>
      <c r="BZ96" s="17">
        <v>866.61138510201249</v>
      </c>
      <c r="CA96" s="17">
        <v>0.93264700715815452</v>
      </c>
      <c r="CB96" s="17">
        <v>0.77088064161912351</v>
      </c>
      <c r="CC96" s="17">
        <v>0.80084614400135068</v>
      </c>
      <c r="CD96" s="17">
        <v>-1354.5760812166754</v>
      </c>
      <c r="CE96" s="17">
        <v>-1875.0149159261782</v>
      </c>
      <c r="CF96" s="17">
        <v>-16.114697965467556</v>
      </c>
      <c r="CG96" s="17">
        <v>10815.851490242561</v>
      </c>
      <c r="CH96" s="17">
        <v>4746.323189354328</v>
      </c>
      <c r="CI96" s="17">
        <v>18842.28872370769</v>
      </c>
      <c r="CJ96" s="17">
        <v>143.63680597931688</v>
      </c>
      <c r="CK96" s="17">
        <v>63.032180469512987</v>
      </c>
      <c r="CL96" s="17">
        <v>250.22959792440491</v>
      </c>
      <c r="CM96" s="17">
        <v>50.868031593021342</v>
      </c>
      <c r="CN96" s="4"/>
      <c r="CO96" s="4"/>
      <c r="CP96" s="4"/>
      <c r="CQ96" s="4"/>
      <c r="CR96" s="4"/>
      <c r="CS96" s="4"/>
      <c r="CT96" s="4"/>
    </row>
    <row r="97" spans="1:98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0"/>
      <c r="K97" s="17">
        <v>0.304011053325</v>
      </c>
      <c r="L97" s="17">
        <v>0.25494372856807168</v>
      </c>
      <c r="M97" s="17">
        <v>2.2365142419634996</v>
      </c>
      <c r="N97" s="17">
        <v>368410.73902500019</v>
      </c>
      <c r="O97" s="17">
        <v>184603.77925600007</v>
      </c>
      <c r="P97" s="17">
        <v>184597.01661500006</v>
      </c>
      <c r="Q97" s="17">
        <v>1297.2725367253522</v>
      </c>
      <c r="R97" s="17">
        <f t="shared" si="0"/>
        <v>17.578218654815071</v>
      </c>
      <c r="S97" s="17">
        <v>650.04111978873232</v>
      </c>
      <c r="T97" s="17">
        <v>647.23141693661967</v>
      </c>
      <c r="U97" s="17">
        <v>0.21658539532526136</v>
      </c>
      <c r="V97" s="17">
        <v>1.3687883342285558</v>
      </c>
      <c r="W97" s="17">
        <v>1775.6915145847479</v>
      </c>
      <c r="X97" s="17">
        <f t="shared" si="1"/>
        <v>24.060860631229648</v>
      </c>
      <c r="Y97" s="17">
        <v>1571.67382</v>
      </c>
      <c r="Z97" s="17">
        <f t="shared" si="2"/>
        <v>21.296393224932249</v>
      </c>
      <c r="AA97" s="17">
        <v>767.65894300000002</v>
      </c>
      <c r="AB97" s="17">
        <v>804.01487699999996</v>
      </c>
      <c r="AC97" s="17">
        <v>-2.3131984217946657</v>
      </c>
      <c r="AD97" s="17">
        <v>-2013.8167040190385</v>
      </c>
      <c r="AE97" s="17">
        <v>1.0704614553697185</v>
      </c>
      <c r="AF97" s="17">
        <v>0.89768918509884399</v>
      </c>
      <c r="AG97" s="17">
        <v>7.8750501477588024</v>
      </c>
      <c r="AH97" s="17">
        <v>3104.295858445762</v>
      </c>
      <c r="AI97" s="17">
        <f t="shared" si="3"/>
        <v>42.06362951823526</v>
      </c>
      <c r="AJ97" s="17">
        <v>2.1209249095421976</v>
      </c>
      <c r="AK97" s="17">
        <v>1463.65194</v>
      </c>
      <c r="AL97" s="17">
        <v>2E-3</v>
      </c>
      <c r="AM97" s="17">
        <v>0.30299999999999999</v>
      </c>
      <c r="AN97" s="17">
        <v>0.30099999999999999</v>
      </c>
      <c r="AO97" s="17">
        <v>0.30299999999999999</v>
      </c>
      <c r="AP97" s="17">
        <v>-0.33112582781456984</v>
      </c>
      <c r="AQ97" s="17">
        <v>0.28399999999999997</v>
      </c>
      <c r="AR97" s="17">
        <v>0.28399999999999997</v>
      </c>
      <c r="AS97" s="17">
        <v>0.28399999999999997</v>
      </c>
      <c r="AT97" s="17">
        <v>0</v>
      </c>
      <c r="AU97" s="17">
        <v>0.498</v>
      </c>
      <c r="AV97" s="17">
        <v>2658.096618</v>
      </c>
      <c r="AW97" s="17">
        <f t="shared" si="4"/>
        <v>36.017569349593501</v>
      </c>
      <c r="AX97" s="17">
        <v>1272.0257260000001</v>
      </c>
      <c r="AY97" s="17">
        <v>1512.0904849999999</v>
      </c>
      <c r="AZ97" s="17">
        <v>-8.6226558378385114</v>
      </c>
      <c r="BA97" s="17">
        <v>1411.7076340858089</v>
      </c>
      <c r="BB97" s="17">
        <f t="shared" si="5"/>
        <v>19.128829730160014</v>
      </c>
      <c r="BC97" s="17">
        <v>652.87773424252475</v>
      </c>
      <c r="BD97" s="17">
        <v>763.19021103300338</v>
      </c>
      <c r="BE97" s="17">
        <v>-7.790055354230538</v>
      </c>
      <c r="BF97" s="17">
        <v>3366.2803960000001</v>
      </c>
      <c r="BG97" s="17">
        <f t="shared" si="6"/>
        <v>45.613555501355016</v>
      </c>
      <c r="BH97" s="17">
        <v>1466.1946869999999</v>
      </c>
      <c r="BI97" s="17">
        <v>2049.7294160000001</v>
      </c>
      <c r="BJ97" s="17">
        <v>-16.596909145510079</v>
      </c>
      <c r="BK97" s="17">
        <v>29.286738999999997</v>
      </c>
      <c r="BL97" s="17">
        <v>101.47568099999999</v>
      </c>
      <c r="BM97" s="17">
        <v>124.811302</v>
      </c>
      <c r="BN97" s="17">
        <v>-10.312400956797415</v>
      </c>
      <c r="BO97" s="17">
        <v>95.921302999999995</v>
      </c>
      <c r="BP97" s="17">
        <v>58.898096000000002</v>
      </c>
      <c r="BQ97" s="17">
        <v>59.276802000000004</v>
      </c>
      <c r="BR97" s="17">
        <v>-0.32046230325496117</v>
      </c>
      <c r="BS97" s="17">
        <v>15.304967933098592</v>
      </c>
      <c r="BT97" s="17">
        <v>-85.803881260563358</v>
      </c>
      <c r="BU97" s="17">
        <v>101.10884919366197</v>
      </c>
      <c r="BV97" s="17">
        <v>-1221.2552895978749</v>
      </c>
      <c r="BW97" s="17">
        <v>-19.62105678169015</v>
      </c>
      <c r="BX97" s="17">
        <v>-17.487364193661968</v>
      </c>
      <c r="BY97" s="17">
        <v>-2.1336925880281696</v>
      </c>
      <c r="BZ97" s="17">
        <v>78.250992168584162</v>
      </c>
      <c r="CA97" s="17">
        <v>0.9262128703217879</v>
      </c>
      <c r="CB97" s="17">
        <v>0.82718952301595572</v>
      </c>
      <c r="CC97" s="17">
        <v>0.8136954269546931</v>
      </c>
      <c r="CD97" s="17">
        <v>-833.54433722483714</v>
      </c>
      <c r="CE97" s="17">
        <v>-1180.2723667941991</v>
      </c>
      <c r="CF97" s="17">
        <v>-17.21745722326099</v>
      </c>
      <c r="CG97" s="17">
        <v>5712.9055784515322</v>
      </c>
      <c r="CH97" s="17">
        <v>7457.1832339109333</v>
      </c>
      <c r="CI97" s="17">
        <v>13508.422303224794</v>
      </c>
      <c r="CJ97" s="17">
        <v>77.410644694465205</v>
      </c>
      <c r="CK97" s="17">
        <v>101.04584327792593</v>
      </c>
      <c r="CL97" s="17">
        <v>183.04095261822215</v>
      </c>
      <c r="CM97" s="17">
        <v>59.50704219285079</v>
      </c>
      <c r="CN97" s="4"/>
      <c r="CO97" s="4"/>
      <c r="CP97" s="4"/>
      <c r="CQ97" s="4"/>
      <c r="CR97" s="4"/>
      <c r="CS97" s="4"/>
      <c r="CT97" s="4"/>
    </row>
    <row r="98" spans="1:98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0"/>
      <c r="K98" s="17">
        <v>0.34174213920000002</v>
      </c>
      <c r="L98" s="17">
        <v>0.24276055656792345</v>
      </c>
      <c r="M98" s="17">
        <v>2.1824211600565686</v>
      </c>
      <c r="N98" s="17">
        <v>356725.68896900001</v>
      </c>
      <c r="O98" s="17">
        <v>189260.80438299992</v>
      </c>
      <c r="P98" s="17">
        <v>189260.10106799993</v>
      </c>
      <c r="Q98" s="17">
        <v>1346.1577448943397</v>
      </c>
      <c r="R98" s="17">
        <f t="shared" si="0"/>
        <v>17.948769931924527</v>
      </c>
      <c r="S98" s="17">
        <v>714.21403562264152</v>
      </c>
      <c r="T98" s="17">
        <v>651.63265129571994</v>
      </c>
      <c r="U98" s="17">
        <v>4.5818747394056647</v>
      </c>
      <c r="V98" s="17">
        <v>1.348172036990211</v>
      </c>
      <c r="W98" s="17">
        <v>1814.8522290443507</v>
      </c>
      <c r="X98" s="17">
        <f t="shared" si="1"/>
        <v>24.198029720591343</v>
      </c>
      <c r="Y98" s="17">
        <v>1609.5626830000001</v>
      </c>
      <c r="Z98" s="17">
        <f t="shared" si="2"/>
        <v>21.460835773333336</v>
      </c>
      <c r="AA98" s="17">
        <v>856.36675300000002</v>
      </c>
      <c r="AB98" s="17">
        <v>780.94976799999995</v>
      </c>
      <c r="AC98" s="17">
        <v>4.6061335137532682</v>
      </c>
      <c r="AD98" s="17">
        <v>-1534.8485377853663</v>
      </c>
      <c r="AE98" s="17">
        <v>1.2895929781132076</v>
      </c>
      <c r="AF98" s="17">
        <v>0.91607757195442807</v>
      </c>
      <c r="AG98" s="17">
        <v>8.2355515473832774</v>
      </c>
      <c r="AH98" s="17">
        <v>3164.3475111500215</v>
      </c>
      <c r="AI98" s="17">
        <f t="shared" si="3"/>
        <v>42.191300148666954</v>
      </c>
      <c r="AJ98" s="17">
        <v>2.082810812393344</v>
      </c>
      <c r="AK98" s="17">
        <v>1519.2678530000001</v>
      </c>
      <c r="AL98" s="17">
        <v>-1.0999999999999999E-2</v>
      </c>
      <c r="AM98" s="17">
        <v>0.30499999999999999</v>
      </c>
      <c r="AN98" s="17">
        <v>0.30499999999999999</v>
      </c>
      <c r="AO98" s="17">
        <v>0.29399999999999998</v>
      </c>
      <c r="AP98" s="17">
        <v>1.8363939899833073</v>
      </c>
      <c r="AQ98" s="17">
        <v>0.26500000000000001</v>
      </c>
      <c r="AR98" s="17">
        <v>0.26500000000000001</v>
      </c>
      <c r="AS98" s="17">
        <v>0.25700000000000001</v>
      </c>
      <c r="AT98" s="17">
        <v>1.5325670498084305</v>
      </c>
      <c r="AU98" s="17">
        <v>0.52800000000000002</v>
      </c>
      <c r="AV98" s="17">
        <v>2074.9225240000001</v>
      </c>
      <c r="AW98" s="17">
        <f t="shared" si="4"/>
        <v>27.665633653333334</v>
      </c>
      <c r="AX98" s="17">
        <v>1246.273598</v>
      </c>
      <c r="AY98" s="17">
        <v>840.10035700000003</v>
      </c>
      <c r="AZ98" s="17">
        <v>19.467902195893735</v>
      </c>
      <c r="BA98" s="17">
        <v>1425.6797267770492</v>
      </c>
      <c r="BB98" s="17">
        <f t="shared" si="5"/>
        <v>19.00906302369399</v>
      </c>
      <c r="BC98" s="17">
        <v>840.3710334295082</v>
      </c>
      <c r="BD98" s="17">
        <v>607.24977015986394</v>
      </c>
      <c r="BE98" s="17">
        <v>16.103751941918816</v>
      </c>
      <c r="BF98" s="17">
        <v>3805.7258550000001</v>
      </c>
      <c r="BG98" s="17">
        <f t="shared" si="6"/>
        <v>50.7430114</v>
      </c>
      <c r="BH98" s="17">
        <v>2320.0727539999998</v>
      </c>
      <c r="BI98" s="17">
        <v>1538.257378</v>
      </c>
      <c r="BJ98" s="17">
        <v>20.26305031588209</v>
      </c>
      <c r="BK98" s="17">
        <v>30.747472999999999</v>
      </c>
      <c r="BL98" s="17">
        <v>98.806693999999993</v>
      </c>
      <c r="BM98" s="17">
        <v>115.091137</v>
      </c>
      <c r="BN98" s="17">
        <v>-7.6131875315743667</v>
      </c>
      <c r="BO98" s="17">
        <v>106.471024</v>
      </c>
      <c r="BP98" s="17">
        <v>71.918434000000005</v>
      </c>
      <c r="BQ98" s="17">
        <v>73.703770000000006</v>
      </c>
      <c r="BR98" s="17">
        <v>-1.2260053418776717</v>
      </c>
      <c r="BS98" s="17">
        <v>18.461890913207551</v>
      </c>
      <c r="BT98" s="17">
        <v>-69.895595245283005</v>
      </c>
      <c r="BU98" s="17">
        <v>91.106580509727621</v>
      </c>
      <c r="BV98" s="17">
        <v>-759.05090568750757</v>
      </c>
      <c r="BW98" s="17">
        <v>-17.930747162264151</v>
      </c>
      <c r="BX98" s="17">
        <v>-41.375181788679242</v>
      </c>
      <c r="BY98" s="17">
        <v>24.244252210116734</v>
      </c>
      <c r="BZ98" s="17">
        <v>383.0465457105816</v>
      </c>
      <c r="CA98" s="17">
        <v>0.92144494194745108</v>
      </c>
      <c r="CB98" s="17">
        <v>0.83377813498654263</v>
      </c>
      <c r="CC98" s="17">
        <v>0.80531482990612968</v>
      </c>
      <c r="CD98" s="17">
        <v>-1108.8127373342393</v>
      </c>
      <c r="CE98" s="17">
        <v>-426.03580045112625</v>
      </c>
      <c r="CF98" s="17">
        <v>44.484971648622249</v>
      </c>
      <c r="CG98" s="17">
        <v>2990.7903935619306</v>
      </c>
      <c r="CH98" s="17">
        <v>562.51314959217063</v>
      </c>
      <c r="CI98" s="17">
        <v>4816.6254388804864</v>
      </c>
      <c r="CJ98" s="17">
        <v>39.877205247492405</v>
      </c>
      <c r="CK98" s="17">
        <v>7.500175327895608</v>
      </c>
      <c r="CL98" s="17">
        <v>64.221672518406479</v>
      </c>
      <c r="CM98" s="17">
        <v>35.160528191364889</v>
      </c>
      <c r="CN98" s="4"/>
      <c r="CO98" s="4"/>
      <c r="CP98" s="4"/>
      <c r="CQ98" s="4"/>
      <c r="CR98" s="4"/>
      <c r="CS98" s="4"/>
      <c r="CT98" s="4"/>
    </row>
    <row r="99" spans="1:98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0"/>
      <c r="K99" s="17">
        <v>0.28597294648124999</v>
      </c>
      <c r="L99" s="17">
        <v>0.24082404776535216</v>
      </c>
      <c r="M99" s="17">
        <v>2.1736991091584432</v>
      </c>
      <c r="N99" s="17">
        <v>396875.20052200003</v>
      </c>
      <c r="O99" s="17">
        <v>182928.48380800002</v>
      </c>
      <c r="P99" s="17">
        <v>182925.07543700002</v>
      </c>
      <c r="Q99" s="17">
        <v>1613.3498173699188</v>
      </c>
      <c r="R99" s="17">
        <f t="shared" si="0"/>
        <v>18.544250774366883</v>
      </c>
      <c r="S99" s="17">
        <v>752.82009266255136</v>
      </c>
      <c r="T99" s="17">
        <v>869.78464499999995</v>
      </c>
      <c r="U99" s="17">
        <v>-7.2084439064280232</v>
      </c>
      <c r="V99" s="17">
        <v>1.3676616778987223</v>
      </c>
      <c r="W99" s="17">
        <v>2206.5167182617402</v>
      </c>
      <c r="X99" s="17">
        <f t="shared" si="1"/>
        <v>25.36226112944529</v>
      </c>
      <c r="Y99" s="17">
        <v>1961.29213</v>
      </c>
      <c r="Z99" s="17">
        <f t="shared" si="2"/>
        <v>22.543587701149427</v>
      </c>
      <c r="AA99" s="17">
        <v>943.41546600000004</v>
      </c>
      <c r="AB99" s="17">
        <v>1047.578186</v>
      </c>
      <c r="AC99" s="17">
        <v>-5.2316952339534586</v>
      </c>
      <c r="AD99" s="17">
        <v>1670.4006514832527</v>
      </c>
      <c r="AE99" s="17">
        <v>1.1624916523628048</v>
      </c>
      <c r="AF99" s="17">
        <v>0.97895954376159411</v>
      </c>
      <c r="AG99" s="17">
        <v>8.8361752404814773</v>
      </c>
      <c r="AH99" s="17">
        <v>3736.4301368831525</v>
      </c>
      <c r="AI99" s="17">
        <f t="shared" si="3"/>
        <v>42.947472837737386</v>
      </c>
      <c r="AJ99" s="17">
        <v>2.0499187289178815</v>
      </c>
      <c r="AK99" s="17">
        <v>1822.721108</v>
      </c>
      <c r="AL99" s="17">
        <v>-3.0000000000000001E-3</v>
      </c>
      <c r="AM99" s="17">
        <v>0.24399999999999999</v>
      </c>
      <c r="AN99" s="17">
        <v>0.24399999999999999</v>
      </c>
      <c r="AO99" s="17">
        <v>0.24099999999999999</v>
      </c>
      <c r="AP99" s="17">
        <v>0.61855670103092841</v>
      </c>
      <c r="AQ99" s="17">
        <v>0.246</v>
      </c>
      <c r="AR99" s="17">
        <v>0.24299999999999999</v>
      </c>
      <c r="AS99" s="17">
        <v>0.246</v>
      </c>
      <c r="AT99" s="17">
        <v>-0.61349693251533799</v>
      </c>
      <c r="AU99" s="17">
        <v>0.48299999999999998</v>
      </c>
      <c r="AV99" s="17">
        <v>3543.8222190000001</v>
      </c>
      <c r="AW99" s="17">
        <f t="shared" si="4"/>
        <v>40.733588724137931</v>
      </c>
      <c r="AX99" s="17">
        <v>1764.237793</v>
      </c>
      <c r="AY99" s="17">
        <v>2000.713882</v>
      </c>
      <c r="AZ99" s="17">
        <v>-6.2809860368260901</v>
      </c>
      <c r="BA99" s="17">
        <v>1853.7027961639344</v>
      </c>
      <c r="BB99" s="17">
        <f t="shared" si="5"/>
        <v>21.306928691539476</v>
      </c>
      <c r="BC99" s="17">
        <v>736.91309198360682</v>
      </c>
      <c r="BD99" s="17">
        <v>1130.7397655394191</v>
      </c>
      <c r="BE99" s="17">
        <v>-21.086717050733121</v>
      </c>
      <c r="BF99" s="17">
        <v>4247.6057579999997</v>
      </c>
      <c r="BG99" s="17">
        <f t="shared" si="6"/>
        <v>48.823054689655166</v>
      </c>
      <c r="BH99" s="17">
        <v>2057.6462550000001</v>
      </c>
      <c r="BI99" s="17">
        <v>2191.0776059999998</v>
      </c>
      <c r="BJ99" s="17">
        <v>-3.1405041929129904</v>
      </c>
      <c r="BK99" s="17">
        <v>30.134326999999999</v>
      </c>
      <c r="BL99" s="17">
        <v>187.33417499999999</v>
      </c>
      <c r="BM99" s="17">
        <v>161.76237499999999</v>
      </c>
      <c r="BN99" s="17">
        <v>7.3251368425153434</v>
      </c>
      <c r="BO99" s="17">
        <v>123.85551599999999</v>
      </c>
      <c r="BP99" s="17">
        <v>77.508883999999995</v>
      </c>
      <c r="BQ99" s="17">
        <v>55.291356</v>
      </c>
      <c r="BR99" s="17">
        <v>16.730036030055363</v>
      </c>
      <c r="BS99" s="17">
        <v>-3.4590270650406505</v>
      </c>
      <c r="BT99" s="17">
        <v>-125.50229809876544</v>
      </c>
      <c r="BU99" s="17">
        <v>120.48152610162606</v>
      </c>
      <c r="BV99" s="17">
        <v>4899.3227404180598</v>
      </c>
      <c r="BW99" s="17">
        <v>0.50934234146341251</v>
      </c>
      <c r="BX99" s="17">
        <v>-5.6673344362139924</v>
      </c>
      <c r="BY99" s="17">
        <v>6.3432473983739843</v>
      </c>
      <c r="BZ99" s="17">
        <v>-1776.9420778980436</v>
      </c>
      <c r="CA99" s="17">
        <v>0.92720126916148027</v>
      </c>
      <c r="CB99" s="17">
        <v>0.78080596700114313</v>
      </c>
      <c r="CC99" s="17">
        <v>0.82836608179643156</v>
      </c>
      <c r="CD99" s="17">
        <v>2443.7243740533149</v>
      </c>
      <c r="CE99" s="17">
        <v>-773.32372257006148</v>
      </c>
      <c r="CF99" s="17">
        <v>192.59140576644035</v>
      </c>
      <c r="CG99" s="17">
        <v>7935.8557550537407</v>
      </c>
      <c r="CH99" s="17">
        <v>5695.3526086425218</v>
      </c>
      <c r="CI99" s="17">
        <v>18283.28029745588</v>
      </c>
      <c r="CJ99" s="17">
        <v>91.216732816709666</v>
      </c>
      <c r="CK99" s="17">
        <v>65.463823087845071</v>
      </c>
      <c r="CL99" s="17">
        <v>210.15264709719403</v>
      </c>
      <c r="CM99" s="17">
        <v>53.359861870655543</v>
      </c>
      <c r="CN99" s="4"/>
      <c r="CO99" s="4"/>
      <c r="CP99" s="4"/>
      <c r="CQ99" s="4"/>
      <c r="CR99" s="4"/>
      <c r="CS99" s="4"/>
      <c r="CT99" s="4"/>
    </row>
    <row r="100" spans="1:98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60"/>
      <c r="K100" s="17">
        <v>0.48498910158124997</v>
      </c>
      <c r="L100" s="17">
        <v>0.44483768347104735</v>
      </c>
      <c r="M100" s="17">
        <v>2.9542706967544374</v>
      </c>
      <c r="N100" s="17">
        <v>484169.24540000007</v>
      </c>
      <c r="O100" s="17">
        <v>230648.16697500009</v>
      </c>
      <c r="P100" s="17">
        <v>230643.44214400009</v>
      </c>
      <c r="Q100" s="17">
        <v>1747.9911076028882</v>
      </c>
      <c r="R100" s="17">
        <f t="shared" si="0"/>
        <v>20.325477995382421</v>
      </c>
      <c r="S100" s="17">
        <v>860.65803835447753</v>
      </c>
      <c r="T100" s="17">
        <v>915.85560260649834</v>
      </c>
      <c r="U100" s="17">
        <v>-3.1070723567403964</v>
      </c>
      <c r="V100" s="17">
        <v>1.8811849160259346</v>
      </c>
      <c r="W100" s="17">
        <v>3288.2945049700197</v>
      </c>
      <c r="X100" s="17">
        <f>W100/D100</f>
        <v>38.23598261593046</v>
      </c>
      <c r="Y100" s="17">
        <v>2253.3119769999998</v>
      </c>
      <c r="Z100" s="17">
        <f t="shared" si="2"/>
        <v>26.201302058139532</v>
      </c>
      <c r="AA100" s="17">
        <v>1113.3651769999999</v>
      </c>
      <c r="AB100" s="17">
        <v>1148.6751790000001</v>
      </c>
      <c r="AC100" s="17">
        <v>-1.5609801967653387</v>
      </c>
      <c r="AD100" s="17">
        <v>-3132.9888952016472</v>
      </c>
      <c r="AE100" s="17">
        <v>1.7508631826037904</v>
      </c>
      <c r="AF100" s="17">
        <v>1.6059122146969218</v>
      </c>
      <c r="AG100" s="17">
        <v>10.66523717239869</v>
      </c>
      <c r="AH100" s="17">
        <v>4945.7550451027055</v>
      </c>
      <c r="AI100" s="17">
        <f t="shared" si="3"/>
        <v>57.508779594217508</v>
      </c>
      <c r="AJ100" s="17">
        <v>2.8043127550916012</v>
      </c>
      <c r="AK100" s="17">
        <v>1763.62463</v>
      </c>
      <c r="AL100" s="17">
        <v>8.9999999999999993E-3</v>
      </c>
      <c r="AM100" s="17">
        <v>0.26600000000000001</v>
      </c>
      <c r="AN100" s="17">
        <v>0.25700000000000001</v>
      </c>
      <c r="AO100" s="17">
        <v>0.26600000000000001</v>
      </c>
      <c r="AP100" s="17">
        <v>-1.720841300191206</v>
      </c>
      <c r="AQ100" s="17">
        <v>0.27700000000000002</v>
      </c>
      <c r="AR100" s="17">
        <v>0.26800000000000002</v>
      </c>
      <c r="AS100" s="17">
        <v>0.27700000000000002</v>
      </c>
      <c r="AT100" s="17">
        <v>-1.6513761467889922</v>
      </c>
      <c r="AU100" s="17">
        <v>0.629</v>
      </c>
      <c r="AV100" s="17">
        <v>2504.1789170000002</v>
      </c>
      <c r="AW100" s="17">
        <f t="shared" si="4"/>
        <v>29.1183595</v>
      </c>
      <c r="AX100" s="17">
        <v>1230.2055660000001</v>
      </c>
      <c r="AY100" s="17">
        <v>1276.9128720000001</v>
      </c>
      <c r="AZ100" s="17">
        <v>-1.8629876152663836</v>
      </c>
      <c r="BA100" s="17">
        <v>1755.6439803195487</v>
      </c>
      <c r="BB100" s="17">
        <f t="shared" si="5"/>
        <v>20.414464887436612</v>
      </c>
      <c r="BC100" s="17">
        <v>895.41289595719843</v>
      </c>
      <c r="BD100" s="17">
        <v>891.16449425939868</v>
      </c>
      <c r="BE100" s="17">
        <v>0.23779555932277258</v>
      </c>
      <c r="BF100" s="17">
        <v>5935.9216409999999</v>
      </c>
      <c r="BG100" s="17">
        <f t="shared" si="6"/>
        <v>69.022344662790701</v>
      </c>
      <c r="BH100" s="17">
        <v>2864.67274</v>
      </c>
      <c r="BI100" s="17">
        <v>3071.2489620000001</v>
      </c>
      <c r="BJ100" s="17">
        <v>-3.4801035520801777</v>
      </c>
      <c r="BK100" s="17">
        <v>35.778877999999992</v>
      </c>
      <c r="BL100" s="17">
        <v>110.510571</v>
      </c>
      <c r="BM100" s="17">
        <v>117.34534499999999</v>
      </c>
      <c r="BN100" s="17">
        <v>-2.999603486266293</v>
      </c>
      <c r="BO100" s="17">
        <v>164.55759699999999</v>
      </c>
      <c r="BP100" s="17">
        <v>79.438490000000002</v>
      </c>
      <c r="BQ100" s="17">
        <v>90.637420000000006</v>
      </c>
      <c r="BR100" s="17">
        <v>-6.5846656354800652</v>
      </c>
      <c r="BS100" s="17">
        <v>-3.1640570397112398E-2</v>
      </c>
      <c r="BT100" s="17">
        <v>-82.000824455223864</v>
      </c>
      <c r="BU100" s="17">
        <v>79.113297148014425</v>
      </c>
      <c r="BV100" s="17">
        <v>5579.6570720206291</v>
      </c>
      <c r="BW100" s="17">
        <v>0.62141415523465526</v>
      </c>
      <c r="BX100" s="17">
        <v>-12.128409798507459</v>
      </c>
      <c r="BY100" s="17">
        <v>13.681856231046932</v>
      </c>
      <c r="BZ100" s="17">
        <v>-1661.4841354626847</v>
      </c>
      <c r="CA100" s="17">
        <v>0.9183515980715562</v>
      </c>
      <c r="CB100" s="17">
        <v>0.85425689717662701</v>
      </c>
      <c r="CC100" s="17">
        <v>0.84669476494069018</v>
      </c>
      <c r="CD100" s="17">
        <v>-2335.9455112371897</v>
      </c>
      <c r="CE100" s="17">
        <v>-797.04338396445951</v>
      </c>
      <c r="CF100" s="17">
        <v>49.119297219011742</v>
      </c>
      <c r="CG100" s="17">
        <v>1719.3523251624104</v>
      </c>
      <c r="CH100" s="17">
        <v>1515.5664269543295</v>
      </c>
      <c r="CI100" s="17">
        <v>5735.9314021936552</v>
      </c>
      <c r="CJ100" s="17">
        <v>19.99246889723733</v>
      </c>
      <c r="CK100" s="17">
        <v>17.622865429701505</v>
      </c>
      <c r="CL100" s="17">
        <v>66.69687676969366</v>
      </c>
      <c r="CM100" s="17">
        <v>32.078841433676999</v>
      </c>
      <c r="CN100" s="4"/>
      <c r="CO100" s="4"/>
      <c r="CP100" s="4"/>
      <c r="CQ100" s="4"/>
      <c r="CR100" s="4"/>
      <c r="CS100" s="4"/>
      <c r="CT100" s="4"/>
    </row>
    <row r="101" spans="1:98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0"/>
      <c r="K101" s="17">
        <v>0.38442068000000001</v>
      </c>
      <c r="L101" s="17">
        <v>0.34975391948441337</v>
      </c>
      <c r="M101" s="17">
        <v>2.6195747556204978</v>
      </c>
      <c r="N101" s="17">
        <v>381672.33178900013</v>
      </c>
      <c r="O101" s="17">
        <v>193876.94699000005</v>
      </c>
      <c r="P101" s="17">
        <v>193876.64041700005</v>
      </c>
      <c r="Q101" s="17">
        <v>1343.966952419014</v>
      </c>
      <c r="R101" s="17">
        <v>18.929112005901604</v>
      </c>
      <c r="S101" s="17">
        <v>682.70994608450712</v>
      </c>
      <c r="T101" s="17">
        <v>677.99514124909751</v>
      </c>
      <c r="U101" s="17">
        <v>0.34649718585594425</v>
      </c>
      <c r="V101" s="17">
        <v>1.6412634277518177</v>
      </c>
      <c r="W101" s="17">
        <v>2205.8038071123951</v>
      </c>
      <c r="X101" s="17">
        <v>31.067659255104157</v>
      </c>
      <c r="Y101" s="17">
        <v>1752.3535609999999</v>
      </c>
      <c r="Z101" s="17">
        <v>24.681036070422532</v>
      </c>
      <c r="AA101" s="17">
        <v>892.95716100000004</v>
      </c>
      <c r="AB101" s="17">
        <v>869.09854099999995</v>
      </c>
      <c r="AC101" s="17">
        <v>1.354021894592756</v>
      </c>
      <c r="AD101" s="17">
        <v>-3389.4504628023233</v>
      </c>
      <c r="AE101" s="17">
        <v>1.3535939436619719</v>
      </c>
      <c r="AF101" s="17">
        <v>1.2315278855084979</v>
      </c>
      <c r="AG101" s="17">
        <v>9.2238547733116132</v>
      </c>
      <c r="AH101" s="17">
        <v>3524.6306051012148</v>
      </c>
      <c r="AI101" s="17">
        <v>49.642684578890346</v>
      </c>
      <c r="AJ101" s="17">
        <v>2.5127185471741322</v>
      </c>
      <c r="AK101" s="17">
        <v>1402.716038</v>
      </c>
      <c r="AL101" s="17">
        <v>8.0000000000000002E-3</v>
      </c>
      <c r="AM101" s="17">
        <v>0.22</v>
      </c>
      <c r="AN101" s="17">
        <v>0.21199999999999999</v>
      </c>
      <c r="AO101" s="17">
        <v>0.22</v>
      </c>
      <c r="AP101" s="17">
        <v>-1.8518518518518534</v>
      </c>
      <c r="AQ101" s="17">
        <v>0.28399999999999997</v>
      </c>
      <c r="AR101" s="17">
        <v>0.28399999999999997</v>
      </c>
      <c r="AS101" s="17">
        <v>0.27700000000000002</v>
      </c>
      <c r="AT101" s="17">
        <v>1.2477718360071215</v>
      </c>
      <c r="AU101" s="17">
        <v>0.56000000000000005</v>
      </c>
      <c r="AV101" s="17">
        <v>1919.7604899999999</v>
      </c>
      <c r="AW101" s="17">
        <v>27.03888014084507</v>
      </c>
      <c r="AX101" s="17">
        <v>1053.871948</v>
      </c>
      <c r="AY101" s="17">
        <v>1066.044678</v>
      </c>
      <c r="AZ101" s="17">
        <v>-0.57420795944075964</v>
      </c>
      <c r="BA101" s="17">
        <v>1606.0678918318183</v>
      </c>
      <c r="BB101" s="17">
        <v>22.620674532842511</v>
      </c>
      <c r="BC101" s="17">
        <v>836.75884066037736</v>
      </c>
      <c r="BD101" s="17">
        <v>800.29814952272716</v>
      </c>
      <c r="BE101" s="17">
        <v>2.2272096424433019</v>
      </c>
      <c r="BF101" s="17">
        <v>3899.555132</v>
      </c>
      <c r="BG101" s="17">
        <v>54.923311718309861</v>
      </c>
      <c r="BH101" s="17">
        <v>1894.729648</v>
      </c>
      <c r="BI101" s="17">
        <v>2043.8324720000001</v>
      </c>
      <c r="BJ101" s="17">
        <v>-3.7857172099141612</v>
      </c>
      <c r="BK101" s="17">
        <v>35.34607299999999</v>
      </c>
      <c r="BL101" s="17">
        <v>147.53377499999999</v>
      </c>
      <c r="BM101" s="17">
        <v>165.13467399999999</v>
      </c>
      <c r="BN101" s="17">
        <v>-5.6292533053119147</v>
      </c>
      <c r="BO101" s="17">
        <v>134.72984500000001</v>
      </c>
      <c r="BP101" s="17">
        <v>104.97422400000001</v>
      </c>
      <c r="BQ101" s="17">
        <v>60.160456000000003</v>
      </c>
      <c r="BR101" s="17">
        <v>27.137708445009856</v>
      </c>
      <c r="BS101" s="17">
        <v>6.8209332218309875</v>
      </c>
      <c r="BT101" s="17">
        <v>-109.94193755281691</v>
      </c>
      <c r="BU101" s="17">
        <v>119.70418211552345</v>
      </c>
      <c r="BV101" s="17">
        <v>-2352.390561343117</v>
      </c>
      <c r="BW101" s="17">
        <v>-44.086704299295782</v>
      </c>
      <c r="BX101" s="17">
        <v>-41.069677517605641</v>
      </c>
      <c r="BY101" s="17">
        <v>-3.0359130361010829</v>
      </c>
      <c r="BZ101" s="17">
        <v>86.233432097891082</v>
      </c>
      <c r="CA101" s="17">
        <v>0.91153073761204007</v>
      </c>
      <c r="CB101" s="17">
        <v>0.77955855156694587</v>
      </c>
      <c r="CC101" s="17">
        <v>0.79413703133522595</v>
      </c>
      <c r="CD101" s="17">
        <v>-2095.2893184961663</v>
      </c>
      <c r="CE101" s="17">
        <v>-1294.1611443061588</v>
      </c>
      <c r="CF101" s="17">
        <v>23.635931044929681</v>
      </c>
      <c r="CG101" s="17">
        <v>2122.8833239791325</v>
      </c>
      <c r="CH101" s="17">
        <v>2829.2908954623326</v>
      </c>
      <c r="CI101" s="17">
        <v>6643.5331036717052</v>
      </c>
      <c r="CJ101" s="17">
        <v>29.899765126466654</v>
      </c>
      <c r="CK101" s="17">
        <v>39.849167541722991</v>
      </c>
      <c r="CL101" s="17">
        <v>93.570888784108519</v>
      </c>
      <c r="CM101" s="17">
        <v>27.929434728599912</v>
      </c>
      <c r="CN101" s="4"/>
      <c r="CO101" s="4"/>
      <c r="CP101" s="4"/>
      <c r="CQ101" s="4"/>
      <c r="CR101" s="4"/>
      <c r="CS101" s="4"/>
      <c r="CT101" s="4"/>
    </row>
    <row r="102" spans="1:98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0"/>
      <c r="K102" s="17">
        <v>0.35745239249999999</v>
      </c>
      <c r="L102" s="17">
        <v>0.3350763120616379</v>
      </c>
      <c r="M102" s="17">
        <v>2.5640197430303333</v>
      </c>
      <c r="N102" s="17">
        <v>358921.14875800011</v>
      </c>
      <c r="O102" s="17">
        <v>187969.608894</v>
      </c>
      <c r="P102" s="17">
        <v>187965.91198400001</v>
      </c>
      <c r="Q102" s="17">
        <v>1359.5895620340914</v>
      </c>
      <c r="R102" s="17">
        <v>19.422708029058448</v>
      </c>
      <c r="S102" s="17">
        <v>712.04735323863622</v>
      </c>
      <c r="T102" s="17">
        <v>657.5284646846153</v>
      </c>
      <c r="U102" s="17">
        <v>3.9807134326225415</v>
      </c>
      <c r="V102" s="17">
        <v>1.7099571768651829</v>
      </c>
      <c r="W102" s="17">
        <v>2324.8399291911855</v>
      </c>
      <c r="X102" s="17">
        <v>33.211998988445508</v>
      </c>
      <c r="Y102" s="17">
        <v>1978.0995790000002</v>
      </c>
      <c r="Z102" s="17">
        <v>28.258565414285716</v>
      </c>
      <c r="AA102" s="17">
        <v>1048.011002</v>
      </c>
      <c r="AB102" s="17">
        <v>934.47076400000003</v>
      </c>
      <c r="AC102" s="17">
        <v>5.7271769126576642</v>
      </c>
      <c r="AD102" s="17">
        <v>-5759.6857720163262</v>
      </c>
      <c r="AE102" s="17">
        <v>1.3539863352272727</v>
      </c>
      <c r="AF102" s="17">
        <v>1.2692284547789314</v>
      </c>
      <c r="AG102" s="17">
        <v>9.7121959963270204</v>
      </c>
      <c r="AH102" s="17">
        <v>3242.0534895845794</v>
      </c>
      <c r="AI102" s="17">
        <v>46.315049851208279</v>
      </c>
      <c r="AJ102" s="17">
        <v>2.4821876722933522</v>
      </c>
      <c r="AK102" s="17">
        <v>1306.1274640000001</v>
      </c>
      <c r="AL102" s="17">
        <v>-2E-3</v>
      </c>
      <c r="AM102" s="17">
        <v>0.20100000000000001</v>
      </c>
      <c r="AN102" s="17">
        <v>0.20100000000000001</v>
      </c>
      <c r="AO102" s="17">
        <v>0.19900000000000001</v>
      </c>
      <c r="AP102" s="17">
        <v>0.50000000000000044</v>
      </c>
      <c r="AQ102" s="17">
        <v>0.26400000000000001</v>
      </c>
      <c r="AR102" s="17">
        <v>0.26400000000000001</v>
      </c>
      <c r="AS102" s="17">
        <v>0.26</v>
      </c>
      <c r="AT102" s="17">
        <v>0.76335877862595491</v>
      </c>
      <c r="AU102" s="17">
        <v>0.54</v>
      </c>
      <c r="AV102" s="17">
        <v>3291.4224549999999</v>
      </c>
      <c r="AW102" s="17">
        <v>47.020320785714283</v>
      </c>
      <c r="AX102" s="17">
        <v>1524.7501219999999</v>
      </c>
      <c r="AY102" s="17">
        <v>0.61314599999999997</v>
      </c>
      <c r="AZ102" s="17">
        <v>99.919606560238748</v>
      </c>
      <c r="BA102" s="17">
        <v>1665.9312839004972</v>
      </c>
      <c r="BB102" s="17">
        <v>23.799018341435673</v>
      </c>
      <c r="BC102" s="17">
        <v>846.11732999999992</v>
      </c>
      <c r="BD102" s="17">
        <v>828.06307726130638</v>
      </c>
      <c r="BE102" s="17">
        <v>1.0783935028977816</v>
      </c>
      <c r="BF102" s="17">
        <v>2282.0937880000001</v>
      </c>
      <c r="BG102" s="17">
        <v>32.601339828571433</v>
      </c>
      <c r="BH102" s="17">
        <v>1248.798309</v>
      </c>
      <c r="BI102" s="17">
        <v>1550.285873</v>
      </c>
      <c r="BJ102" s="17">
        <v>-10.770935934644928</v>
      </c>
      <c r="BK102" s="17">
        <v>42.198880000000003</v>
      </c>
      <c r="BL102" s="17">
        <v>169.228329</v>
      </c>
      <c r="BM102" s="17">
        <v>150.31097</v>
      </c>
      <c r="BN102" s="17">
        <v>5.9201979409737646</v>
      </c>
      <c r="BO102" s="17">
        <v>78.789275000000004</v>
      </c>
      <c r="BP102" s="17">
        <v>44.200623</v>
      </c>
      <c r="BQ102" s="17">
        <v>64.975453999999999</v>
      </c>
      <c r="BR102" s="17">
        <v>-19.028739235611113</v>
      </c>
      <c r="BS102" s="17">
        <v>-10.102770564393941</v>
      </c>
      <c r="BT102" s="17">
        <v>-130.9556061212121</v>
      </c>
      <c r="BU102" s="17">
        <v>122.70184461153845</v>
      </c>
      <c r="BV102" s="17">
        <v>3073.2345541539639</v>
      </c>
      <c r="BW102" s="17">
        <v>11.112658609848483</v>
      </c>
      <c r="BX102" s="17">
        <v>-10.4306565</v>
      </c>
      <c r="BY102" s="17">
        <v>21.897015423076923</v>
      </c>
      <c r="BZ102" s="17">
        <v>-281.93493802130172</v>
      </c>
      <c r="CA102" s="17">
        <v>0.9423615540025827</v>
      </c>
      <c r="CB102" s="17">
        <v>0.83080530204928016</v>
      </c>
      <c r="CC102" s="17">
        <v>0.8127548788153347</v>
      </c>
      <c r="CD102" s="17">
        <v>-3079.4006912508112</v>
      </c>
      <c r="CE102" s="17">
        <v>-2680.2850807655159</v>
      </c>
      <c r="CF102" s="17">
        <v>6.929468486361098</v>
      </c>
      <c r="CG102" s="17">
        <v>5003.7859331987147</v>
      </c>
      <c r="CH102" s="17">
        <v>2.1656975658039048</v>
      </c>
      <c r="CI102" s="17">
        <v>13390.932727063449</v>
      </c>
      <c r="CJ102" s="17">
        <v>71.482656188553065</v>
      </c>
      <c r="CK102" s="17">
        <v>3.0938536654341497E-2</v>
      </c>
      <c r="CL102" s="17">
        <v>191.29903895804927</v>
      </c>
      <c r="CM102" s="17">
        <v>71.615483190838233</v>
      </c>
      <c r="CN102" s="4"/>
      <c r="CO102" s="4"/>
      <c r="CP102" s="4"/>
      <c r="CQ102" s="4"/>
      <c r="CR102" s="4"/>
      <c r="CS102" s="4"/>
      <c r="CT102" s="4"/>
    </row>
    <row r="103" spans="1:98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0"/>
      <c r="K103" s="17">
        <v>0.28953643792499995</v>
      </c>
      <c r="L103" s="17">
        <v>0.2875148008381922</v>
      </c>
      <c r="M103" s="17">
        <v>2.3750874494311427</v>
      </c>
      <c r="N103" s="17">
        <v>413538.59916000016</v>
      </c>
      <c r="O103" s="17">
        <v>214290.52880100024</v>
      </c>
      <c r="P103" s="17">
        <v>214286.94009300024</v>
      </c>
      <c r="Q103" s="17">
        <v>1401.8503957457629</v>
      </c>
      <c r="R103" s="17">
        <v>17.744941718300797</v>
      </c>
      <c r="S103" s="17">
        <v>726.41725284067797</v>
      </c>
      <c r="T103" s="17">
        <v>709.29473139501772</v>
      </c>
      <c r="U103" s="17">
        <v>1.1926153458122359</v>
      </c>
      <c r="V103" s="17">
        <v>1.5488576917556818</v>
      </c>
      <c r="W103" s="17">
        <v>2171.2667681415714</v>
      </c>
      <c r="X103" s="17">
        <v>27.484389470146475</v>
      </c>
      <c r="Y103" s="17">
        <v>1777.853214</v>
      </c>
      <c r="Z103" s="17">
        <v>22.504471063291138</v>
      </c>
      <c r="AA103" s="17">
        <v>852.18291899999997</v>
      </c>
      <c r="AB103" s="17">
        <v>934.03794900000003</v>
      </c>
      <c r="AC103" s="17">
        <v>-4.582581665371074</v>
      </c>
      <c r="AD103" s="17">
        <v>-2749.6363729323284</v>
      </c>
      <c r="AE103" s="17">
        <v>0.98147945059322017</v>
      </c>
      <c r="AF103" s="17">
        <v>0.97462644351929562</v>
      </c>
      <c r="AG103" s="17">
        <v>8.0511438963767556</v>
      </c>
      <c r="AH103" s="17">
        <v>3534.1413516657694</v>
      </c>
      <c r="AI103" s="17">
        <v>44.73596647678189</v>
      </c>
      <c r="AJ103" s="17">
        <v>2.3316380528606286</v>
      </c>
      <c r="AK103" s="17">
        <v>1515.7332620000002</v>
      </c>
      <c r="AL103" s="17">
        <v>5.0000000000000001E-3</v>
      </c>
      <c r="AM103" s="17">
        <v>0.27100000000000002</v>
      </c>
      <c r="AN103" s="17">
        <v>0.26600000000000001</v>
      </c>
      <c r="AO103" s="17">
        <v>0.27100000000000002</v>
      </c>
      <c r="AP103" s="17">
        <v>-0.93109869646182575</v>
      </c>
      <c r="AQ103" s="17">
        <v>0.29499999999999998</v>
      </c>
      <c r="AR103" s="17">
        <v>0.29499999999999998</v>
      </c>
      <c r="AS103" s="17">
        <v>0.28100000000000003</v>
      </c>
      <c r="AT103" s="17">
        <v>2.4305555555555478</v>
      </c>
      <c r="AU103" s="17">
        <v>0.48599999999999999</v>
      </c>
      <c r="AV103" s="17">
        <v>3012.2967149999999</v>
      </c>
      <c r="AW103" s="17">
        <v>38.13033816455696</v>
      </c>
      <c r="AX103" s="17">
        <v>1748.8369829999999</v>
      </c>
      <c r="AY103" s="17">
        <v>1408.36058</v>
      </c>
      <c r="AZ103" s="17">
        <v>10.784133593352831</v>
      </c>
      <c r="BA103" s="17">
        <v>1597.0911871992619</v>
      </c>
      <c r="BB103" s="17">
        <v>20.216344141762807</v>
      </c>
      <c r="BC103" s="17">
        <v>797.45734012030096</v>
      </c>
      <c r="BD103" s="17">
        <v>814.36777764944657</v>
      </c>
      <c r="BE103" s="17">
        <v>-1.0491484059104546</v>
      </c>
      <c r="BF103" s="17">
        <v>5346.0570370000005</v>
      </c>
      <c r="BG103" s="17">
        <v>67.671608063291146</v>
      </c>
      <c r="BH103" s="17">
        <v>3034.0633849999999</v>
      </c>
      <c r="BI103" s="17">
        <v>2499.4541020000001</v>
      </c>
      <c r="BJ103" s="17">
        <v>9.6612920128285076</v>
      </c>
      <c r="BK103" s="17">
        <v>24.056965000000005</v>
      </c>
      <c r="BL103" s="17">
        <v>125.46051799999999</v>
      </c>
      <c r="BM103" s="17">
        <v>115.21737299999999</v>
      </c>
      <c r="BN103" s="17">
        <v>4.2559559407141387</v>
      </c>
      <c r="BO103" s="17">
        <v>148.77810499999998</v>
      </c>
      <c r="BP103" s="17">
        <v>71.124949999999998</v>
      </c>
      <c r="BQ103" s="17">
        <v>79.781131999999999</v>
      </c>
      <c r="BR103" s="17">
        <v>-5.7361385871776864</v>
      </c>
      <c r="BS103" s="17">
        <v>-8.7885903966101715</v>
      </c>
      <c r="BT103" s="17">
        <v>-80.682937833898293</v>
      </c>
      <c r="BU103" s="17">
        <v>75.486668875444835</v>
      </c>
      <c r="BV103" s="17">
        <v>3005.4180789714774</v>
      </c>
      <c r="BW103" s="17">
        <v>56.585806298305087</v>
      </c>
      <c r="BX103" s="17">
        <v>24.91347775254237</v>
      </c>
      <c r="BY103" s="17">
        <v>33.556433153024912</v>
      </c>
      <c r="BZ103" s="17">
        <v>-14.781885702616304</v>
      </c>
      <c r="CA103" s="17">
        <v>0.9113979043101692</v>
      </c>
      <c r="CB103" s="17">
        <v>0.81255587941363083</v>
      </c>
      <c r="CC103" s="17">
        <v>0.82728768029663635</v>
      </c>
      <c r="CD103" s="17">
        <v>-874.42555693779809</v>
      </c>
      <c r="CE103" s="17">
        <v>-1875.210815994529</v>
      </c>
      <c r="CF103" s="17">
        <v>-36.397003942359532</v>
      </c>
      <c r="CG103" s="17">
        <v>5702.1103142791371</v>
      </c>
      <c r="CH103" s="17">
        <v>2073.5658354922052</v>
      </c>
      <c r="CI103" s="17">
        <v>7190.7642620725064</v>
      </c>
      <c r="CJ103" s="17">
        <v>72.178611573153631</v>
      </c>
      <c r="CK103" s="17">
        <v>26.247668803698801</v>
      </c>
      <c r="CL103" s="17">
        <v>91.022332431297556</v>
      </c>
      <c r="CM103" s="17">
        <v>57.571077688473991</v>
      </c>
      <c r="CN103" s="4"/>
      <c r="CO103" s="4"/>
      <c r="CP103" s="4"/>
      <c r="CQ103" s="4"/>
      <c r="CR103" s="4"/>
      <c r="CS103" s="4"/>
      <c r="CT103" s="4"/>
    </row>
    <row r="104" spans="1:98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0"/>
      <c r="K104" s="17">
        <v>0.39827257312499992</v>
      </c>
      <c r="L104" s="17">
        <v>0.40700241840131135</v>
      </c>
      <c r="M104" s="17">
        <v>2.825842785618784</v>
      </c>
      <c r="N104" s="17">
        <v>404677.86292199977</v>
      </c>
      <c r="O104" s="17">
        <v>190590.73629800003</v>
      </c>
      <c r="P104" s="17">
        <v>190586.66068000003</v>
      </c>
      <c r="Q104" s="17">
        <v>1487.8206043492648</v>
      </c>
      <c r="R104" s="17">
        <v>20.105683842557632</v>
      </c>
      <c r="S104" s="17">
        <v>708.53968153159838</v>
      </c>
      <c r="T104" s="17">
        <v>787.15086065073535</v>
      </c>
      <c r="U104" s="17">
        <v>-5.2558451699799411</v>
      </c>
      <c r="V104" s="17">
        <v>1.7251066095411578</v>
      </c>
      <c r="W104" s="17">
        <v>2566.6491583744369</v>
      </c>
      <c r="X104" s="17">
        <v>34.684448086141039</v>
      </c>
      <c r="Y104" s="17">
        <v>1854.8932650000002</v>
      </c>
      <c r="Z104" s="17">
        <v>25.066125202702704</v>
      </c>
      <c r="AA104" s="17">
        <v>865.32951400000002</v>
      </c>
      <c r="AB104" s="17">
        <v>989.78016700000001</v>
      </c>
      <c r="AC104" s="17">
        <v>-6.7085334239059478</v>
      </c>
      <c r="AD104" s="17">
        <v>-3040.2216417498794</v>
      </c>
      <c r="AE104" s="17">
        <v>1.4642374011948525</v>
      </c>
      <c r="AF104" s="17">
        <v>1.4963324205930564</v>
      </c>
      <c r="AG104" s="17">
        <v>10.389127888304353</v>
      </c>
      <c r="AH104" s="17">
        <v>4042.199371089022</v>
      </c>
      <c r="AI104" s="17">
        <v>54.624315825527326</v>
      </c>
      <c r="AJ104" s="17">
        <v>2.6166734431124761</v>
      </c>
      <c r="AK104" s="17">
        <v>1544.785568</v>
      </c>
      <c r="AL104" s="17">
        <v>-4.0000000000000001E-3</v>
      </c>
      <c r="AM104" s="17">
        <v>0.23</v>
      </c>
      <c r="AN104" s="17">
        <v>0.23</v>
      </c>
      <c r="AO104" s="17">
        <v>0.22600000000000001</v>
      </c>
      <c r="AP104" s="17">
        <v>0.87719298245614119</v>
      </c>
      <c r="AQ104" s="17">
        <v>0.27200000000000002</v>
      </c>
      <c r="AR104" s="17">
        <v>0.26900000000000002</v>
      </c>
      <c r="AS104" s="17">
        <v>0.27200000000000002</v>
      </c>
      <c r="AT104" s="17">
        <v>-0.55452865064695056</v>
      </c>
      <c r="AU104" s="17">
        <v>0.56999999999999995</v>
      </c>
      <c r="AV104" s="17">
        <v>3342.511962</v>
      </c>
      <c r="AW104" s="17">
        <v>45.169080567567569</v>
      </c>
      <c r="AX104" s="17">
        <v>2052.7410580000001</v>
      </c>
      <c r="AY104" s="17">
        <v>1445.9428250000001</v>
      </c>
      <c r="AZ104" s="17">
        <v>17.343614150121262</v>
      </c>
      <c r="BA104" s="17">
        <v>1628.0845366260869</v>
      </c>
      <c r="BB104" s="17">
        <v>22.001142386839014</v>
      </c>
      <c r="BC104" s="17">
        <v>859.60239653913027</v>
      </c>
      <c r="BD104" s="17">
        <v>782.12349148230089</v>
      </c>
      <c r="BE104" s="17">
        <v>4.7193569658699293</v>
      </c>
      <c r="BF104" s="17">
        <v>6944.7995599999995</v>
      </c>
      <c r="BG104" s="17">
        <v>93.848642702702691</v>
      </c>
      <c r="BH104" s="17">
        <v>2994.2990420000001</v>
      </c>
      <c r="BI104" s="17">
        <v>4164.2359310000002</v>
      </c>
      <c r="BJ104" s="17">
        <v>-16.343244719941666</v>
      </c>
      <c r="BK104" s="17">
        <v>38.754445999999987</v>
      </c>
      <c r="BL104" s="17">
        <v>156.5326</v>
      </c>
      <c r="BM104" s="17">
        <v>173.08754300000001</v>
      </c>
      <c r="BN104" s="17">
        <v>-5.0224306225120499</v>
      </c>
      <c r="BO104" s="17">
        <v>172.79900699999999</v>
      </c>
      <c r="BP104" s="17">
        <v>102.052761</v>
      </c>
      <c r="BQ104" s="17">
        <v>73.180791999999997</v>
      </c>
      <c r="BR104" s="17">
        <v>16.476278946418446</v>
      </c>
      <c r="BS104" s="17">
        <v>6.3877784889705893</v>
      </c>
      <c r="BT104" s="17">
        <v>-123.23238107434946</v>
      </c>
      <c r="BU104" s="17">
        <v>128.2906814705882</v>
      </c>
      <c r="BV104" s="17">
        <v>-4972.4817199857462</v>
      </c>
      <c r="BW104" s="17">
        <v>42.597610632352932</v>
      </c>
      <c r="BX104" s="17">
        <v>33.97423469516729</v>
      </c>
      <c r="BY104" s="17">
        <v>9.1181617867647056</v>
      </c>
      <c r="BZ104" s="17">
        <v>57.680878618167284</v>
      </c>
      <c r="CA104" s="17">
        <v>0.89762453047676405</v>
      </c>
      <c r="CB104" s="17">
        <v>0.76992442510381409</v>
      </c>
      <c r="CC104" s="17">
        <v>0.80076159260617741</v>
      </c>
      <c r="CD104" s="17">
        <v>-1755.1036799590172</v>
      </c>
      <c r="CE104" s="17">
        <v>-1285.1179617908624</v>
      </c>
      <c r="CF104" s="17">
        <v>15.458929431791105</v>
      </c>
      <c r="CG104" s="17">
        <v>6797.0279520370086</v>
      </c>
      <c r="CH104" s="17">
        <v>2179.2890027943454</v>
      </c>
      <c r="CI104" s="17">
        <v>13517.456151213875</v>
      </c>
      <c r="CJ104" s="17">
        <v>91.851729081581198</v>
      </c>
      <c r="CK104" s="17">
        <v>29.449851389112776</v>
      </c>
      <c r="CL104" s="17">
        <v>182.66832636775507</v>
      </c>
      <c r="CM104" s="17">
        <v>63.649998419960788</v>
      </c>
      <c r="CN104" s="4"/>
      <c r="CO104" s="4"/>
      <c r="CP104" s="4"/>
      <c r="CQ104" s="4"/>
      <c r="CR104" s="4"/>
      <c r="CS104" s="4"/>
      <c r="CT104" s="4"/>
    </row>
    <row r="105" spans="1:98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0"/>
      <c r="K105" s="17">
        <v>0.22455267169999996</v>
      </c>
      <c r="L105" s="17">
        <v>0.26691169029264239</v>
      </c>
      <c r="M105" s="17">
        <v>2.2884071673418704</v>
      </c>
      <c r="N105" s="17">
        <v>355473.66279700008</v>
      </c>
      <c r="O105" s="17">
        <v>185801.59646500021</v>
      </c>
      <c r="P105" s="17">
        <v>185800.5505100002</v>
      </c>
      <c r="Q105" s="17">
        <v>1173.2074855940593</v>
      </c>
      <c r="R105" s="17">
        <v>17.253051258736168</v>
      </c>
      <c r="S105" s="17">
        <v>613.22968166336625</v>
      </c>
      <c r="T105" s="17">
        <v>577.16291899999999</v>
      </c>
      <c r="U105" s="17">
        <v>3.0298208039320351</v>
      </c>
      <c r="V105" s="17">
        <v>1.4626586113618796</v>
      </c>
      <c r="W105" s="17">
        <v>1716.0020317183692</v>
      </c>
      <c r="X105" s="17">
        <v>25.235323995858369</v>
      </c>
      <c r="Y105" s="17">
        <v>1400.7503590000001</v>
      </c>
      <c r="Z105" s="17">
        <v>20.599269985294118</v>
      </c>
      <c r="AA105" s="17">
        <v>712.06101200000001</v>
      </c>
      <c r="AB105" s="17">
        <v>703.80157099999997</v>
      </c>
      <c r="AC105" s="17">
        <v>0.58335046770566701</v>
      </c>
      <c r="AD105" s="17">
        <v>-390.64110874914797</v>
      </c>
      <c r="AE105" s="17">
        <v>0.74109792640264016</v>
      </c>
      <c r="AF105" s="17">
        <v>0.8808966676324832</v>
      </c>
      <c r="AG105" s="17">
        <v>7.5524989021183844</v>
      </c>
      <c r="AH105" s="17">
        <v>2802.1190927068424</v>
      </c>
      <c r="AI105" s="17">
        <v>41.207633716277094</v>
      </c>
      <c r="AJ105" s="17">
        <v>2.2388411636286216</v>
      </c>
      <c r="AK105" s="17">
        <v>1251.5935199999999</v>
      </c>
      <c r="AL105" s="17">
        <v>-1.2E-2</v>
      </c>
      <c r="AM105" s="17">
        <v>0.221</v>
      </c>
      <c r="AN105" s="17">
        <v>0.221</v>
      </c>
      <c r="AO105" s="17">
        <v>0.20899999999999999</v>
      </c>
      <c r="AP105" s="17">
        <v>2.7906976744186069</v>
      </c>
      <c r="AQ105" s="17">
        <v>0.30299999999999999</v>
      </c>
      <c r="AR105" s="17">
        <v>0.30299999999999999</v>
      </c>
      <c r="AS105" s="17">
        <v>0.29399999999999998</v>
      </c>
      <c r="AT105" s="17">
        <v>1.5075376884422125</v>
      </c>
      <c r="AU105" s="17">
        <v>0.42799999999999999</v>
      </c>
      <c r="AV105" s="17">
        <v>3116.0266040000001</v>
      </c>
      <c r="AW105" s="17">
        <v>45.823920647058827</v>
      </c>
      <c r="AX105" s="17">
        <v>1710.7137150000001</v>
      </c>
      <c r="AY105" s="17">
        <v>1412.400124</v>
      </c>
      <c r="AZ105" s="17">
        <v>9.5518001065090239</v>
      </c>
      <c r="BA105" s="17">
        <v>1532.190377488688</v>
      </c>
      <c r="BB105" s="17">
        <v>22.532211433657178</v>
      </c>
      <c r="BC105" s="17">
        <v>825.90798316289602</v>
      </c>
      <c r="BD105" s="17">
        <v>746.92267749760788</v>
      </c>
      <c r="BE105" s="17">
        <v>5.0218569386305445</v>
      </c>
      <c r="BF105" s="17">
        <v>2332.4077900000002</v>
      </c>
      <c r="BG105" s="17">
        <v>34.30011455882353</v>
      </c>
      <c r="BH105" s="17">
        <v>1508.465698</v>
      </c>
      <c r="BI105" s="17">
        <v>873.66109200000005</v>
      </c>
      <c r="BJ105" s="17">
        <v>26.648648957933922</v>
      </c>
      <c r="BK105" s="17">
        <v>36.572361000000001</v>
      </c>
      <c r="BL105" s="17">
        <v>68.185455000000005</v>
      </c>
      <c r="BM105" s="17">
        <v>94.388433000000006</v>
      </c>
      <c r="BN105" s="17">
        <v>-16.117580948792956</v>
      </c>
      <c r="BO105" s="17">
        <v>131.70018400000001</v>
      </c>
      <c r="BP105" s="17">
        <v>52.351855999999998</v>
      </c>
      <c r="BQ105" s="17">
        <v>80.935287000000002</v>
      </c>
      <c r="BR105" s="17">
        <v>-21.445002388564966</v>
      </c>
      <c r="BS105" s="17">
        <v>19.345944567656758</v>
      </c>
      <c r="BT105" s="17">
        <v>-47.408895963696374</v>
      </c>
      <c r="BU105" s="17">
        <v>68.784064040816318</v>
      </c>
      <c r="BV105" s="17">
        <v>-543.58852096646683</v>
      </c>
      <c r="BW105" s="17">
        <v>70.005431442244216</v>
      </c>
      <c r="BX105" s="17">
        <v>31.075235719471948</v>
      </c>
      <c r="BY105" s="17">
        <v>40.159291955782315</v>
      </c>
      <c r="BZ105" s="17">
        <v>-12.752321848364023</v>
      </c>
      <c r="CA105" s="17">
        <v>0.89275328959761313</v>
      </c>
      <c r="CB105" s="17">
        <v>0.85522753569130117</v>
      </c>
      <c r="CC105" s="17">
        <v>0.80057026934059616</v>
      </c>
      <c r="CD105" s="17">
        <v>228.70374643882511</v>
      </c>
      <c r="CE105" s="17">
        <v>-619.34485518797305</v>
      </c>
      <c r="CF105" s="17">
        <v>-217.0914895112528</v>
      </c>
      <c r="CG105" s="17">
        <v>8487.1518129277556</v>
      </c>
      <c r="CH105" s="17">
        <v>8209.2209038876554</v>
      </c>
      <c r="CI105" s="17">
        <v>16893.695008911989</v>
      </c>
      <c r="CJ105" s="17">
        <v>124.811056072467</v>
      </c>
      <c r="CK105" s="17">
        <v>120.72383682187728</v>
      </c>
      <c r="CL105" s="17">
        <v>248.43669130752926</v>
      </c>
      <c r="CM105" s="17">
        <v>59.301229188093288</v>
      </c>
      <c r="CN105" s="4"/>
      <c r="CO105" s="4"/>
      <c r="CP105" s="4"/>
      <c r="CQ105" s="4"/>
      <c r="CR105" s="4"/>
      <c r="CS105" s="4"/>
      <c r="CT105" s="4"/>
    </row>
    <row r="106" spans="1:98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0"/>
      <c r="K106" s="17">
        <v>0.34303784283124999</v>
      </c>
      <c r="L106" s="17">
        <v>0.36393691032423348</v>
      </c>
      <c r="M106" s="17">
        <v>2.6721605828545298</v>
      </c>
      <c r="N106" s="17">
        <v>380282.97911599977</v>
      </c>
      <c r="O106" s="17">
        <v>198304.24083200013</v>
      </c>
      <c r="P106" s="17">
        <v>198303.17684300014</v>
      </c>
      <c r="Q106" s="17">
        <v>1571.4461826239669</v>
      </c>
      <c r="R106" s="17">
        <v>20.676923455578514</v>
      </c>
      <c r="S106" s="17">
        <v>819.463752161157</v>
      </c>
      <c r="T106" s="17">
        <v>784.44086146120685</v>
      </c>
      <c r="U106" s="17">
        <v>2.1836018428086037</v>
      </c>
      <c r="V106" s="17">
        <v>1.8465519692257935</v>
      </c>
      <c r="W106" s="17">
        <v>2901.757043056642</v>
      </c>
      <c r="X106" s="17">
        <v>38.181013724429498</v>
      </c>
      <c r="Y106" s="17">
        <v>2318.1071019999999</v>
      </c>
      <c r="Z106" s="17">
        <v>30.501409236842104</v>
      </c>
      <c r="AA106" s="17">
        <v>1195.472626</v>
      </c>
      <c r="AB106" s="17">
        <v>1127.269135</v>
      </c>
      <c r="AC106" s="17">
        <v>2.9363355042377428</v>
      </c>
      <c r="AD106" s="17">
        <v>-6120.1471606561881</v>
      </c>
      <c r="AE106" s="17">
        <v>1.4175117472365704</v>
      </c>
      <c r="AF106" s="17">
        <v>1.5038715302654275</v>
      </c>
      <c r="AG106" s="17">
        <v>11.041985879564173</v>
      </c>
      <c r="AH106" s="17">
        <v>3763.172027108159</v>
      </c>
      <c r="AI106" s="17">
        <v>49.515421409317881</v>
      </c>
      <c r="AJ106" s="17">
        <v>2.5504695705828082</v>
      </c>
      <c r="AK106" s="17">
        <v>1475.482033</v>
      </c>
      <c r="AL106" s="17">
        <v>-3.0000000000000001E-3</v>
      </c>
      <c r="AM106" s="17">
        <v>0.191</v>
      </c>
      <c r="AN106" s="17">
        <v>0.191</v>
      </c>
      <c r="AO106" s="17">
        <v>0.188</v>
      </c>
      <c r="AP106" s="17">
        <v>0.7915567282321907</v>
      </c>
      <c r="AQ106" s="17">
        <v>0.24199999999999999</v>
      </c>
      <c r="AR106" s="17">
        <v>0.24199999999999999</v>
      </c>
      <c r="AS106" s="17">
        <v>0.23200000000000001</v>
      </c>
      <c r="AT106" s="17">
        <v>2.109704641350207</v>
      </c>
      <c r="AU106" s="17">
        <v>0.52900000000000003</v>
      </c>
      <c r="AV106" s="17">
        <v>2720.5293430000002</v>
      </c>
      <c r="AW106" s="17">
        <v>35.796438723684211</v>
      </c>
      <c r="AX106" s="17">
        <v>1840.808929</v>
      </c>
      <c r="AY106" s="17">
        <v>803.13124100000005</v>
      </c>
      <c r="AZ106" s="17">
        <v>39.247396736666701</v>
      </c>
      <c r="BA106" s="17">
        <v>1870.4314116020939</v>
      </c>
      <c r="BB106" s="17">
        <v>24.610939626343342</v>
      </c>
      <c r="BC106" s="17">
        <v>979.21399127748703</v>
      </c>
      <c r="BD106" s="17">
        <v>905.44233224468098</v>
      </c>
      <c r="BE106" s="17">
        <v>3.9143295311761022</v>
      </c>
      <c r="BF106" s="17">
        <v>3141.2918440000003</v>
      </c>
      <c r="BG106" s="17">
        <v>41.332787421052636</v>
      </c>
      <c r="BH106" s="17">
        <v>2112.9917300000002</v>
      </c>
      <c r="BI106" s="17">
        <v>1077.5141369999999</v>
      </c>
      <c r="BJ106" s="17">
        <v>32.454965957284045</v>
      </c>
      <c r="BK106" s="17">
        <v>83.099327000000002</v>
      </c>
      <c r="BL106" s="17">
        <v>102.64787699999999</v>
      </c>
      <c r="BM106" s="17">
        <v>177.18118999999999</v>
      </c>
      <c r="BN106" s="17">
        <v>-26.635300542241382</v>
      </c>
      <c r="BO106" s="17">
        <v>110.294168</v>
      </c>
      <c r="BP106" s="17">
        <v>62.252363000000003</v>
      </c>
      <c r="BQ106" s="17">
        <v>49.430399000000001</v>
      </c>
      <c r="BR106" s="17">
        <v>11.480701023493673</v>
      </c>
      <c r="BS106" s="17">
        <v>60.315753144628097</v>
      </c>
      <c r="BT106" s="17">
        <v>-78.545672223140485</v>
      </c>
      <c r="BU106" s="17">
        <v>144.81729366379312</v>
      </c>
      <c r="BV106" s="17">
        <v>-337.04164924794986</v>
      </c>
      <c r="BW106" s="17">
        <v>34.548712140495859</v>
      </c>
      <c r="BX106" s="17">
        <v>24.114720876033054</v>
      </c>
      <c r="BY106" s="17">
        <v>10.925007706896551</v>
      </c>
      <c r="BZ106" s="17">
        <v>37.642167055946231</v>
      </c>
      <c r="CA106" s="17">
        <v>0.92299683494759699</v>
      </c>
      <c r="CB106" s="17">
        <v>0.8787830571151658</v>
      </c>
      <c r="CC106" s="17">
        <v>0.83262071393521064</v>
      </c>
      <c r="CD106" s="17">
        <v>-2998.1987104306227</v>
      </c>
      <c r="CE106" s="17">
        <v>-3121.948450225565</v>
      </c>
      <c r="CF106" s="17">
        <v>-2.0220059509430848</v>
      </c>
      <c r="CG106" s="17">
        <v>4730.4862653730015</v>
      </c>
      <c r="CH106" s="17">
        <v>1946.6127859412795</v>
      </c>
      <c r="CI106" s="17">
        <v>9012.8932961709233</v>
      </c>
      <c r="CJ106" s="17">
        <v>62.243240333855283</v>
      </c>
      <c r="CK106" s="17">
        <v>25.61332613080631</v>
      </c>
      <c r="CL106" s="17">
        <v>118.59070126540689</v>
      </c>
      <c r="CM106" s="17">
        <v>41.124765696011828</v>
      </c>
      <c r="CN106" s="4"/>
      <c r="CO106" s="4"/>
      <c r="CP106" s="4"/>
      <c r="CQ106" s="4"/>
      <c r="CR106" s="4"/>
      <c r="CS106" s="4"/>
      <c r="CT106" s="4"/>
    </row>
    <row r="107" spans="1:98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0"/>
      <c r="K107" s="17">
        <v>0.42815956483124989</v>
      </c>
      <c r="L107" s="17">
        <v>0.39347480020182407</v>
      </c>
      <c r="M107" s="17">
        <v>2.7784844034040912</v>
      </c>
      <c r="N107" s="17">
        <v>426943.74111299985</v>
      </c>
      <c r="O107" s="17">
        <v>218720.74395900004</v>
      </c>
      <c r="P107" s="17">
        <v>218713.85508200005</v>
      </c>
      <c r="Q107" s="17">
        <v>1575.5456293505538</v>
      </c>
      <c r="R107" s="17">
        <v>19.943615561399415</v>
      </c>
      <c r="S107" s="17">
        <v>828.53439021212114</v>
      </c>
      <c r="T107" s="17">
        <v>768.97500178966789</v>
      </c>
      <c r="U107" s="17">
        <v>3.7282653060224735</v>
      </c>
      <c r="V107" s="17">
        <v>1.8226187471986079</v>
      </c>
      <c r="W107" s="17">
        <v>2871.6190011211488</v>
      </c>
      <c r="X107" s="17">
        <v>36.349607609128469</v>
      </c>
      <c r="Y107" s="17">
        <v>2300.0914160000002</v>
      </c>
      <c r="Z107" s="17">
        <v>29.115081215189875</v>
      </c>
      <c r="AA107" s="17">
        <v>1142.255142</v>
      </c>
      <c r="AB107" s="17">
        <v>1158.2149810000001</v>
      </c>
      <c r="AC107" s="17">
        <v>-0.69376423716327917</v>
      </c>
      <c r="AD107" s="17">
        <v>-7404.9822067942659</v>
      </c>
      <c r="AE107" s="17">
        <v>1.5799245934732467</v>
      </c>
      <c r="AF107" s="17">
        <v>1.4519365321100519</v>
      </c>
      <c r="AG107" s="17">
        <v>10.252709975660853</v>
      </c>
      <c r="AH107" s="17">
        <v>4156.23615832002</v>
      </c>
      <c r="AI107" s="17">
        <v>52.610584282531896</v>
      </c>
      <c r="AJ107" s="17">
        <v>2.6725233447532375</v>
      </c>
      <c r="AK107" s="17">
        <v>1555.173004</v>
      </c>
      <c r="AL107" s="17">
        <v>1E-3</v>
      </c>
      <c r="AM107" s="17">
        <v>0.247</v>
      </c>
      <c r="AN107" s="17">
        <v>0.246</v>
      </c>
      <c r="AO107" s="17">
        <v>0.247</v>
      </c>
      <c r="AP107" s="17">
        <v>-0.20283975659229225</v>
      </c>
      <c r="AQ107" s="17">
        <v>0.27100000000000002</v>
      </c>
      <c r="AR107" s="17">
        <v>0.26400000000000001</v>
      </c>
      <c r="AS107" s="17">
        <v>0.27100000000000002</v>
      </c>
      <c r="AT107" s="17">
        <v>-1.3084112149532721</v>
      </c>
      <c r="AU107" s="17">
        <v>0.59099999999999997</v>
      </c>
      <c r="AV107" s="17">
        <v>2458.950386</v>
      </c>
      <c r="AW107" s="17">
        <v>31.125954253164558</v>
      </c>
      <c r="AX107" s="17">
        <v>1374.5293429999999</v>
      </c>
      <c r="AY107" s="17">
        <v>1193.8496090000001</v>
      </c>
      <c r="AZ107" s="17">
        <v>7.0347770861190204</v>
      </c>
      <c r="BA107" s="17">
        <v>1676.2642453117405</v>
      </c>
      <c r="BB107" s="17">
        <v>21.218534750781526</v>
      </c>
      <c r="BC107" s="17">
        <v>834.74140789024375</v>
      </c>
      <c r="BD107" s="17">
        <v>845.00975642510127</v>
      </c>
      <c r="BE107" s="17">
        <v>-0.61130176617813692</v>
      </c>
      <c r="BF107" s="17">
        <v>3270.0525200000002</v>
      </c>
      <c r="BG107" s="17">
        <v>41.393069873417723</v>
      </c>
      <c r="BH107" s="17">
        <v>1627.27179</v>
      </c>
      <c r="BI107" s="17">
        <v>1686.855141</v>
      </c>
      <c r="BJ107" s="17">
        <v>-1.7978596547604591</v>
      </c>
      <c r="BK107" s="17">
        <v>23.101181000000011</v>
      </c>
      <c r="BL107" s="17">
        <v>137.56113400000001</v>
      </c>
      <c r="BM107" s="17">
        <v>132.43956399999999</v>
      </c>
      <c r="BN107" s="17">
        <v>1.8968728740101333</v>
      </c>
      <c r="BO107" s="17">
        <v>93.342478</v>
      </c>
      <c r="BP107" s="17">
        <v>68.437925000000007</v>
      </c>
      <c r="BQ107" s="17">
        <v>39.421686999999999</v>
      </c>
      <c r="BR107" s="17">
        <v>26.901856461341627</v>
      </c>
      <c r="BS107" s="17">
        <v>-4.6037198671586728</v>
      </c>
      <c r="BT107" s="17">
        <v>-102.89344628787879</v>
      </c>
      <c r="BU107" s="17">
        <v>95.429066258302583</v>
      </c>
      <c r="BV107" s="17">
        <v>2656.9187495862434</v>
      </c>
      <c r="BW107" s="17">
        <v>5.1674895904059035</v>
      </c>
      <c r="BX107" s="17">
        <v>-10.741328143939393</v>
      </c>
      <c r="BY107" s="17">
        <v>16.67086672693727</v>
      </c>
      <c r="BZ107" s="17">
        <v>-462.29895441573314</v>
      </c>
      <c r="CA107" s="17">
        <v>0.95181379314347425</v>
      </c>
      <c r="CB107" s="17">
        <v>0.84721051946494175</v>
      </c>
      <c r="CC107" s="17">
        <v>0.87078842034371451</v>
      </c>
      <c r="CD107" s="17">
        <v>-3519.1121274504449</v>
      </c>
      <c r="CE107" s="17">
        <v>-3885.8700793438161</v>
      </c>
      <c r="CF107" s="17">
        <v>-4.9528539252513184</v>
      </c>
      <c r="CG107" s="17">
        <v>1928.6703795263629</v>
      </c>
      <c r="CH107" s="17">
        <v>1660.4370453754163</v>
      </c>
      <c r="CI107" s="17">
        <v>5822.2815578309746</v>
      </c>
      <c r="CJ107" s="17">
        <v>24.413549107928645</v>
      </c>
      <c r="CK107" s="17">
        <v>21.018190447790079</v>
      </c>
      <c r="CL107" s="17">
        <v>73.69976655482246</v>
      </c>
      <c r="CM107" s="17">
        <v>54.897948721768145</v>
      </c>
      <c r="CN107" s="4"/>
      <c r="CO107" s="4"/>
      <c r="CP107" s="4"/>
      <c r="CQ107" s="4"/>
      <c r="CR107" s="4"/>
      <c r="CS107" s="4"/>
      <c r="CT107" s="4"/>
    </row>
    <row r="108" spans="1:98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0"/>
      <c r="K108" s="17">
        <v>0.38855050548124992</v>
      </c>
      <c r="L108" s="17">
        <v>0.26511730513106097</v>
      </c>
      <c r="M108" s="17">
        <v>2.2807019811170894</v>
      </c>
      <c r="N108" s="17">
        <v>316656.06700499996</v>
      </c>
      <c r="O108" s="17">
        <v>172733.18028900019</v>
      </c>
      <c r="P108" s="17">
        <v>172732.33270500018</v>
      </c>
      <c r="Q108" s="17">
        <v>1217.9310470423077</v>
      </c>
      <c r="R108" s="17">
        <v>18.453500712762239</v>
      </c>
      <c r="S108" s="17">
        <v>664.37558711153849</v>
      </c>
      <c r="T108" s="17">
        <v>568.89873752569167</v>
      </c>
      <c r="U108" s="17">
        <v>7.7417365851617408</v>
      </c>
      <c r="V108" s="17">
        <v>1.4436843236009673</v>
      </c>
      <c r="W108" s="17">
        <v>1758.3079598418919</v>
      </c>
      <c r="X108" s="17">
        <v>26.641029694574119</v>
      </c>
      <c r="Y108" s="17">
        <v>1555.1188959999999</v>
      </c>
      <c r="Z108" s="17">
        <v>23.562407515151513</v>
      </c>
      <c r="AA108" s="17">
        <v>895.15727200000003</v>
      </c>
      <c r="AB108" s="17">
        <v>659.96162400000003</v>
      </c>
      <c r="AC108" s="17">
        <v>15.123965672654267</v>
      </c>
      <c r="AD108" s="17">
        <v>-1251.5686881476436</v>
      </c>
      <c r="AE108" s="17">
        <v>1.4944250210817305</v>
      </c>
      <c r="AF108" s="17">
        <v>1.0196819428117729</v>
      </c>
      <c r="AG108" s="17">
        <v>8.7719306966041906</v>
      </c>
      <c r="AH108" s="17">
        <v>2725.7221110697665</v>
      </c>
      <c r="AI108" s="17">
        <v>41.298819864693428</v>
      </c>
      <c r="AJ108" s="17">
        <v>2.1872242925275645</v>
      </c>
      <c r="AK108" s="17">
        <v>1246.201462</v>
      </c>
      <c r="AL108" s="17">
        <v>3.0000000000000001E-3</v>
      </c>
      <c r="AM108" s="17">
        <v>0.24</v>
      </c>
      <c r="AN108" s="17">
        <v>0.23699999999999999</v>
      </c>
      <c r="AO108" s="17">
        <v>0.24</v>
      </c>
      <c r="AP108" s="17">
        <v>-0.62893081761006342</v>
      </c>
      <c r="AQ108" s="17">
        <v>0.26</v>
      </c>
      <c r="AR108" s="17">
        <v>0.26</v>
      </c>
      <c r="AS108" s="17">
        <v>0.253</v>
      </c>
      <c r="AT108" s="17">
        <v>1.3645224171539971</v>
      </c>
      <c r="AU108" s="17">
        <v>0.56299999999999994</v>
      </c>
      <c r="AV108" s="17">
        <v>1917.6685869999999</v>
      </c>
      <c r="AW108" s="17">
        <v>29.055584651515151</v>
      </c>
      <c r="AX108" s="17">
        <v>1509.7099909999999</v>
      </c>
      <c r="AY108" s="17">
        <v>0.46887600000000001</v>
      </c>
      <c r="AZ108" s="17">
        <v>99.937904574054684</v>
      </c>
      <c r="BA108" s="17">
        <v>1424.6997830541666</v>
      </c>
      <c r="BB108" s="17">
        <v>21.586360349305554</v>
      </c>
      <c r="BC108" s="17">
        <v>888.00244812236292</v>
      </c>
      <c r="BD108" s="17">
        <v>547.8128444708334</v>
      </c>
      <c r="BE108" s="17">
        <v>23.693131380229286</v>
      </c>
      <c r="BF108" s="17">
        <v>1099.7677659999999</v>
      </c>
      <c r="BG108" s="17">
        <v>16.663147969696968</v>
      </c>
      <c r="BH108" s="17">
        <v>582.95771100000002</v>
      </c>
      <c r="BI108" s="17">
        <v>655.23678099999995</v>
      </c>
      <c r="BJ108" s="17">
        <v>-5.8374569154520133</v>
      </c>
      <c r="BK108" s="17">
        <v>45.030173999999988</v>
      </c>
      <c r="BL108" s="17">
        <v>149.283051</v>
      </c>
      <c r="BM108" s="17">
        <v>161.906643</v>
      </c>
      <c r="BN108" s="17">
        <v>-4.0565585054368807</v>
      </c>
      <c r="BO108" s="17">
        <v>83.496071999999998</v>
      </c>
      <c r="BP108" s="17">
        <v>44.344892000000002</v>
      </c>
      <c r="BQ108" s="17">
        <v>48.474612</v>
      </c>
      <c r="BR108" s="17">
        <v>-4.4491942124577601</v>
      </c>
      <c r="BS108" s="17">
        <v>18.479211515384613</v>
      </c>
      <c r="BT108" s="17">
        <v>-113.59336449615381</v>
      </c>
      <c r="BU108" s="17">
        <v>135.70430492490121</v>
      </c>
      <c r="BV108" s="17">
        <v>-1127.4856002819865</v>
      </c>
      <c r="BW108" s="17">
        <v>-34.161186246153854</v>
      </c>
      <c r="BX108" s="17">
        <v>-14.139815349999994</v>
      </c>
      <c r="BY108" s="17">
        <v>-20.554151861660081</v>
      </c>
      <c r="BZ108" s="17">
        <v>-18.488333930010558</v>
      </c>
      <c r="CA108" s="17">
        <v>0.92366191497614292</v>
      </c>
      <c r="CB108" s="17">
        <v>0.82216148756208074</v>
      </c>
      <c r="CC108" s="17">
        <v>0.75827773159731915</v>
      </c>
      <c r="CD108" s="17">
        <v>-1279.01274039645</v>
      </c>
      <c r="CE108" s="17">
        <v>27.444052248804482</v>
      </c>
      <c r="CF108" s="17">
        <v>104.38554471819239</v>
      </c>
      <c r="CG108" s="17">
        <v>8442.7879965571628</v>
      </c>
      <c r="CH108" s="17">
        <v>0.74756618704644384</v>
      </c>
      <c r="CI108" s="17">
        <v>10423.983796419383</v>
      </c>
      <c r="CJ108" s="17">
        <v>127.92103025086611</v>
      </c>
      <c r="CK108" s="17">
        <v>1.1326760409794604E-2</v>
      </c>
      <c r="CL108" s="17">
        <v>157.9391484305967</v>
      </c>
      <c r="CM108" s="17">
        <v>28.337941534002915</v>
      </c>
      <c r="CN108" s="4"/>
      <c r="CO108" s="4"/>
      <c r="CP108" s="4"/>
      <c r="CQ108" s="4"/>
      <c r="CR108" s="4"/>
      <c r="CS108" s="4"/>
      <c r="CT108" s="4"/>
    </row>
    <row r="109" spans="1:98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0"/>
      <c r="K109" s="17">
        <v>0.37216359333125004</v>
      </c>
      <c r="L109" s="17">
        <v>0.32067587637657452</v>
      </c>
      <c r="M109" s="17">
        <v>2.5083183000784395</v>
      </c>
      <c r="N109" s="17">
        <v>338710.30203800014</v>
      </c>
      <c r="O109" s="17">
        <v>167193.13467299999</v>
      </c>
      <c r="P109" s="17">
        <v>167189.40169500001</v>
      </c>
      <c r="Q109" s="17">
        <v>1287.9662221368824</v>
      </c>
      <c r="R109" s="17">
        <v>19.223376449804213</v>
      </c>
      <c r="S109" s="17">
        <v>650.58269667315187</v>
      </c>
      <c r="T109" s="17">
        <v>652.56376260456261</v>
      </c>
      <c r="U109" s="17">
        <v>-0.15202174071122987</v>
      </c>
      <c r="V109" s="17">
        <v>1.6422719880607251</v>
      </c>
      <c r="W109" s="17">
        <v>2115.1908481837991</v>
      </c>
      <c r="X109" s="17">
        <v>31.570012659459689</v>
      </c>
      <c r="Y109" s="17">
        <v>1778.105728</v>
      </c>
      <c r="Z109" s="17">
        <v>26.538891462686568</v>
      </c>
      <c r="AA109" s="17">
        <v>890.03569800000002</v>
      </c>
      <c r="AB109" s="17">
        <v>892.21778099999995</v>
      </c>
      <c r="AC109" s="17">
        <v>-0.12243393129602753</v>
      </c>
      <c r="AD109" s="17">
        <v>-4201.6294577580693</v>
      </c>
      <c r="AE109" s="17">
        <v>1.4150706970769964</v>
      </c>
      <c r="AF109" s="17">
        <v>1.2192999101770894</v>
      </c>
      <c r="AG109" s="17">
        <v>9.5373319394617475</v>
      </c>
      <c r="AH109" s="17">
        <v>3109.7663829019912</v>
      </c>
      <c r="AI109" s="17">
        <v>46.414423625402854</v>
      </c>
      <c r="AJ109" s="17">
        <v>2.4075988168127207</v>
      </c>
      <c r="AK109" s="17">
        <v>1291.646416</v>
      </c>
      <c r="AL109" s="17">
        <v>-1.4E-2</v>
      </c>
      <c r="AM109" s="17">
        <v>0.23499999999999999</v>
      </c>
      <c r="AN109" s="17">
        <v>0.23499999999999999</v>
      </c>
      <c r="AO109" s="17">
        <v>0.221</v>
      </c>
      <c r="AP109" s="17">
        <v>3.0701754385964883</v>
      </c>
      <c r="AQ109" s="17">
        <v>0.26300000000000001</v>
      </c>
      <c r="AR109" s="17">
        <v>0.25700000000000001</v>
      </c>
      <c r="AS109" s="17">
        <v>0.26300000000000001</v>
      </c>
      <c r="AT109" s="17">
        <v>-1.1538461538461549</v>
      </c>
      <c r="AU109" s="17">
        <v>0.55100000000000005</v>
      </c>
      <c r="AV109" s="17">
        <v>2129.8352089999998</v>
      </c>
      <c r="AW109" s="17">
        <v>31.788585208955222</v>
      </c>
      <c r="AX109" s="17">
        <v>1664.4032139999999</v>
      </c>
      <c r="AY109" s="17">
        <v>897.12292500000001</v>
      </c>
      <c r="AZ109" s="17">
        <v>29.954029253027269</v>
      </c>
      <c r="BA109" s="17">
        <v>1457.1962360936168</v>
      </c>
      <c r="BB109" s="17">
        <v>21.749197553636073</v>
      </c>
      <c r="BC109" s="17">
        <v>768.17393709787223</v>
      </c>
      <c r="BD109" s="17">
        <v>732.89370297285075</v>
      </c>
      <c r="BE109" s="17">
        <v>2.3503427282836666</v>
      </c>
      <c r="BF109" s="17">
        <v>3466.61996</v>
      </c>
      <c r="BG109" s="17">
        <v>51.740596417910446</v>
      </c>
      <c r="BH109" s="17">
        <v>1475.6442970000001</v>
      </c>
      <c r="BI109" s="17">
        <v>2210.698351</v>
      </c>
      <c r="BJ109" s="17">
        <v>-19.939927570183922</v>
      </c>
      <c r="BK109" s="17">
        <v>44.579329999999985</v>
      </c>
      <c r="BL109" s="17">
        <v>136.19057100000001</v>
      </c>
      <c r="BM109" s="17">
        <v>108.653099</v>
      </c>
      <c r="BN109" s="17">
        <v>11.246960969013415</v>
      </c>
      <c r="BO109" s="17">
        <v>93.919560000000004</v>
      </c>
      <c r="BP109" s="17">
        <v>55.255282999999999</v>
      </c>
      <c r="BQ109" s="17">
        <v>43.010396</v>
      </c>
      <c r="BR109" s="17">
        <v>12.461000752867131</v>
      </c>
      <c r="BS109" s="17">
        <v>-16.28327375665399</v>
      </c>
      <c r="BT109" s="17">
        <v>-98.133762424124541</v>
      </c>
      <c r="BU109" s="17">
        <v>79.507470368821288</v>
      </c>
      <c r="BV109" s="17">
        <v>953.71227008312724</v>
      </c>
      <c r="BW109" s="17">
        <v>-45.007818756653997</v>
      </c>
      <c r="BX109" s="17">
        <v>-21.53000357198443</v>
      </c>
      <c r="BY109" s="17">
        <v>-23.246822771863116</v>
      </c>
      <c r="BZ109" s="17">
        <v>-3.834169011209033</v>
      </c>
      <c r="CA109" s="17">
        <v>0.92773737019139324</v>
      </c>
      <c r="CB109" s="17">
        <v>0.82297816024142412</v>
      </c>
      <c r="CC109" s="17">
        <v>0.85471193086137898</v>
      </c>
      <c r="CD109" s="17">
        <v>-2251.0295247710355</v>
      </c>
      <c r="CE109" s="17">
        <v>-1950.5999329870326</v>
      </c>
      <c r="CF109" s="17">
        <v>7.1503114399885233</v>
      </c>
      <c r="CG109" s="17">
        <v>2804.0586600970209</v>
      </c>
      <c r="CH109" s="17">
        <v>1876.2717587266795</v>
      </c>
      <c r="CI109" s="17">
        <v>5366.8134316106771</v>
      </c>
      <c r="CJ109" s="17">
        <v>41.85162179249285</v>
      </c>
      <c r="CK109" s="17">
        <v>28.004056100398202</v>
      </c>
      <c r="CL109" s="17">
        <v>80.101693009114584</v>
      </c>
      <c r="CM109" s="17">
        <v>35.51476437255198</v>
      </c>
      <c r="CN109" s="4"/>
      <c r="CO109" s="4"/>
      <c r="CP109" s="4"/>
      <c r="CQ109" s="4"/>
      <c r="CR109" s="4"/>
      <c r="CS109" s="4"/>
      <c r="CT109" s="4"/>
    </row>
    <row r="110" spans="1:98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60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</row>
    <row r="111" spans="1:98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60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</row>
    <row r="112" spans="1:98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60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</row>
    <row r="113" spans="1:9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60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</row>
    <row r="114" spans="1:9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60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</row>
    <row r="115" spans="1:9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60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</row>
    <row r="116" spans="1:9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60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</row>
    <row r="117" spans="1:9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60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</row>
    <row r="118" spans="1:9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60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</row>
    <row r="119" spans="1:9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60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</row>
    <row r="120" spans="1:9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60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</row>
    <row r="121" spans="1:9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60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</row>
    <row r="122" spans="1:9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60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</row>
    <row r="123" spans="1:9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60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</row>
    <row r="124" spans="1:9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60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</row>
    <row r="125" spans="1:9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60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</row>
    <row r="126" spans="1:9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60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</row>
    <row r="127" spans="1:9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60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</row>
    <row r="128" spans="1:9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60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</row>
    <row r="129" spans="1:9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60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</row>
    <row r="130" spans="1:9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60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</row>
    <row r="131" spans="1:9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60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</row>
    <row r="132" spans="1:9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60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</row>
  </sheetData>
  <mergeCells count="2">
    <mergeCell ref="J1:J83"/>
    <mergeCell ref="J84:J1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9078-E012-4367-9AA5-C7A036157BED}">
  <sheetPr codeName="Feuil7"/>
  <dimension ref="A1:CU150"/>
  <sheetViews>
    <sheetView zoomScale="70" zoomScaleNormal="70" workbookViewId="0">
      <pane ySplit="1" topLeftCell="A2" activePane="bottomLeft" state="frozen"/>
      <selection activeCell="M1" sqref="M1"/>
      <selection pane="bottomLeft" sqref="A1:I109"/>
    </sheetView>
  </sheetViews>
  <sheetFormatPr baseColWidth="10" defaultColWidth="11.42578125" defaultRowHeight="15" x14ac:dyDescent="0.25"/>
  <cols>
    <col min="1" max="1" width="16.7109375" style="4" customWidth="1"/>
    <col min="2" max="3" width="22" style="4" bestFit="1" customWidth="1"/>
    <col min="4" max="4" width="11.85546875" style="4" bestFit="1" customWidth="1"/>
    <col min="5" max="5" width="10" style="4" bestFit="1" customWidth="1"/>
    <col min="6" max="6" width="8.7109375" style="4" bestFit="1" customWidth="1"/>
    <col min="7" max="7" width="18.85546875" style="4" bestFit="1" customWidth="1"/>
    <col min="8" max="8" width="10" style="4" bestFit="1" customWidth="1"/>
    <col min="9" max="9" width="10.85546875" style="4" bestFit="1" customWidth="1"/>
    <col min="10" max="10" width="12.85546875" style="4" bestFit="1" customWidth="1"/>
    <col min="11" max="11" width="20.42578125" style="4" bestFit="1" customWidth="1"/>
    <col min="12" max="12" width="21" style="5" bestFit="1" customWidth="1"/>
    <col min="13" max="13" width="16.42578125" style="4" bestFit="1" customWidth="1"/>
    <col min="14" max="14" width="23.28515625" style="4" bestFit="1" customWidth="1"/>
    <col min="15" max="16" width="23" style="4" bestFit="1" customWidth="1"/>
    <col min="17" max="17" width="19.85546875" style="4" bestFit="1" customWidth="1"/>
    <col min="18" max="18" width="19.85546875" style="4" customWidth="1"/>
    <col min="19" max="19" width="20.42578125" style="4" bestFit="1" customWidth="1"/>
    <col min="20" max="20" width="22.85546875" style="4" bestFit="1" customWidth="1"/>
    <col min="21" max="21" width="17.28515625" style="4" bestFit="1" customWidth="1"/>
    <col min="22" max="22" width="27.42578125" style="4" bestFit="1" customWidth="1"/>
    <col min="23" max="23" width="19.85546875" style="4" bestFit="1" customWidth="1"/>
    <col min="24" max="24" width="19.85546875" style="4" customWidth="1"/>
    <col min="25" max="25" width="20.140625" style="4" bestFit="1" customWidth="1"/>
    <col min="26" max="26" width="20.140625" style="4" customWidth="1"/>
    <col min="27" max="27" width="20.85546875" style="4" bestFit="1" customWidth="1"/>
    <col min="28" max="28" width="22.42578125" style="4" bestFit="1" customWidth="1"/>
    <col min="29" max="29" width="18" style="4" bestFit="1" customWidth="1"/>
    <col min="30" max="30" width="22" style="4" bestFit="1" customWidth="1"/>
    <col min="31" max="32" width="16.28515625" style="4" bestFit="1" customWidth="1"/>
    <col min="33" max="33" width="17.7109375" style="4" bestFit="1" customWidth="1"/>
    <col min="34" max="34" width="20.140625" style="4" bestFit="1" customWidth="1"/>
    <col min="35" max="35" width="20.140625" style="4" customWidth="1"/>
    <col min="36" max="36" width="18.140625" style="4" bestFit="1" customWidth="1"/>
    <col min="37" max="37" width="20.42578125" style="4" bestFit="1" customWidth="1"/>
    <col min="38" max="38" width="19.7109375" style="4" bestFit="1" customWidth="1"/>
    <col min="39" max="39" width="22.85546875" style="4" bestFit="1" customWidth="1"/>
    <col min="40" max="41" width="21.28515625" style="4" bestFit="1" customWidth="1"/>
    <col min="42" max="42" width="21" style="4" bestFit="1" customWidth="1"/>
    <col min="43" max="43" width="23.7109375" style="4" bestFit="1" customWidth="1"/>
    <col min="44" max="45" width="22.140625" style="4" bestFit="1" customWidth="1"/>
    <col min="46" max="46" width="22.42578125" style="4" bestFit="1" customWidth="1"/>
    <col min="47" max="47" width="22.42578125" style="4" customWidth="1"/>
    <col min="48" max="48" width="16.42578125" style="4" bestFit="1" customWidth="1"/>
    <col min="49" max="49" width="20.42578125" style="4" bestFit="1" customWidth="1"/>
    <col min="50" max="50" width="20.42578125" style="4" customWidth="1"/>
    <col min="51" max="51" width="19.42578125" style="4" bestFit="1" customWidth="1"/>
    <col min="52" max="52" width="20.42578125" style="4" bestFit="1" customWidth="1"/>
    <col min="53" max="53" width="18.28515625" style="4" bestFit="1" customWidth="1"/>
    <col min="54" max="54" width="20.28515625" style="4" bestFit="1" customWidth="1"/>
    <col min="55" max="55" width="20.28515625" style="4" customWidth="1"/>
    <col min="56" max="57" width="19.42578125" style="4" bestFit="1" customWidth="1"/>
    <col min="58" max="58" width="19.7109375" style="4" bestFit="1" customWidth="1"/>
    <col min="59" max="59" width="24.42578125" style="4" bestFit="1" customWidth="1"/>
    <col min="60" max="60" width="24.42578125" style="4" customWidth="1"/>
    <col min="61" max="62" width="23.140625" style="4" bestFit="1" customWidth="1"/>
    <col min="63" max="63" width="22.85546875" style="4" bestFit="1" customWidth="1"/>
    <col min="64" max="64" width="17.85546875" style="4" bestFit="1" customWidth="1"/>
    <col min="65" max="65" width="20.85546875" style="4" bestFit="1" customWidth="1"/>
    <col min="66" max="66" width="22.42578125" style="4" bestFit="1" customWidth="1"/>
    <col min="67" max="67" width="17.85546875" style="4" bestFit="1" customWidth="1"/>
    <col min="68" max="68" width="18.85546875" style="4" bestFit="1" customWidth="1"/>
    <col min="69" max="69" width="20.85546875" style="4" bestFit="1" customWidth="1"/>
    <col min="70" max="70" width="22.42578125" style="4" bestFit="1" customWidth="1"/>
    <col min="71" max="72" width="18" style="4" bestFit="1" customWidth="1"/>
    <col min="73" max="73" width="21" style="4" bestFit="1" customWidth="1"/>
    <col min="74" max="74" width="22.85546875" style="4" bestFit="1" customWidth="1"/>
    <col min="75" max="75" width="20.85546875" style="4" bestFit="1" customWidth="1"/>
    <col min="76" max="76" width="18.42578125" style="4" bestFit="1" customWidth="1"/>
    <col min="77" max="77" width="21" style="4" bestFit="1" customWidth="1"/>
    <col min="78" max="78" width="22.85546875" style="4" bestFit="1" customWidth="1"/>
    <col min="79" max="79" width="21.7109375" style="4" bestFit="1" customWidth="1"/>
    <col min="80" max="81" width="16.42578125" style="4" bestFit="1" customWidth="1"/>
    <col min="82" max="82" width="16.28515625" style="4" bestFit="1" customWidth="1"/>
    <col min="83" max="84" width="20.42578125" style="4" bestFit="1" customWidth="1"/>
    <col min="85" max="85" width="19.42578125" style="4" bestFit="1" customWidth="1"/>
    <col min="86" max="86" width="27.42578125" style="4" bestFit="1" customWidth="1"/>
    <col min="87" max="87" width="28.140625" style="4" bestFit="1" customWidth="1"/>
    <col min="88" max="88" width="29.42578125" style="4" bestFit="1" customWidth="1"/>
    <col min="89" max="90" width="24.42578125" style="4" bestFit="1" customWidth="1"/>
    <col min="91" max="91" width="25.7109375" style="4" bestFit="1" customWidth="1"/>
    <col min="92" max="92" width="17.42578125" style="4" bestFit="1" customWidth="1"/>
    <col min="93" max="16384" width="11.42578125" style="4"/>
  </cols>
  <sheetData>
    <row r="1" spans="1:93" s="8" customFormat="1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6" t="s">
        <v>199</v>
      </c>
      <c r="K1" s="13" t="s">
        <v>202</v>
      </c>
      <c r="L1" s="13" t="s">
        <v>203</v>
      </c>
      <c r="M1" s="13" t="s">
        <v>141</v>
      </c>
      <c r="N1" s="13" t="s">
        <v>204</v>
      </c>
      <c r="O1" s="13" t="s">
        <v>205</v>
      </c>
      <c r="P1" s="13" t="s">
        <v>206</v>
      </c>
      <c r="Q1" s="13" t="s">
        <v>418</v>
      </c>
      <c r="R1" s="13" t="s">
        <v>413</v>
      </c>
      <c r="S1" s="13" t="s">
        <v>208</v>
      </c>
      <c r="T1" s="13" t="s">
        <v>209</v>
      </c>
      <c r="U1" s="13" t="s">
        <v>210</v>
      </c>
      <c r="V1" s="13" t="s">
        <v>211</v>
      </c>
      <c r="W1" s="13" t="s">
        <v>419</v>
      </c>
      <c r="X1" s="13" t="s">
        <v>414</v>
      </c>
      <c r="Y1" s="13" t="s">
        <v>420</v>
      </c>
      <c r="Z1" s="13" t="s">
        <v>410</v>
      </c>
      <c r="AA1" s="13" t="s">
        <v>214</v>
      </c>
      <c r="AB1" s="13" t="s">
        <v>215</v>
      </c>
      <c r="AC1" s="13" t="s">
        <v>216</v>
      </c>
      <c r="AD1" s="13" t="s">
        <v>217</v>
      </c>
      <c r="AE1" s="13" t="s">
        <v>218</v>
      </c>
      <c r="AF1" s="13" t="s">
        <v>219</v>
      </c>
      <c r="AG1" s="13" t="s">
        <v>220</v>
      </c>
      <c r="AH1" s="13" t="s">
        <v>221</v>
      </c>
      <c r="AI1" s="13" t="s">
        <v>411</v>
      </c>
      <c r="AJ1" s="13" t="s">
        <v>222</v>
      </c>
      <c r="AK1" s="13" t="s">
        <v>223</v>
      </c>
      <c r="AL1" s="13" t="s">
        <v>224</v>
      </c>
      <c r="AM1" s="13" t="s">
        <v>225</v>
      </c>
      <c r="AN1" s="13" t="s">
        <v>226</v>
      </c>
      <c r="AO1" s="13" t="s">
        <v>227</v>
      </c>
      <c r="AP1" s="13" t="s">
        <v>228</v>
      </c>
      <c r="AQ1" s="13" t="s">
        <v>229</v>
      </c>
      <c r="AR1" s="13" t="s">
        <v>230</v>
      </c>
      <c r="AS1" s="13" t="s">
        <v>231</v>
      </c>
      <c r="AT1" s="13" t="s">
        <v>232</v>
      </c>
      <c r="AU1" s="13" t="s">
        <v>532</v>
      </c>
      <c r="AV1" s="13" t="s">
        <v>233</v>
      </c>
      <c r="AW1" s="13" t="s">
        <v>234</v>
      </c>
      <c r="AX1" s="13" t="s">
        <v>415</v>
      </c>
      <c r="AY1" s="13" t="s">
        <v>235</v>
      </c>
      <c r="AZ1" s="13" t="s">
        <v>236</v>
      </c>
      <c r="BA1" s="13" t="s">
        <v>237</v>
      </c>
      <c r="BB1" s="13" t="s">
        <v>417</v>
      </c>
      <c r="BC1" s="13" t="s">
        <v>416</v>
      </c>
      <c r="BD1" s="13" t="s">
        <v>239</v>
      </c>
      <c r="BE1" s="13" t="s">
        <v>240</v>
      </c>
      <c r="BF1" s="13" t="s">
        <v>241</v>
      </c>
      <c r="BG1" s="13" t="s">
        <v>242</v>
      </c>
      <c r="BH1" s="13" t="s">
        <v>412</v>
      </c>
      <c r="BI1" s="13" t="s">
        <v>243</v>
      </c>
      <c r="BJ1" s="13" t="s">
        <v>244</v>
      </c>
      <c r="BK1" s="13" t="s">
        <v>245</v>
      </c>
      <c r="BL1" s="13" t="s">
        <v>246</v>
      </c>
      <c r="BM1" s="13" t="s">
        <v>247</v>
      </c>
      <c r="BN1" s="13" t="s">
        <v>248</v>
      </c>
      <c r="BO1" s="13" t="s">
        <v>249</v>
      </c>
      <c r="BP1" s="13" t="s">
        <v>250</v>
      </c>
      <c r="BQ1" s="13" t="s">
        <v>251</v>
      </c>
      <c r="BR1" s="13" t="s">
        <v>252</v>
      </c>
      <c r="BS1" s="13" t="s">
        <v>253</v>
      </c>
      <c r="BT1" s="13" t="s">
        <v>254</v>
      </c>
      <c r="BU1" s="13" t="s">
        <v>255</v>
      </c>
      <c r="BV1" s="13" t="s">
        <v>256</v>
      </c>
      <c r="BW1" s="13" t="s">
        <v>257</v>
      </c>
      <c r="BX1" s="13" t="s">
        <v>258</v>
      </c>
      <c r="BY1" s="13" t="s">
        <v>259</v>
      </c>
      <c r="BZ1" s="13" t="s">
        <v>260</v>
      </c>
      <c r="CA1" s="13" t="s">
        <v>261</v>
      </c>
      <c r="CB1" s="13" t="s">
        <v>262</v>
      </c>
      <c r="CC1" s="13" t="s">
        <v>263</v>
      </c>
      <c r="CD1" s="13" t="s">
        <v>264</v>
      </c>
      <c r="CE1" s="13" t="s">
        <v>265</v>
      </c>
      <c r="CF1" s="13" t="s">
        <v>266</v>
      </c>
      <c r="CG1" s="13" t="s">
        <v>267</v>
      </c>
      <c r="CH1" s="13" t="s">
        <v>268</v>
      </c>
      <c r="CI1" s="13" t="s">
        <v>269</v>
      </c>
      <c r="CJ1" s="13" t="s">
        <v>270</v>
      </c>
      <c r="CK1" s="13" t="s">
        <v>271</v>
      </c>
      <c r="CL1" s="13" t="s">
        <v>272</v>
      </c>
      <c r="CM1" s="13" t="s">
        <v>273</v>
      </c>
      <c r="CN1" s="13" t="s">
        <v>201</v>
      </c>
      <c r="CO1" s="35"/>
    </row>
    <row r="2" spans="1:93" s="8" customFormat="1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66"/>
      <c r="K2" s="14">
        <v>0.22245895192499998</v>
      </c>
      <c r="L2" s="14" t="s">
        <v>274</v>
      </c>
      <c r="M2" s="14">
        <v>2.8878702184073002</v>
      </c>
      <c r="N2" s="14">
        <v>477898.041127</v>
      </c>
      <c r="O2" s="14">
        <v>211996.19022500003</v>
      </c>
      <c r="P2" s="14">
        <v>211994.67539300004</v>
      </c>
      <c r="Q2" s="14">
        <v>1291.6262215432434</v>
      </c>
      <c r="R2" s="14">
        <v>15.828752714990729</v>
      </c>
      <c r="S2" s="14">
        <v>595.50221089606748</v>
      </c>
      <c r="T2" s="14">
        <v>718.75761298918928</v>
      </c>
      <c r="U2" s="14">
        <v>-9.3783131655619094</v>
      </c>
      <c r="V2" s="14">
        <v>1.9560274140932263</v>
      </c>
      <c r="W2" s="14">
        <v>2526.456298100235</v>
      </c>
      <c r="X2" s="14">
        <v>30.961474241424451</v>
      </c>
      <c r="Y2" s="14">
        <v>1507.1492459999999</v>
      </c>
      <c r="Z2" s="14">
        <v>18.469966250000002</v>
      </c>
      <c r="AA2" s="14">
        <v>713.882431</v>
      </c>
      <c r="AB2" s="14">
        <v>845.13175999999999</v>
      </c>
      <c r="AC2" s="14">
        <v>-8.4187385693912518</v>
      </c>
      <c r="AD2" s="14">
        <v>605.62968512644954</v>
      </c>
      <c r="AE2" s="14">
        <v>0.60124041060810807</v>
      </c>
      <c r="AF2" s="14">
        <v>1.4352627141197296</v>
      </c>
      <c r="AG2" s="14">
        <v>8.7239735632629625</v>
      </c>
      <c r="AH2" s="14">
        <v>4513.9320999084584</v>
      </c>
      <c r="AI2" s="14">
        <v>55.317795342015422</v>
      </c>
      <c r="AJ2" s="14">
        <v>3.1204294723909536</v>
      </c>
      <c r="AK2" s="14">
        <v>1446.5739859999999</v>
      </c>
      <c r="AL2" s="14">
        <v>4.2999999999999997E-2</v>
      </c>
      <c r="AM2" s="14">
        <v>0.3</v>
      </c>
      <c r="AN2" s="14">
        <v>0.25700000000000001</v>
      </c>
      <c r="AO2" s="14">
        <v>0.3</v>
      </c>
      <c r="AP2" s="14">
        <v>-7.7199281867145402</v>
      </c>
      <c r="AQ2" s="14">
        <v>0.37</v>
      </c>
      <c r="AR2" s="14">
        <v>0.35599999999999998</v>
      </c>
      <c r="AS2" s="14">
        <v>0.37</v>
      </c>
      <c r="AT2" s="14">
        <v>-1.9283746556473846</v>
      </c>
      <c r="AU2" s="14">
        <f>AM2+AQ2</f>
        <v>0.66999999999999993</v>
      </c>
      <c r="AV2" s="14">
        <v>0.42599999999999999</v>
      </c>
      <c r="AW2" s="14">
        <v>2019.2705230000001</v>
      </c>
      <c r="AX2" s="14">
        <v>24.745962291666672</v>
      </c>
      <c r="AY2" s="14">
        <v>962.90992000000006</v>
      </c>
      <c r="AZ2" s="14">
        <v>985.23566400000004</v>
      </c>
      <c r="BA2" s="14">
        <v>-1.1459997745219839</v>
      </c>
      <c r="BB2" s="14">
        <v>1342.5226202066665</v>
      </c>
      <c r="BC2" s="14">
        <v>16.452483090767974</v>
      </c>
      <c r="BD2" s="14">
        <v>531.87247092996108</v>
      </c>
      <c r="BE2" s="14">
        <v>887.02081692999991</v>
      </c>
      <c r="BF2" s="14">
        <v>-25.029954615945055</v>
      </c>
      <c r="BG2" s="14">
        <v>2549.028785</v>
      </c>
      <c r="BH2" s="14">
        <v>31.238097855392159</v>
      </c>
      <c r="BI2" s="14">
        <v>1233.83033</v>
      </c>
      <c r="BJ2" s="14">
        <v>1318.2280880000001</v>
      </c>
      <c r="BK2" s="14">
        <v>-3.3070464768647811</v>
      </c>
      <c r="BL2" s="14">
        <v>33.326295999999999</v>
      </c>
      <c r="BM2" s="14">
        <v>109.699055</v>
      </c>
      <c r="BN2" s="14">
        <v>105.623436</v>
      </c>
      <c r="BO2" s="14">
        <v>1.8927976269789686</v>
      </c>
      <c r="BP2" s="14">
        <v>126.05562800000001</v>
      </c>
      <c r="BQ2" s="14">
        <v>85.876524000000003</v>
      </c>
      <c r="BR2" s="14">
        <v>45.444947999999997</v>
      </c>
      <c r="BS2" s="14">
        <v>30.788244591105414</v>
      </c>
      <c r="BT2" s="14">
        <v>-3.8373784837837834</v>
      </c>
      <c r="BU2" s="14">
        <v>-82.743775016853903</v>
      </c>
      <c r="BV2" s="14">
        <v>75.74118946486486</v>
      </c>
      <c r="BW2" s="14">
        <v>2263.2349623590394</v>
      </c>
      <c r="BX2" s="14">
        <v>-14.523910837837837</v>
      </c>
      <c r="BY2" s="14">
        <v>-22.987761814606735</v>
      </c>
      <c r="BZ2" s="14">
        <v>7.3504424729729694</v>
      </c>
      <c r="CA2" s="14">
        <v>194.01154139511235</v>
      </c>
      <c r="CB2" s="14">
        <v>0.90436307050890619</v>
      </c>
      <c r="CC2" s="14">
        <v>0.7849537011609804</v>
      </c>
      <c r="CD2" s="14">
        <v>0.84835538831241131</v>
      </c>
      <c r="CE2" s="14">
        <v>569.24371175666352</v>
      </c>
      <c r="CF2" s="14">
        <v>36.385973369787976</v>
      </c>
      <c r="CG2" s="14">
        <v>87.984085237766763</v>
      </c>
      <c r="CH2" s="14">
        <v>560.31650920180516</v>
      </c>
      <c r="CI2" s="14">
        <v>3680.8623934039279</v>
      </c>
      <c r="CJ2" s="14">
        <v>4736.3905942167075</v>
      </c>
      <c r="CK2" s="14">
        <v>8.004521560025788</v>
      </c>
      <c r="CL2" s="14">
        <v>52.583748477198966</v>
      </c>
      <c r="CM2" s="14">
        <v>67.662722774524397</v>
      </c>
      <c r="CN2" s="14">
        <v>32.553674434042144</v>
      </c>
      <c r="CO2" s="35"/>
    </row>
    <row r="3" spans="1:93" s="8" customFormat="1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6"/>
      <c r="K3" s="14">
        <v>0.34044888723125</v>
      </c>
      <c r="L3" s="14">
        <v>0.290858642691114</v>
      </c>
      <c r="M3" s="14">
        <v>2.3888588425437902</v>
      </c>
      <c r="N3" s="14">
        <v>282652.94919000013</v>
      </c>
      <c r="O3" s="14">
        <v>141552.01300900013</v>
      </c>
      <c r="P3" s="14">
        <v>141550.93098600014</v>
      </c>
      <c r="Q3" s="14">
        <v>1339.6123080568716</v>
      </c>
      <c r="R3" s="14">
        <v>20.931442313388619</v>
      </c>
      <c r="S3" s="14">
        <v>677.29305832057412</v>
      </c>
      <c r="T3" s="14">
        <v>668.76601151184821</v>
      </c>
      <c r="U3" s="14">
        <v>0.6334823634290796</v>
      </c>
      <c r="V3" s="14">
        <v>1.5252745511445021</v>
      </c>
      <c r="W3" s="14">
        <v>2043.2765618790952</v>
      </c>
      <c r="X3" s="14">
        <v>31.926196279360862</v>
      </c>
      <c r="Y3" s="14">
        <v>1696.6654659999999</v>
      </c>
      <c r="Z3" s="14">
        <v>26.510397906249999</v>
      </c>
      <c r="AA3" s="14">
        <v>821.48956299999998</v>
      </c>
      <c r="AB3" s="14">
        <v>875.17590299999995</v>
      </c>
      <c r="AC3" s="14">
        <v>-3.164226600696308</v>
      </c>
      <c r="AD3" s="14">
        <v>-1807.6911888585171</v>
      </c>
      <c r="AE3" s="14">
        <v>1.6135018352191943</v>
      </c>
      <c r="AF3" s="14">
        <v>1.3784769795787395</v>
      </c>
      <c r="AG3" s="14">
        <v>11.32160588883313</v>
      </c>
      <c r="AH3" s="14">
        <v>3092.0264639058405</v>
      </c>
      <c r="AI3" s="14">
        <v>48.312913498528758</v>
      </c>
      <c r="AJ3" s="14">
        <v>2.2482776691020216</v>
      </c>
      <c r="AK3" s="14">
        <v>1375.2867390000001</v>
      </c>
      <c r="AL3" s="14">
        <v>4.0000000000000001E-3</v>
      </c>
      <c r="AM3" s="14">
        <v>0.185</v>
      </c>
      <c r="AN3" s="14">
        <v>0.18099999999999999</v>
      </c>
      <c r="AO3" s="14">
        <v>0.185</v>
      </c>
      <c r="AP3" s="14">
        <v>-1.092896174863389</v>
      </c>
      <c r="AQ3" s="14">
        <v>0.21099999999999999</v>
      </c>
      <c r="AR3" s="14">
        <v>0.20899999999999999</v>
      </c>
      <c r="AS3" s="14">
        <v>0.21099999999999999</v>
      </c>
      <c r="AT3" s="14">
        <v>-0.47619047619047666</v>
      </c>
      <c r="AU3" s="14">
        <f t="shared" ref="AU3:AU66" si="0">AM3+AQ3</f>
        <v>0.39600000000000002</v>
      </c>
      <c r="AV3" s="14">
        <v>0.52700000000000002</v>
      </c>
      <c r="AW3" s="14">
        <v>2745.3798070000003</v>
      </c>
      <c r="AX3" s="14">
        <v>42.896559484375004</v>
      </c>
      <c r="AY3" s="14">
        <v>1595.6406400000001</v>
      </c>
      <c r="AZ3" s="14">
        <v>1226.9414879999999</v>
      </c>
      <c r="BA3" s="14">
        <v>13.062477379931888</v>
      </c>
      <c r="BB3" s="14">
        <v>1606.4941048594594</v>
      </c>
      <c r="BC3" s="14">
        <v>25.101470388429053</v>
      </c>
      <c r="BD3" s="14">
        <v>793.12283734806624</v>
      </c>
      <c r="BE3" s="14">
        <v>830.56743939459466</v>
      </c>
      <c r="BF3" s="14">
        <v>-2.3061419152947864</v>
      </c>
      <c r="BG3" s="14">
        <v>2842.1667399999997</v>
      </c>
      <c r="BH3" s="14">
        <v>44.408855312499995</v>
      </c>
      <c r="BI3" s="14">
        <v>1514.7955549999999</v>
      </c>
      <c r="BJ3" s="14">
        <v>1354.854568</v>
      </c>
      <c r="BK3" s="14">
        <v>5.5735361505601899</v>
      </c>
      <c r="BL3" s="14">
        <v>31.540957999999996</v>
      </c>
      <c r="BM3" s="14">
        <v>93.126075999999998</v>
      </c>
      <c r="BN3" s="14">
        <v>108.38259499999999</v>
      </c>
      <c r="BO3" s="14">
        <v>-7.571147645552184</v>
      </c>
      <c r="BP3" s="14">
        <v>108.941639</v>
      </c>
      <c r="BQ3" s="14">
        <v>70.620005000000006</v>
      </c>
      <c r="BR3" s="14">
        <v>42.920226999999997</v>
      </c>
      <c r="BS3" s="14">
        <v>24.396443015899429</v>
      </c>
      <c r="BT3" s="14">
        <v>-9.9365740284360182</v>
      </c>
      <c r="BU3" s="14">
        <v>-77.484895516746391</v>
      </c>
      <c r="BV3" s="14">
        <v>66.810961597156393</v>
      </c>
      <c r="BW3" s="14">
        <v>1351.8526365342668</v>
      </c>
      <c r="BX3" s="14">
        <v>-41.363261090047388</v>
      </c>
      <c r="BY3" s="14">
        <v>-47.295603076555018</v>
      </c>
      <c r="BZ3" s="14">
        <v>5.4495134312796196</v>
      </c>
      <c r="CA3" s="14">
        <v>126.04550856471673</v>
      </c>
      <c r="CB3" s="14">
        <v>0.92353224009032964</v>
      </c>
      <c r="CC3" s="14">
        <v>0.83380008427709706</v>
      </c>
      <c r="CD3" s="14">
        <v>0.85260013840033555</v>
      </c>
      <c r="CE3" s="14">
        <v>-653.20387989063852</v>
      </c>
      <c r="CF3" s="14">
        <v>-1154.4873089678786</v>
      </c>
      <c r="CG3" s="14">
        <v>-27.730589835633374</v>
      </c>
      <c r="CH3" s="14">
        <v>4068.2828002536758</v>
      </c>
      <c r="CI3" s="14">
        <v>3658.4456774452428</v>
      </c>
      <c r="CJ3" s="14">
        <v>10571.611879150585</v>
      </c>
      <c r="CK3" s="14">
        <v>63.566918753963684</v>
      </c>
      <c r="CL3" s="14">
        <v>57.163213710081919</v>
      </c>
      <c r="CM3" s="14">
        <v>165.18143561172789</v>
      </c>
      <c r="CN3" s="14">
        <v>49.674847193192022</v>
      </c>
      <c r="CO3" s="35"/>
    </row>
    <row r="4" spans="1:93" s="8" customFormat="1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6"/>
      <c r="K4" s="14">
        <v>0.36677974248125006</v>
      </c>
      <c r="L4" s="14">
        <v>0.32388102577305827</v>
      </c>
      <c r="M4" s="14">
        <v>2.5208224304118296</v>
      </c>
      <c r="N4" s="14">
        <v>349580.53449600009</v>
      </c>
      <c r="O4" s="14">
        <v>166845.96749399995</v>
      </c>
      <c r="P4" s="14">
        <v>166841.09839199996</v>
      </c>
      <c r="Q4" s="14">
        <v>1189.0929265170066</v>
      </c>
      <c r="R4" s="14">
        <v>18.293737331030872</v>
      </c>
      <c r="S4" s="14">
        <v>567.52758109863964</v>
      </c>
      <c r="T4" s="14">
        <v>634.60116020833323</v>
      </c>
      <c r="U4" s="14">
        <v>-5.5795670467682319</v>
      </c>
      <c r="V4" s="14">
        <v>1.57402772368414</v>
      </c>
      <c r="W4" s="14">
        <v>1871.6652323744763</v>
      </c>
      <c r="X4" s="14">
        <v>28.794849728838098</v>
      </c>
      <c r="Y4" s="14">
        <v>1644.8546569999999</v>
      </c>
      <c r="Z4" s="14">
        <v>25.30545626153846</v>
      </c>
      <c r="AA4" s="14">
        <v>712.22334699999999</v>
      </c>
      <c r="AB4" s="14">
        <v>932.63130999999998</v>
      </c>
      <c r="AC4" s="14">
        <v>-13.399844300042615</v>
      </c>
      <c r="AD4" s="14">
        <v>-4254.9558043881807</v>
      </c>
      <c r="AE4" s="14">
        <v>1.247550144494048</v>
      </c>
      <c r="AF4" s="14">
        <v>1.1016361420852323</v>
      </c>
      <c r="AG4" s="14">
        <v>8.5742259537817347</v>
      </c>
      <c r="AH4" s="14">
        <v>2984.8377079571137</v>
      </c>
      <c r="AI4" s="14">
        <v>45.920580122417135</v>
      </c>
      <c r="AJ4" s="14">
        <v>2.3985849118897447</v>
      </c>
      <c r="AK4" s="14">
        <v>1244.416111</v>
      </c>
      <c r="AL4" s="14">
        <v>-1.0999999999999999E-2</v>
      </c>
      <c r="AM4" s="14">
        <v>0.25900000000000001</v>
      </c>
      <c r="AN4" s="14">
        <v>0.25900000000000001</v>
      </c>
      <c r="AO4" s="14">
        <v>0.248</v>
      </c>
      <c r="AP4" s="14">
        <v>2.1696252465483257</v>
      </c>
      <c r="AQ4" s="14">
        <v>0.29399999999999998</v>
      </c>
      <c r="AR4" s="14">
        <v>0.29399999999999998</v>
      </c>
      <c r="AS4" s="14">
        <v>0.28799999999999998</v>
      </c>
      <c r="AT4" s="14">
        <v>1.0309278350515474</v>
      </c>
      <c r="AU4" s="14">
        <f t="shared" si="0"/>
        <v>0.55299999999999994</v>
      </c>
      <c r="AV4" s="14">
        <v>0.54700000000000004</v>
      </c>
      <c r="AW4" s="14">
        <v>1586.461495</v>
      </c>
      <c r="AX4" s="14">
        <v>24.407099923076924</v>
      </c>
      <c r="AY4" s="14">
        <v>924.17349999999999</v>
      </c>
      <c r="AZ4" s="14">
        <v>736.55078900000001</v>
      </c>
      <c r="BA4" s="14">
        <v>11.297643578933648</v>
      </c>
      <c r="BB4" s="14">
        <v>1342.9708260694981</v>
      </c>
      <c r="BC4" s="14">
        <v>20.661089631838433</v>
      </c>
      <c r="BD4" s="14">
        <v>610.73106456756761</v>
      </c>
      <c r="BE4" s="14">
        <v>764.85739024999998</v>
      </c>
      <c r="BF4" s="14">
        <v>-11.204392210668328</v>
      </c>
      <c r="BG4" s="14">
        <v>2450.6548709999997</v>
      </c>
      <c r="BH4" s="14">
        <v>37.702382630769229</v>
      </c>
      <c r="BI4" s="14">
        <v>1227.1398280000001</v>
      </c>
      <c r="BJ4" s="14">
        <v>1225.9676460000001</v>
      </c>
      <c r="BK4" s="14">
        <v>4.7783556669397702E-2</v>
      </c>
      <c r="BL4" s="14">
        <v>33.77713700000001</v>
      </c>
      <c r="BM4" s="14">
        <v>98.860793999999999</v>
      </c>
      <c r="BN4" s="14">
        <v>106.290684</v>
      </c>
      <c r="BO4" s="14">
        <v>-3.6216604786049849</v>
      </c>
      <c r="BP4" s="14">
        <v>93.270345000000006</v>
      </c>
      <c r="BQ4" s="14">
        <v>70.331467000000004</v>
      </c>
      <c r="BR4" s="14">
        <v>57.942307</v>
      </c>
      <c r="BS4" s="14">
        <v>9.6583733476182001</v>
      </c>
      <c r="BT4" s="14">
        <v>12.94820331292517</v>
      </c>
      <c r="BU4" s="14">
        <v>-74.097506278911538</v>
      </c>
      <c r="BV4" s="14">
        <v>88.873501177083355</v>
      </c>
      <c r="BW4" s="14">
        <v>-1102.9443944661805</v>
      </c>
      <c r="BX4" s="14">
        <v>15.739747938775508</v>
      </c>
      <c r="BY4" s="14">
        <v>12.607157646258505</v>
      </c>
      <c r="BZ4" s="14">
        <v>3.1294747777777783</v>
      </c>
      <c r="CA4" s="14">
        <v>60.226880904992242</v>
      </c>
      <c r="CB4" s="14">
        <v>0.92829881560405969</v>
      </c>
      <c r="CC4" s="14">
        <v>0.80804485481722943</v>
      </c>
      <c r="CD4" s="14">
        <v>0.85027045656397926</v>
      </c>
      <c r="CE4" s="14">
        <v>-1238.7616013670365</v>
      </c>
      <c r="CF4" s="14">
        <v>-3016.1942030211449</v>
      </c>
      <c r="CG4" s="14">
        <v>-41.773232986839091</v>
      </c>
      <c r="CH4" s="14">
        <v>1249.8007039802249</v>
      </c>
      <c r="CI4" s="14">
        <v>1136.6686736564623</v>
      </c>
      <c r="CJ4" s="14">
        <v>3517.9730787077824</v>
      </c>
      <c r="CK4" s="14">
        <v>19.227703138157306</v>
      </c>
      <c r="CL4" s="14">
        <v>17.487210363945572</v>
      </c>
      <c r="CM4" s="14">
        <v>54.122662749350496</v>
      </c>
      <c r="CN4" s="14">
        <v>34.015370477050247</v>
      </c>
      <c r="CO4" s="35"/>
    </row>
    <row r="5" spans="1:93" s="8" customFormat="1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6"/>
      <c r="K5" s="8">
        <v>0.30035930203125</v>
      </c>
      <c r="L5" s="8" t="s">
        <v>275</v>
      </c>
      <c r="M5" s="8">
        <v>1.98</v>
      </c>
      <c r="N5" s="8">
        <v>242338.05042200003</v>
      </c>
      <c r="O5" s="8">
        <v>120639.834945</v>
      </c>
      <c r="P5" s="8">
        <v>120638.734889</v>
      </c>
      <c r="Q5" s="8">
        <v>954.09930848425199</v>
      </c>
      <c r="R5" s="14">
        <v>13.969243169608376</v>
      </c>
      <c r="S5" s="8">
        <v>474.96885495669289</v>
      </c>
      <c r="T5" s="8">
        <v>486.81190550399998</v>
      </c>
      <c r="U5" s="8">
        <v>-1.2313669636762403</v>
      </c>
      <c r="V5" s="8">
        <v>0.62629325873704722</v>
      </c>
      <c r="W5" s="8">
        <v>597.54596506936548</v>
      </c>
      <c r="X5" s="14">
        <v>8.7488428267842675</v>
      </c>
      <c r="Y5" s="8">
        <v>1254.659279</v>
      </c>
      <c r="Z5" s="14">
        <v>18.369828389458274</v>
      </c>
      <c r="AA5" s="8">
        <v>623.96633499999996</v>
      </c>
      <c r="AB5" s="8">
        <v>631.14376800000002</v>
      </c>
      <c r="AC5" s="8">
        <v>-0.57185684210846199</v>
      </c>
      <c r="AD5" s="8">
        <v>-2078.3548123034789</v>
      </c>
      <c r="AE5" s="8">
        <v>1.1825169371309054</v>
      </c>
      <c r="AF5" s="8">
        <v>0.23587606216079759</v>
      </c>
      <c r="AG5" s="8">
        <v>4.2684930400611627</v>
      </c>
      <c r="AH5" s="8">
        <v>1318.7193680150672</v>
      </c>
      <c r="AI5" s="14">
        <v>19.307750629796008</v>
      </c>
      <c r="AJ5" s="8">
        <v>1.1100269217221861</v>
      </c>
      <c r="AK5" s="8">
        <v>1188.0066529999999</v>
      </c>
      <c r="AL5" s="8">
        <v>2E-3</v>
      </c>
      <c r="AM5" s="8">
        <v>0.33400000000000002</v>
      </c>
      <c r="AN5" s="8">
        <v>0.33200000000000002</v>
      </c>
      <c r="AO5" s="8">
        <v>0.33400000000000002</v>
      </c>
      <c r="AP5" s="8">
        <v>-0.30030030030030058</v>
      </c>
      <c r="AQ5" s="8">
        <v>0.254</v>
      </c>
      <c r="AR5" s="8">
        <v>0.254</v>
      </c>
      <c r="AS5" s="8">
        <v>0.25</v>
      </c>
      <c r="AT5" s="8">
        <v>0.79365079365079427</v>
      </c>
      <c r="AU5" s="14">
        <f t="shared" si="0"/>
        <v>0.58800000000000008</v>
      </c>
      <c r="AV5" s="8">
        <v>0.495</v>
      </c>
      <c r="AW5" s="8">
        <v>2677.4107429999999</v>
      </c>
      <c r="AX5" s="14">
        <v>39.200742942898977</v>
      </c>
      <c r="AY5" s="8">
        <v>1642.690552</v>
      </c>
      <c r="AZ5" s="8">
        <v>1437.430893</v>
      </c>
      <c r="BA5" s="8">
        <v>6.6640118795705501</v>
      </c>
      <c r="BB5" s="8">
        <v>1246.5549463622756</v>
      </c>
      <c r="BC5" s="14">
        <v>18.251170517749276</v>
      </c>
      <c r="BD5" s="8">
        <v>586.85775114457817</v>
      </c>
      <c r="BE5" s="8">
        <v>663.20321451796406</v>
      </c>
      <c r="BF5" s="8">
        <v>-6.1073391994863373</v>
      </c>
      <c r="BG5" s="8">
        <v>2611.9122619999998</v>
      </c>
      <c r="BH5" s="14">
        <v>38.241760790629577</v>
      </c>
      <c r="BI5" s="8">
        <v>1262.8826449999999</v>
      </c>
      <c r="BJ5" s="8">
        <v>1454.021896</v>
      </c>
      <c r="BK5" s="8">
        <v>-7.0351846417706021</v>
      </c>
      <c r="BL5" s="8">
        <v>18.033708000000004</v>
      </c>
      <c r="BM5" s="8">
        <v>125.460514</v>
      </c>
      <c r="BN5" s="8">
        <v>118.156864</v>
      </c>
      <c r="BO5" s="8">
        <v>2.9980004135829774</v>
      </c>
      <c r="BP5" s="8">
        <v>193.51973699999999</v>
      </c>
      <c r="BQ5" s="8">
        <v>108.130123</v>
      </c>
      <c r="BR5" s="8">
        <v>85.497816</v>
      </c>
      <c r="BS5" s="8">
        <v>11.688554408462716</v>
      </c>
      <c r="BT5" s="8">
        <v>-1.8302084763779525</v>
      </c>
      <c r="BU5" s="8">
        <v>-87.674853885826764</v>
      </c>
      <c r="BV5" s="8">
        <v>87.222127151999999</v>
      </c>
      <c r="BW5" s="8">
        <v>38631.90926665064</v>
      </c>
      <c r="BX5" s="8">
        <v>-51.287727405511802</v>
      </c>
      <c r="BY5" s="8">
        <v>-33.67766825984252</v>
      </c>
      <c r="BZ5" s="8">
        <v>-17.892108631999999</v>
      </c>
      <c r="CA5" s="8">
        <v>30.610098742427432</v>
      </c>
      <c r="CB5" s="8">
        <v>0.85571435744817614</v>
      </c>
      <c r="CC5" s="8">
        <v>0.72760919142757552</v>
      </c>
      <c r="CD5" s="8">
        <v>0.75604329345854271</v>
      </c>
      <c r="CE5" s="8">
        <v>-556.34698021872669</v>
      </c>
      <c r="CF5" s="8">
        <v>-1522.0078320847529</v>
      </c>
      <c r="CG5" s="8">
        <v>-46.462752468899474</v>
      </c>
      <c r="CH5" s="8">
        <v>5930.2656177597346</v>
      </c>
      <c r="CI5" s="8">
        <v>7932.7145346879915</v>
      </c>
      <c r="CJ5" s="8">
        <v>17532.841120604098</v>
      </c>
      <c r="CK5" s="8">
        <v>86.826729396189378</v>
      </c>
      <c r="CL5" s="8">
        <v>116.14516156204967</v>
      </c>
      <c r="CM5" s="8">
        <v>256.70338390342749</v>
      </c>
      <c r="CN5" s="8">
        <v>66.808785490855854</v>
      </c>
      <c r="CO5" s="35"/>
    </row>
    <row r="6" spans="1:93" s="8" customFormat="1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6"/>
      <c r="K6" s="14">
        <v>0.32009028183124999</v>
      </c>
      <c r="L6" s="14">
        <v>0.2988723904082573</v>
      </c>
      <c r="M6" s="14">
        <v>2.4215441973686973</v>
      </c>
      <c r="N6" s="14">
        <v>468603.03409899992</v>
      </c>
      <c r="O6" s="14">
        <v>224724.74255499998</v>
      </c>
      <c r="P6" s="14">
        <v>224724.47204899997</v>
      </c>
      <c r="Q6" s="14">
        <v>1398.8228866268657</v>
      </c>
      <c r="R6" s="14">
        <v>16.934901775143654</v>
      </c>
      <c r="S6" s="14">
        <v>670.82491807462668</v>
      </c>
      <c r="T6" s="14">
        <v>732.37346972972978</v>
      </c>
      <c r="U6" s="14">
        <v>-4.3863043308801615</v>
      </c>
      <c r="V6" s="14">
        <v>1.4523076792635361</v>
      </c>
      <c r="W6" s="14">
        <v>2031.5212201777838</v>
      </c>
      <c r="X6" s="14">
        <v>24.594687895614818</v>
      </c>
      <c r="Y6" s="14">
        <v>1804.8857949999999</v>
      </c>
      <c r="Z6" s="14">
        <v>21.850917615012108</v>
      </c>
      <c r="AA6" s="14">
        <v>855.60935199999994</v>
      </c>
      <c r="AB6" s="14">
        <v>949.27644299999997</v>
      </c>
      <c r="AC6" s="14">
        <v>-5.1896408769730513</v>
      </c>
      <c r="AD6" s="14">
        <v>-3493.1966802187476</v>
      </c>
      <c r="AE6" s="14">
        <v>0.95549337860074623</v>
      </c>
      <c r="AF6" s="14">
        <v>0.89215638927837992</v>
      </c>
      <c r="AG6" s="14">
        <v>7.2284901413990958</v>
      </c>
      <c r="AH6" s="14">
        <v>3872.4531529529631</v>
      </c>
      <c r="AI6" s="14">
        <v>46.881999430423285</v>
      </c>
      <c r="AJ6" s="14">
        <v>2.3666597487166232</v>
      </c>
      <c r="AK6" s="14">
        <v>1636.252594</v>
      </c>
      <c r="AL6" s="14">
        <v>8.9999999999999993E-3</v>
      </c>
      <c r="AM6" s="14">
        <v>0.31900000000000001</v>
      </c>
      <c r="AN6" s="14">
        <v>0.31</v>
      </c>
      <c r="AO6" s="14">
        <v>0.31900000000000001</v>
      </c>
      <c r="AP6" s="14">
        <v>-1.4308426073131968</v>
      </c>
      <c r="AQ6" s="14">
        <v>0.33500000000000002</v>
      </c>
      <c r="AR6" s="14">
        <v>0.33500000000000002</v>
      </c>
      <c r="AS6" s="14">
        <v>0.33300000000000002</v>
      </c>
      <c r="AT6" s="14">
        <v>0.29940119760479067</v>
      </c>
      <c r="AU6" s="14">
        <f t="shared" si="0"/>
        <v>0.65400000000000003</v>
      </c>
      <c r="AV6" s="14">
        <v>0.51100000000000001</v>
      </c>
      <c r="AW6" s="14">
        <v>2767.2185829999999</v>
      </c>
      <c r="AX6" s="14">
        <v>33.501435629539955</v>
      </c>
      <c r="AY6" s="14">
        <v>1224.615143</v>
      </c>
      <c r="AZ6" s="14">
        <v>900.53131900000005</v>
      </c>
      <c r="BA6" s="14">
        <v>15.249952405398021</v>
      </c>
      <c r="BB6" s="14">
        <v>1539.3531914137934</v>
      </c>
      <c r="BC6" s="14">
        <v>18.636237184186363</v>
      </c>
      <c r="BD6" s="14">
        <v>713.16275729032247</v>
      </c>
      <c r="BE6" s="14">
        <v>846.34634598432604</v>
      </c>
      <c r="BF6" s="14">
        <v>-8.5400969070552648</v>
      </c>
      <c r="BG6" s="14">
        <v>2415.3268239999998</v>
      </c>
      <c r="BH6" s="14">
        <v>29.241244842615011</v>
      </c>
      <c r="BI6" s="14">
        <v>1130.0643620000001</v>
      </c>
      <c r="BJ6" s="14">
        <v>1304.630623</v>
      </c>
      <c r="BK6" s="14">
        <v>-7.1699437537552546</v>
      </c>
      <c r="BL6" s="14">
        <v>38.664269000000004</v>
      </c>
      <c r="BM6" s="14">
        <v>121.006187</v>
      </c>
      <c r="BN6" s="14">
        <v>159.52619200000001</v>
      </c>
      <c r="BO6" s="14">
        <v>-13.731037086453401</v>
      </c>
      <c r="BP6" s="14">
        <v>173.89906000000002</v>
      </c>
      <c r="BQ6" s="14">
        <v>85.732253999999998</v>
      </c>
      <c r="BR6" s="14">
        <v>91.719449999999995</v>
      </c>
      <c r="BS6" s="14">
        <v>-3.3739861973937413</v>
      </c>
      <c r="BT6" s="14">
        <v>11.85746002686567</v>
      </c>
      <c r="BU6" s="14">
        <v>-103.04283889850745</v>
      </c>
      <c r="BV6" s="14">
        <v>115.591148984985</v>
      </c>
      <c r="BW6" s="14">
        <v>-1742.3381027147186</v>
      </c>
      <c r="BX6" s="14">
        <v>-26.525217767164175</v>
      </c>
      <c r="BY6" s="14">
        <v>-9.9150948238805992</v>
      </c>
      <c r="BZ6" s="14">
        <v>-16.713999243243244</v>
      </c>
      <c r="CA6" s="14">
        <v>-25.531865268208804</v>
      </c>
      <c r="CB6" s="14">
        <v>0.89463757649632802</v>
      </c>
      <c r="CC6" s="14">
        <v>0.80539476585517789</v>
      </c>
      <c r="CD6" s="14">
        <v>0.79071968342839771</v>
      </c>
      <c r="CE6" s="14">
        <v>-1619.0364298154539</v>
      </c>
      <c r="CF6" s="14">
        <v>-1874.1602504032924</v>
      </c>
      <c r="CG6" s="14">
        <v>-7.3034485012696884</v>
      </c>
      <c r="CH6" s="14">
        <v>1374.929842722184</v>
      </c>
      <c r="CI6" s="14">
        <v>1099.6980543027998</v>
      </c>
      <c r="CJ6" s="14">
        <v>5335.9422972689526</v>
      </c>
      <c r="CK6" s="14">
        <v>16.645639742399325</v>
      </c>
      <c r="CL6" s="14">
        <v>13.313535766377724</v>
      </c>
      <c r="CM6" s="14">
        <v>64.599785681222187</v>
      </c>
      <c r="CN6" s="14">
        <v>53.643928713093636</v>
      </c>
      <c r="CO6" s="35"/>
    </row>
    <row r="7" spans="1:93" s="8" customFormat="1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6"/>
      <c r="K7" s="14">
        <v>0.32260078423124994</v>
      </c>
      <c r="L7" s="14">
        <v>0.27677216510510549</v>
      </c>
      <c r="M7" s="14">
        <v>2.3302939469865533</v>
      </c>
      <c r="N7" s="14">
        <v>282187.22848000005</v>
      </c>
      <c r="O7" s="14">
        <v>138776.01183600005</v>
      </c>
      <c r="P7" s="14">
        <v>138773.66745400004</v>
      </c>
      <c r="Q7" s="14">
        <v>1151.9029660612246</v>
      </c>
      <c r="R7" s="14">
        <v>19.198382767687075</v>
      </c>
      <c r="S7" s="14">
        <v>590.59722823404252</v>
      </c>
      <c r="T7" s="14">
        <v>586.40006802857124</v>
      </c>
      <c r="U7" s="14">
        <v>0.35659896745716901</v>
      </c>
      <c r="V7" s="14">
        <v>1.4844409224414694</v>
      </c>
      <c r="W7" s="14">
        <v>1709.9319015029889</v>
      </c>
      <c r="X7" s="14">
        <v>28.498865025049817</v>
      </c>
      <c r="Y7" s="14">
        <v>1468.953857</v>
      </c>
      <c r="Z7" s="14">
        <v>24.482564283333332</v>
      </c>
      <c r="AA7" s="14">
        <v>715.16281100000003</v>
      </c>
      <c r="AB7" s="14">
        <v>753.79104600000005</v>
      </c>
      <c r="AC7" s="14">
        <v>-2.6296425048292047</v>
      </c>
      <c r="AD7" s="14">
        <v>-2495.2998643061869</v>
      </c>
      <c r="AE7" s="14">
        <v>1.3167378948214283</v>
      </c>
      <c r="AF7" s="14">
        <v>1.129682306551451</v>
      </c>
      <c r="AG7" s="14">
        <v>9.5114038652512392</v>
      </c>
      <c r="AH7" s="14">
        <v>2755.8537392997578</v>
      </c>
      <c r="AI7" s="14">
        <v>45.930895654995965</v>
      </c>
      <c r="AJ7" s="14">
        <v>2.2352421510002429</v>
      </c>
      <c r="AK7" s="14">
        <v>1232.9105989999998</v>
      </c>
      <c r="AL7" s="14">
        <v>1.6E-2</v>
      </c>
      <c r="AM7" s="14">
        <v>0.22</v>
      </c>
      <c r="AN7" s="14">
        <v>0.20399999999999999</v>
      </c>
      <c r="AO7" s="14">
        <v>0.22</v>
      </c>
      <c r="AP7" s="14">
        <v>-3.7735849056603805</v>
      </c>
      <c r="AQ7" s="14">
        <v>0.245</v>
      </c>
      <c r="AR7" s="14">
        <v>0.23499999999999999</v>
      </c>
      <c r="AS7" s="14">
        <v>0.245</v>
      </c>
      <c r="AT7" s="14">
        <v>-2.0833333333333353</v>
      </c>
      <c r="AU7" s="14">
        <f t="shared" si="0"/>
        <v>0.46499999999999997</v>
      </c>
      <c r="AV7" s="14">
        <v>0.51300000000000001</v>
      </c>
      <c r="AW7" s="14">
        <v>1897.813453</v>
      </c>
      <c r="AX7" s="14">
        <v>31.630224216666665</v>
      </c>
      <c r="AY7" s="14">
        <v>974.92037200000004</v>
      </c>
      <c r="AZ7" s="14">
        <v>1548.4644619999999</v>
      </c>
      <c r="BA7" s="14">
        <v>-22.729156578579953</v>
      </c>
      <c r="BB7" s="14">
        <v>1355.4130244045455</v>
      </c>
      <c r="BC7" s="14">
        <v>22.590217073409089</v>
      </c>
      <c r="BD7" s="14">
        <v>623.22563637254893</v>
      </c>
      <c r="BE7" s="14">
        <v>779.34929429090914</v>
      </c>
      <c r="BF7" s="14">
        <v>-11.131216914344053</v>
      </c>
      <c r="BG7" s="14">
        <v>3848.6641239999999</v>
      </c>
      <c r="BH7" s="14">
        <v>64.144402066666672</v>
      </c>
      <c r="BI7" s="14">
        <v>1737.27739</v>
      </c>
      <c r="BJ7" s="14">
        <v>2112.8474430000001</v>
      </c>
      <c r="BK7" s="14">
        <v>-9.7547500221533774</v>
      </c>
      <c r="BL7" s="14">
        <v>26.960395999999999</v>
      </c>
      <c r="BM7" s="14">
        <v>157.61462399999999</v>
      </c>
      <c r="BN7" s="14">
        <v>150.112595</v>
      </c>
      <c r="BO7" s="14">
        <v>2.4378828185491104</v>
      </c>
      <c r="BP7" s="14">
        <v>65.209891999999996</v>
      </c>
      <c r="BQ7" s="14">
        <v>48.204104999999998</v>
      </c>
      <c r="BR7" s="14">
        <v>38.592137999999998</v>
      </c>
      <c r="BS7" s="14">
        <v>11.074174028477247</v>
      </c>
      <c r="BT7" s="14">
        <v>-7.4223062938775506</v>
      </c>
      <c r="BU7" s="14">
        <v>-122.82245254468084</v>
      </c>
      <c r="BV7" s="14">
        <v>110.24705806122448</v>
      </c>
      <c r="BW7" s="14">
        <v>1853.3773307272493</v>
      </c>
      <c r="BX7" s="14">
        <v>-3.1749633265306105</v>
      </c>
      <c r="BY7" s="14">
        <v>-13.70630979148936</v>
      </c>
      <c r="BZ7" s="14">
        <v>8.9108606775510175</v>
      </c>
      <c r="CA7" s="14">
        <v>471.63821222295581</v>
      </c>
      <c r="CB7" s="14">
        <v>0.94095902731681857</v>
      </c>
      <c r="CC7" s="14">
        <v>0.77652241650793574</v>
      </c>
      <c r="CD7" s="14">
        <v>0.79978187997805339</v>
      </c>
      <c r="CE7" s="14">
        <v>-1191.1897583868606</v>
      </c>
      <c r="CF7" s="14">
        <v>-1304.1101059193263</v>
      </c>
      <c r="CG7" s="14">
        <v>-4.5253217518153068</v>
      </c>
      <c r="CH7" s="14">
        <v>2104.8589349737363</v>
      </c>
      <c r="CI7" s="14">
        <v>4244.6446610433895</v>
      </c>
      <c r="CJ7" s="14">
        <v>5935.3313347834537</v>
      </c>
      <c r="CK7" s="14">
        <v>35.080982249562268</v>
      </c>
      <c r="CL7" s="14">
        <v>70.744077684056492</v>
      </c>
      <c r="CM7" s="14">
        <v>98.922188913057568</v>
      </c>
      <c r="CN7" s="14">
        <v>48.69580002919286</v>
      </c>
      <c r="CO7" s="35"/>
    </row>
    <row r="8" spans="1:93" s="8" customFormat="1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6"/>
      <c r="K8" s="14">
        <v>0.28360954383124998</v>
      </c>
      <c r="L8" s="14">
        <v>0.28922182495085003</v>
      </c>
      <c r="M8" s="14">
        <v>2.3821276635679451</v>
      </c>
      <c r="N8" s="14">
        <v>332673.82451399992</v>
      </c>
      <c r="O8" s="14">
        <v>162638.25255600005</v>
      </c>
      <c r="P8" s="14">
        <v>162637.36890400006</v>
      </c>
      <c r="Q8" s="14">
        <v>1020.4764457423314</v>
      </c>
      <c r="R8" s="14">
        <v>17.00794076237219</v>
      </c>
      <c r="S8" s="14">
        <v>498.89449412269948</v>
      </c>
      <c r="T8" s="14">
        <v>539.81378649523799</v>
      </c>
      <c r="U8" s="14">
        <v>-3.9394402775142252</v>
      </c>
      <c r="V8" s="14">
        <v>1.4381762708200674</v>
      </c>
      <c r="W8" s="14">
        <v>1467.625009197423</v>
      </c>
      <c r="X8" s="14">
        <v>24.46041681995705</v>
      </c>
      <c r="Y8" s="14">
        <v>1260.249699</v>
      </c>
      <c r="Z8" s="14">
        <v>21.00416165</v>
      </c>
      <c r="AA8" s="14">
        <v>574.26545299999998</v>
      </c>
      <c r="AB8" s="14">
        <v>692.24195499999996</v>
      </c>
      <c r="AC8" s="14">
        <v>-9.315105561545991</v>
      </c>
      <c r="AD8" s="14">
        <v>-2330.6637619959338</v>
      </c>
      <c r="AE8" s="14">
        <v>0.86996792586272997</v>
      </c>
      <c r="AF8" s="14">
        <v>0.88718351211917179</v>
      </c>
      <c r="AG8" s="14">
        <v>7.3071400722943096</v>
      </c>
      <c r="AH8" s="14">
        <v>2643.0609118867865</v>
      </c>
      <c r="AI8" s="14">
        <v>44.051015198113106</v>
      </c>
      <c r="AJ8" s="14">
        <v>2.3225140041966137</v>
      </c>
      <c r="AK8" s="14">
        <v>1138.017212</v>
      </c>
      <c r="AL8" s="14">
        <v>6.0000000000000001E-3</v>
      </c>
      <c r="AM8" s="14">
        <v>0.29499999999999998</v>
      </c>
      <c r="AN8" s="14">
        <v>0.28899999999999998</v>
      </c>
      <c r="AO8" s="14">
        <v>0.29499999999999998</v>
      </c>
      <c r="AP8" s="14">
        <v>-1.0273972602739736</v>
      </c>
      <c r="AQ8" s="14">
        <v>0.32600000000000001</v>
      </c>
      <c r="AR8" s="14">
        <v>0.32600000000000001</v>
      </c>
      <c r="AS8" s="14">
        <v>0.315</v>
      </c>
      <c r="AT8" s="14">
        <v>1.7160686427457112</v>
      </c>
      <c r="AU8" s="14">
        <f t="shared" si="0"/>
        <v>0.621</v>
      </c>
      <c r="AV8" s="14">
        <v>0.48099999999999998</v>
      </c>
      <c r="AW8" s="14">
        <v>2103.5059590000001</v>
      </c>
      <c r="AX8" s="14">
        <v>35.05843265</v>
      </c>
      <c r="AY8" s="14">
        <v>1131.6152649999999</v>
      </c>
      <c r="AZ8" s="14">
        <v>971.89069400000005</v>
      </c>
      <c r="BA8" s="14">
        <v>7.593254980648231</v>
      </c>
      <c r="BB8" s="14">
        <v>1161.986168620339</v>
      </c>
      <c r="BC8" s="14">
        <v>19.366436143672317</v>
      </c>
      <c r="BD8" s="14">
        <v>539.58724220415218</v>
      </c>
      <c r="BE8" s="14">
        <v>633.39626187118654</v>
      </c>
      <c r="BF8" s="14">
        <v>-7.9974713490096256</v>
      </c>
      <c r="BG8" s="14">
        <v>2486.9567580000003</v>
      </c>
      <c r="BH8" s="14">
        <v>41.449279300000008</v>
      </c>
      <c r="BI8" s="14">
        <v>1506.1213069999999</v>
      </c>
      <c r="BJ8" s="14">
        <v>1026.7492420000001</v>
      </c>
      <c r="BK8" s="14">
        <v>18.9260388845873</v>
      </c>
      <c r="BL8" s="14">
        <v>29.016239999999996</v>
      </c>
      <c r="BM8" s="14">
        <v>84.722365999999994</v>
      </c>
      <c r="BN8" s="14">
        <v>98.860793999999999</v>
      </c>
      <c r="BO8" s="14">
        <v>-7.7013752241763376</v>
      </c>
      <c r="BP8" s="14">
        <v>113.450065</v>
      </c>
      <c r="BQ8" s="14">
        <v>65.336128000000002</v>
      </c>
      <c r="BR8" s="14">
        <v>48.113937</v>
      </c>
      <c r="BS8" s="14">
        <v>15.180415277858151</v>
      </c>
      <c r="BT8" s="14">
        <v>9.9866367975460122</v>
      </c>
      <c r="BU8" s="14">
        <v>-62.100018702453973</v>
      </c>
      <c r="BV8" s="14">
        <v>74.597211793650814</v>
      </c>
      <c r="BW8" s="14">
        <v>-1093.8234649858759</v>
      </c>
      <c r="BX8" s="14">
        <v>-36.599357846625757</v>
      </c>
      <c r="BY8" s="14">
        <v>-28.077766340490804</v>
      </c>
      <c r="BZ8" s="14">
        <v>-8.8258691206349198</v>
      </c>
      <c r="CA8" s="14">
        <v>52.168023500383384</v>
      </c>
      <c r="CB8" s="14">
        <v>0.89843538920655253</v>
      </c>
      <c r="CC8" s="14">
        <v>0.79282958319753027</v>
      </c>
      <c r="CD8" s="14">
        <v>0.82486676748464949</v>
      </c>
      <c r="CE8" s="14">
        <v>-652.50593212577724</v>
      </c>
      <c r="CF8" s="14">
        <v>-1678.1578298701561</v>
      </c>
      <c r="CG8" s="14">
        <v>-44.006858237930949</v>
      </c>
      <c r="CH8" s="14">
        <v>2537.8841542039536</v>
      </c>
      <c r="CI8" s="14">
        <v>1210.4489722472811</v>
      </c>
      <c r="CJ8" s="14">
        <v>4845.2333464160629</v>
      </c>
      <c r="CK8" s="14">
        <v>42.298069236732559</v>
      </c>
      <c r="CL8" s="14">
        <v>20.174149537454685</v>
      </c>
      <c r="CM8" s="14">
        <v>80.75388910693438</v>
      </c>
      <c r="CN8" s="14">
        <v>53.344821591731936</v>
      </c>
      <c r="CO8" s="35"/>
    </row>
    <row r="9" spans="1:93" s="8" customFormat="1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6"/>
      <c r="K9" s="14">
        <v>0.29312199433124997</v>
      </c>
      <c r="L9" s="14">
        <v>0.22186185205429138</v>
      </c>
      <c r="M9" s="14">
        <v>2.0863675460726467</v>
      </c>
      <c r="N9" s="14">
        <v>361049.8295420002</v>
      </c>
      <c r="O9" s="14">
        <v>177710.50188599998</v>
      </c>
      <c r="P9" s="14">
        <v>177707.94109899999</v>
      </c>
      <c r="Q9" s="14">
        <v>1117.8063547244581</v>
      </c>
      <c r="R9" s="14">
        <v>16.176647680527616</v>
      </c>
      <c r="S9" s="14">
        <v>550.1927280371516</v>
      </c>
      <c r="T9" s="14">
        <v>578.37490842586737</v>
      </c>
      <c r="U9" s="14">
        <v>-2.49716361502621</v>
      </c>
      <c r="V9" s="14">
        <v>1.1846710199745114</v>
      </c>
      <c r="W9" s="14">
        <v>1324.2327943854143</v>
      </c>
      <c r="X9" s="14">
        <v>19.164005707458966</v>
      </c>
      <c r="Y9" s="14">
        <v>1377.721321</v>
      </c>
      <c r="Z9" s="14">
        <v>19.938079898697541</v>
      </c>
      <c r="AA9" s="14">
        <v>657.49102000000005</v>
      </c>
      <c r="AB9" s="14">
        <v>724.64854400000002</v>
      </c>
      <c r="AC9" s="14">
        <v>-4.8589538820263423</v>
      </c>
      <c r="AD9" s="14">
        <v>-2032.430396637036</v>
      </c>
      <c r="AE9" s="14">
        <v>0.90749843446207423</v>
      </c>
      <c r="AF9" s="14">
        <v>0.68687879892969461</v>
      </c>
      <c r="AG9" s="14">
        <v>6.4593422479029305</v>
      </c>
      <c r="AH9" s="14">
        <v>2653.7874432885351</v>
      </c>
      <c r="AI9" s="14">
        <v>38.405028122844215</v>
      </c>
      <c r="AJ9" s="14">
        <v>2.0085312190384297</v>
      </c>
      <c r="AK9" s="14">
        <v>1321.257752</v>
      </c>
      <c r="AL9" s="14">
        <v>-0.01</v>
      </c>
      <c r="AM9" s="14">
        <v>0.35799999999999998</v>
      </c>
      <c r="AN9" s="14">
        <v>0.35799999999999998</v>
      </c>
      <c r="AO9" s="14">
        <v>0.34799999999999998</v>
      </c>
      <c r="AP9" s="14">
        <v>1.4164305949008513</v>
      </c>
      <c r="AQ9" s="14">
        <v>0.32300000000000001</v>
      </c>
      <c r="AR9" s="14">
        <v>0.32300000000000001</v>
      </c>
      <c r="AS9" s="14">
        <v>0.317</v>
      </c>
      <c r="AT9" s="14">
        <v>0.93750000000000089</v>
      </c>
      <c r="AU9" s="14">
        <f t="shared" si="0"/>
        <v>0.68100000000000005</v>
      </c>
      <c r="AV9" s="14">
        <v>0.48899999999999999</v>
      </c>
      <c r="AW9" s="14">
        <v>2076.419312</v>
      </c>
      <c r="AX9" s="14">
        <v>30.04948353111433</v>
      </c>
      <c r="AY9" s="14">
        <v>1112.986465</v>
      </c>
      <c r="AZ9" s="14">
        <v>977.42704000000003</v>
      </c>
      <c r="BA9" s="14">
        <v>6.4848138741813148</v>
      </c>
      <c r="BB9" s="14">
        <v>1220.014742075419</v>
      </c>
      <c r="BC9" s="14">
        <v>17.655784979383778</v>
      </c>
      <c r="BD9" s="14">
        <v>627.61806979608946</v>
      </c>
      <c r="BE9" s="14">
        <v>609.45485526149423</v>
      </c>
      <c r="BF9" s="14">
        <v>1.4682412141345473</v>
      </c>
      <c r="BG9" s="14">
        <v>4679.5672910000003</v>
      </c>
      <c r="BH9" s="14">
        <v>67.721668465991328</v>
      </c>
      <c r="BI9" s="14">
        <v>2403.4967040000001</v>
      </c>
      <c r="BJ9" s="14">
        <v>2277.8017880000002</v>
      </c>
      <c r="BK9" s="14">
        <v>2.6850438230931744</v>
      </c>
      <c r="BL9" s="14">
        <v>58.41117899999999</v>
      </c>
      <c r="BM9" s="14">
        <v>113.089394</v>
      </c>
      <c r="BN9" s="14">
        <v>159.995068</v>
      </c>
      <c r="BO9" s="14">
        <v>-17.176251499801552</v>
      </c>
      <c r="BP9" s="14">
        <v>141.31214700000001</v>
      </c>
      <c r="BQ9" s="14">
        <v>70.439668999999995</v>
      </c>
      <c r="BR9" s="14">
        <v>78.194164000000001</v>
      </c>
      <c r="BS9" s="14">
        <v>-5.2171802633926605</v>
      </c>
      <c r="BT9" s="14">
        <v>23.186381334365329</v>
      </c>
      <c r="BU9" s="14">
        <v>-92.649996256965949</v>
      </c>
      <c r="BV9" s="14">
        <v>118.02613357728707</v>
      </c>
      <c r="BW9" s="14">
        <v>-830.21354737682759</v>
      </c>
      <c r="BX9" s="14">
        <v>-44.252377823529415</v>
      </c>
      <c r="BY9" s="14">
        <v>-20.002510266253868</v>
      </c>
      <c r="BZ9" s="14">
        <v>-24.708798703470038</v>
      </c>
      <c r="CA9" s="14">
        <v>-10.525946445457492</v>
      </c>
      <c r="CB9" s="14">
        <v>0.87338806063348351</v>
      </c>
      <c r="CC9" s="14">
        <v>0.78177802562652965</v>
      </c>
      <c r="CD9" s="14">
        <v>0.75261748350845759</v>
      </c>
      <c r="CE9" s="14">
        <v>-835.67740727272189</v>
      </c>
      <c r="CF9" s="14">
        <v>-1196.752989364313</v>
      </c>
      <c r="CG9" s="14">
        <v>-17.765704679926333</v>
      </c>
      <c r="CH9" s="14">
        <v>2617.0910204672614</v>
      </c>
      <c r="CI9" s="14">
        <v>532.35050381828046</v>
      </c>
      <c r="CJ9" s="14">
        <v>5849.8079876892134</v>
      </c>
      <c r="CK9" s="14">
        <v>37.873965563925637</v>
      </c>
      <c r="CL9" s="14">
        <v>7.7040593895554341</v>
      </c>
      <c r="CM9" s="14">
        <v>84.657134409395283</v>
      </c>
      <c r="CN9" s="14">
        <v>58.121781088501066</v>
      </c>
      <c r="CO9" s="35"/>
    </row>
    <row r="10" spans="1:93" s="8" customFormat="1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6"/>
      <c r="K10" s="14">
        <v>0.34433599812500004</v>
      </c>
      <c r="L10" s="14">
        <v>0.3063070556409247</v>
      </c>
      <c r="M10" s="14">
        <v>2.4514780096249984</v>
      </c>
      <c r="N10" s="14">
        <v>321494.69111499994</v>
      </c>
      <c r="O10" s="14">
        <v>171415.70918300003</v>
      </c>
      <c r="P10" s="14">
        <v>171415.04193600002</v>
      </c>
      <c r="Q10" s="14">
        <v>1454.7525684705884</v>
      </c>
      <c r="R10" s="14">
        <v>20.722971060834592</v>
      </c>
      <c r="S10" s="14">
        <v>782.74220190410961</v>
      </c>
      <c r="T10" s="14">
        <v>679.12117936651578</v>
      </c>
      <c r="U10" s="14">
        <v>7.0882836156363886</v>
      </c>
      <c r="V10" s="14">
        <v>1.5681373177824973</v>
      </c>
      <c r="W10" s="14">
        <v>2281.2517907586671</v>
      </c>
      <c r="X10" s="14">
        <v>32.496464255821465</v>
      </c>
      <c r="Y10" s="14">
        <v>1864.0002749999999</v>
      </c>
      <c r="Z10" s="14">
        <v>26.552710470085469</v>
      </c>
      <c r="AA10" s="14">
        <v>1065.7742000000001</v>
      </c>
      <c r="AB10" s="14">
        <v>804.46572900000001</v>
      </c>
      <c r="AC10" s="14">
        <v>13.971922369325057</v>
      </c>
      <c r="AD10" s="14">
        <v>-2368.9443403144373</v>
      </c>
      <c r="AE10" s="14">
        <v>1.5580814394796383</v>
      </c>
      <c r="AF10" s="14">
        <v>1.3860047766557679</v>
      </c>
      <c r="AG10" s="14">
        <v>11.092660677036191</v>
      </c>
      <c r="AH10" s="14">
        <v>3358.3235346695078</v>
      </c>
      <c r="AI10" s="14">
        <v>47.839366590733725</v>
      </c>
      <c r="AJ10" s="14">
        <v>2.28785802840643</v>
      </c>
      <c r="AK10" s="14">
        <v>1467.889831</v>
      </c>
      <c r="AL10" s="14">
        <v>2E-3</v>
      </c>
      <c r="AM10" s="14">
        <v>0.19500000000000001</v>
      </c>
      <c r="AN10" s="14">
        <v>0.193</v>
      </c>
      <c r="AO10" s="14">
        <v>0.19500000000000001</v>
      </c>
      <c r="AP10" s="14">
        <v>-0.51546391752577359</v>
      </c>
      <c r="AQ10" s="14">
        <v>0.221</v>
      </c>
      <c r="AR10" s="14">
        <v>0.219</v>
      </c>
      <c r="AS10" s="14">
        <v>0.221</v>
      </c>
      <c r="AT10" s="14">
        <v>-0.45454545454545497</v>
      </c>
      <c r="AU10" s="14">
        <f t="shared" si="0"/>
        <v>0.41600000000000004</v>
      </c>
      <c r="AV10" s="14">
        <v>0.53</v>
      </c>
      <c r="AW10" s="14">
        <v>2740.438537</v>
      </c>
      <c r="AX10" s="14">
        <v>39.037585997150998</v>
      </c>
      <c r="AY10" s="14">
        <v>1490.2696530000001</v>
      </c>
      <c r="AZ10" s="14">
        <v>1121.1557310000001</v>
      </c>
      <c r="BA10" s="14">
        <v>14.134576628592654</v>
      </c>
      <c r="BB10" s="14">
        <v>1708.9018588358972</v>
      </c>
      <c r="BC10" s="14">
        <v>24.343331322448677</v>
      </c>
      <c r="BD10" s="14">
        <v>954.65561169430066</v>
      </c>
      <c r="BE10" s="14">
        <v>764.06052192307698</v>
      </c>
      <c r="BF10" s="14">
        <v>11.089387365560983</v>
      </c>
      <c r="BG10" s="14">
        <v>2251.9594580000003</v>
      </c>
      <c r="BH10" s="14">
        <v>32.079194558404559</v>
      </c>
      <c r="BI10" s="14">
        <v>1193.524979</v>
      </c>
      <c r="BJ10" s="14">
        <v>1064.1511379999999</v>
      </c>
      <c r="BK10" s="14">
        <v>5.7303986176685102</v>
      </c>
      <c r="BL10" s="14">
        <v>39.079048</v>
      </c>
      <c r="BM10" s="14">
        <v>185.819344</v>
      </c>
      <c r="BN10" s="14">
        <v>159.59832800000001</v>
      </c>
      <c r="BO10" s="14">
        <v>7.5911043717531586</v>
      </c>
      <c r="BP10" s="14">
        <v>110.925348</v>
      </c>
      <c r="BQ10" s="14">
        <v>49.448428999999997</v>
      </c>
      <c r="BR10" s="14">
        <v>62.216296999999997</v>
      </c>
      <c r="BS10" s="14">
        <v>-11.434110356389537</v>
      </c>
      <c r="BT10" s="14">
        <v>-6.9496689954751139</v>
      </c>
      <c r="BU10" s="14">
        <v>-136.00933010045659</v>
      </c>
      <c r="BV10" s="14">
        <v>127.82750182805428</v>
      </c>
      <c r="BW10" s="14">
        <v>3224.6684132743871</v>
      </c>
      <c r="BX10" s="14">
        <v>-56.061580036199089</v>
      </c>
      <c r="BY10" s="14">
        <v>-19.44659699086758</v>
      </c>
      <c r="BZ10" s="14">
        <v>-36.818469714932128</v>
      </c>
      <c r="CA10" s="14">
        <v>-30.875059323930177</v>
      </c>
      <c r="CB10" s="14">
        <v>0.92551934056562069</v>
      </c>
      <c r="CC10" s="14">
        <v>0.81916972866178239</v>
      </c>
      <c r="CD10" s="14">
        <v>0.78386546703786952</v>
      </c>
      <c r="CE10" s="14">
        <v>-1808.6210887764967</v>
      </c>
      <c r="CF10" s="14">
        <v>-560.32325153794147</v>
      </c>
      <c r="CG10" s="14">
        <v>52.694266217874251</v>
      </c>
      <c r="CH10" s="14">
        <v>52.694266217874251</v>
      </c>
      <c r="CI10" s="14">
        <v>3121.2574271755766</v>
      </c>
      <c r="CJ10" s="14">
        <v>9905.7651728240799</v>
      </c>
      <c r="CK10" s="14">
        <v>61.642521398760529</v>
      </c>
      <c r="CL10" s="14">
        <v>44.462356512472603</v>
      </c>
      <c r="CM10" s="14">
        <v>141.10776599464501</v>
      </c>
      <c r="CN10" s="14">
        <v>44.690120156487936</v>
      </c>
      <c r="CO10" s="35"/>
    </row>
    <row r="11" spans="1:93" s="8" customFormat="1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6"/>
      <c r="K11" s="14">
        <v>0.22560320908124998</v>
      </c>
      <c r="L11" s="14">
        <v>0.18754591421078098</v>
      </c>
      <c r="M11" s="14">
        <v>1.9182416002202443</v>
      </c>
      <c r="N11" s="14">
        <v>362177.3333399999</v>
      </c>
      <c r="O11" s="14">
        <v>182174.15163300003</v>
      </c>
      <c r="P11" s="14">
        <v>182173.71882400004</v>
      </c>
      <c r="Q11" s="14">
        <v>1207.2651115099998</v>
      </c>
      <c r="R11" s="14">
        <v>16.118359299198929</v>
      </c>
      <c r="S11" s="14">
        <v>611.3278003288591</v>
      </c>
      <c r="T11" s="14">
        <v>600.0213658033332</v>
      </c>
      <c r="U11" s="14">
        <v>0.9333753505297786</v>
      </c>
      <c r="V11" s="14">
        <v>1.2474976114574614</v>
      </c>
      <c r="W11" s="14">
        <v>1506.0603430046506</v>
      </c>
      <c r="X11" s="14">
        <v>20.107614726363824</v>
      </c>
      <c r="Y11" s="14">
        <v>1526.1387249999998</v>
      </c>
      <c r="Z11" s="14">
        <v>20.375683911882504</v>
      </c>
      <c r="AA11" s="14">
        <v>755.10745999999995</v>
      </c>
      <c r="AB11" s="14">
        <v>771.03126499999996</v>
      </c>
      <c r="AC11" s="14">
        <v>-1.0434048189164467</v>
      </c>
      <c r="AD11" s="14">
        <v>-2797.6968817088737</v>
      </c>
      <c r="AE11" s="14">
        <v>0.7520106969375</v>
      </c>
      <c r="AF11" s="14">
        <v>0.62515304736927002</v>
      </c>
      <c r="AG11" s="14">
        <v>6.3941386674008145</v>
      </c>
      <c r="AH11" s="14">
        <v>2613.9942319413449</v>
      </c>
      <c r="AI11" s="14">
        <v>34.899789478522628</v>
      </c>
      <c r="AJ11" s="14">
        <v>1.9389029259244905</v>
      </c>
      <c r="AK11" s="14">
        <v>1348.1821070000001</v>
      </c>
      <c r="AL11" s="14">
        <v>1E-3</v>
      </c>
      <c r="AM11" s="14">
        <v>0.29399999999999998</v>
      </c>
      <c r="AN11" s="14">
        <v>0.29299999999999998</v>
      </c>
      <c r="AO11" s="14">
        <v>0.29399999999999998</v>
      </c>
      <c r="AP11" s="14">
        <v>-0.17035775127768329</v>
      </c>
      <c r="AQ11" s="14">
        <v>0.3</v>
      </c>
      <c r="AR11" s="14">
        <v>0.29799999999999999</v>
      </c>
      <c r="AS11" s="14">
        <v>0.3</v>
      </c>
      <c r="AT11" s="14">
        <v>-0.33444816053511733</v>
      </c>
      <c r="AU11" s="14">
        <f t="shared" si="0"/>
        <v>0.59399999999999997</v>
      </c>
      <c r="AV11" s="14">
        <v>0.42899999999999999</v>
      </c>
      <c r="AW11" s="14">
        <v>2436.101639</v>
      </c>
      <c r="AX11" s="14">
        <v>32.524721481975966</v>
      </c>
      <c r="AY11" s="14">
        <v>1108.928848</v>
      </c>
      <c r="AZ11" s="14">
        <v>1373.7358400000001</v>
      </c>
      <c r="BA11" s="14">
        <v>-10.666240724329343</v>
      </c>
      <c r="BB11" s="14">
        <v>1451.1788487006804</v>
      </c>
      <c r="BC11" s="14">
        <v>19.374884495336186</v>
      </c>
      <c r="BD11" s="14">
        <v>702.53275327303754</v>
      </c>
      <c r="BE11" s="14">
        <v>751.03093949999993</v>
      </c>
      <c r="BF11" s="14">
        <v>-3.3365023127703424</v>
      </c>
      <c r="BG11" s="14">
        <v>3693.321731</v>
      </c>
      <c r="BH11" s="14">
        <v>49.310036461949259</v>
      </c>
      <c r="BI11" s="14">
        <v>1557.9682459999999</v>
      </c>
      <c r="BJ11" s="14">
        <v>2135.8944849999998</v>
      </c>
      <c r="BK11" s="14">
        <v>-15.64557973824718</v>
      </c>
      <c r="BL11" s="14">
        <v>27.753879000000005</v>
      </c>
      <c r="BM11" s="14">
        <v>71.197083000000006</v>
      </c>
      <c r="BN11" s="14">
        <v>84.415790999999999</v>
      </c>
      <c r="BO11" s="14">
        <v>-8.494610799360979</v>
      </c>
      <c r="BP11" s="14">
        <v>130.29354899999998</v>
      </c>
      <c r="BQ11" s="14">
        <v>79.113883999999999</v>
      </c>
      <c r="BR11" s="14">
        <v>51.305902000000003</v>
      </c>
      <c r="BS11" s="14">
        <v>21.321904331295251</v>
      </c>
      <c r="BT11" s="14">
        <v>7.2889247499999996</v>
      </c>
      <c r="BU11" s="14">
        <v>-56.160238842281871</v>
      </c>
      <c r="BV11" s="14">
        <v>63.075483349999992</v>
      </c>
      <c r="BW11" s="14">
        <v>-1724.2444870778261</v>
      </c>
      <c r="BX11" s="14">
        <v>-48.49234392999999</v>
      </c>
      <c r="BY11" s="14">
        <v>-27.810703057046979</v>
      </c>
      <c r="BZ11" s="14">
        <v>-20.868548366666666</v>
      </c>
      <c r="CA11" s="14">
        <v>14.261013650260256</v>
      </c>
      <c r="CB11" s="14">
        <v>0.90615798157556748</v>
      </c>
      <c r="CC11" s="14">
        <v>0.8339872897241134</v>
      </c>
      <c r="CD11" s="14">
        <v>0.85032120181955884</v>
      </c>
      <c r="CE11" s="14">
        <v>-1230.7924459603789</v>
      </c>
      <c r="CF11" s="14">
        <v>-1566.9044357484941</v>
      </c>
      <c r="CG11" s="14">
        <v>-12.0138815604217</v>
      </c>
      <c r="CH11" s="14">
        <v>2174.4558928088554</v>
      </c>
      <c r="CI11" s="14">
        <v>6333.6620338261973</v>
      </c>
      <c r="CJ11" s="14">
        <v>6668.7021412784215</v>
      </c>
      <c r="CK11" s="14">
        <v>29.031453842574837</v>
      </c>
      <c r="CL11" s="14">
        <v>84.561575885530004</v>
      </c>
      <c r="CM11" s="14">
        <v>89.034741539097737</v>
      </c>
      <c r="CN11" s="14">
        <v>47.859881719820152</v>
      </c>
      <c r="CO11" s="35"/>
    </row>
    <row r="12" spans="1:93" s="8" customFormat="1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6"/>
      <c r="K12" s="14">
        <v>0.34174213920000002</v>
      </c>
      <c r="L12" s="14">
        <v>0.3731206232308103</v>
      </c>
      <c r="M12" s="14">
        <v>2.7056656533630496</v>
      </c>
      <c r="N12" s="14">
        <v>332745.27355199977</v>
      </c>
      <c r="O12" s="14">
        <v>163743.24976599996</v>
      </c>
      <c r="P12" s="14">
        <v>163738.32656299995</v>
      </c>
      <c r="Q12" s="14">
        <v>1274.9033792298853</v>
      </c>
      <c r="R12" s="14">
        <v>20.045650616822098</v>
      </c>
      <c r="S12" s="14">
        <v>627.38936326053647</v>
      </c>
      <c r="T12" s="14">
        <v>650.02338988846157</v>
      </c>
      <c r="U12" s="14">
        <v>-1.771864776841245</v>
      </c>
      <c r="V12" s="14">
        <v>1.6230885079620099</v>
      </c>
      <c r="W12" s="14">
        <v>2069.2810235899592</v>
      </c>
      <c r="X12" s="14">
        <v>32.535865150785519</v>
      </c>
      <c r="Y12" s="14">
        <v>1668.334488</v>
      </c>
      <c r="Z12" s="14">
        <v>26.231674339622639</v>
      </c>
      <c r="AA12" s="14">
        <v>816.69257400000004</v>
      </c>
      <c r="AB12" s="14">
        <v>851.64191400000004</v>
      </c>
      <c r="AC12" s="14">
        <v>-2.0948640845935689</v>
      </c>
      <c r="AD12" s="14">
        <v>-3924.4916970335785</v>
      </c>
      <c r="AE12" s="14">
        <v>1.3093568551724137</v>
      </c>
      <c r="AF12" s="14">
        <v>1.4295809319188133</v>
      </c>
      <c r="AG12" s="14">
        <v>10.366535070356512</v>
      </c>
      <c r="AH12" s="14">
        <v>3461.0321350668651</v>
      </c>
      <c r="AI12" s="14">
        <v>54.418744262057629</v>
      </c>
      <c r="AJ12" s="14">
        <v>2.5690745775627466</v>
      </c>
      <c r="AK12" s="14">
        <v>1347.190216</v>
      </c>
      <c r="AL12" s="14">
        <v>4.0000000000000001E-3</v>
      </c>
      <c r="AM12" s="14">
        <v>0.20100000000000001</v>
      </c>
      <c r="AN12" s="14">
        <v>0.19700000000000001</v>
      </c>
      <c r="AO12" s="14">
        <v>0.20100000000000001</v>
      </c>
      <c r="AP12" s="14">
        <v>-1.0050251256281415</v>
      </c>
      <c r="AQ12" s="14">
        <v>0.26100000000000001</v>
      </c>
      <c r="AR12" s="14">
        <v>0.26100000000000001</v>
      </c>
      <c r="AS12" s="14">
        <v>0.26</v>
      </c>
      <c r="AT12" s="14">
        <v>0.19193857965451072</v>
      </c>
      <c r="AU12" s="14">
        <f t="shared" si="0"/>
        <v>0.46200000000000002</v>
      </c>
      <c r="AV12" s="14">
        <v>0.52800000000000002</v>
      </c>
      <c r="AW12" s="14">
        <v>2654.3456349999997</v>
      </c>
      <c r="AX12" s="14">
        <v>41.734994261006285</v>
      </c>
      <c r="AY12" s="14">
        <v>1533.6768039999999</v>
      </c>
      <c r="AZ12" s="14">
        <v>1141.8223419999999</v>
      </c>
      <c r="BA12" s="14">
        <v>14.64603203427821</v>
      </c>
      <c r="BB12" s="14">
        <v>1516.7627198407959</v>
      </c>
      <c r="BC12" s="14">
        <v>23.848470437748361</v>
      </c>
      <c r="BD12" s="14">
        <v>813.48552463451779</v>
      </c>
      <c r="BE12" s="14">
        <v>719.52921442786078</v>
      </c>
      <c r="BF12" s="14">
        <v>6.128858895650442</v>
      </c>
      <c r="BG12" s="14">
        <v>3257.3388070000001</v>
      </c>
      <c r="BH12" s="14">
        <v>51.216018977987424</v>
      </c>
      <c r="BI12" s="14">
        <v>1735.5642089999999</v>
      </c>
      <c r="BJ12" s="14">
        <v>1531.7652439999999</v>
      </c>
      <c r="BK12" s="14">
        <v>6.237478281012514</v>
      </c>
      <c r="BL12" s="14">
        <v>29.449046999999993</v>
      </c>
      <c r="BM12" s="14">
        <v>107.336636</v>
      </c>
      <c r="BN12" s="14">
        <v>119.419224</v>
      </c>
      <c r="BO12" s="14">
        <v>-5.3284567816681792</v>
      </c>
      <c r="BP12" s="14">
        <v>178.75012599999999</v>
      </c>
      <c r="BQ12" s="14">
        <v>94.947479000000001</v>
      </c>
      <c r="BR12" s="14">
        <v>83.820678999999998</v>
      </c>
      <c r="BS12" s="14">
        <v>6.2241509475082264</v>
      </c>
      <c r="BT12" s="14">
        <v>8.8073595977011436</v>
      </c>
      <c r="BU12" s="14">
        <v>-83.951201026819916</v>
      </c>
      <c r="BV12" s="14">
        <v>93.116503446153843</v>
      </c>
      <c r="BW12" s="14">
        <v>-1931.9352092458491</v>
      </c>
      <c r="BX12" s="14">
        <v>-55.359203846743284</v>
      </c>
      <c r="BY12" s="14">
        <v>-37.894419996168587</v>
      </c>
      <c r="BZ12" s="14">
        <v>-17.531678653846146</v>
      </c>
      <c r="CA12" s="14">
        <v>36.738543462894491</v>
      </c>
      <c r="CB12" s="14">
        <v>0.88905119192530169</v>
      </c>
      <c r="CC12" s="14">
        <v>0.80148307887345593</v>
      </c>
      <c r="CD12" s="14">
        <v>0.80733395938324348</v>
      </c>
      <c r="CE12" s="14">
        <v>-2238.9412861791366</v>
      </c>
      <c r="CF12" s="14">
        <v>-1685.5504108544403</v>
      </c>
      <c r="CG12" s="14">
        <v>14.100956710979673</v>
      </c>
      <c r="CH12" s="14">
        <v>8127.0692541974495</v>
      </c>
      <c r="CI12" s="14">
        <v>2510.7401187337564</v>
      </c>
      <c r="CJ12" s="14">
        <v>8640.3032336261931</v>
      </c>
      <c r="CK12" s="14">
        <v>127.78410777040014</v>
      </c>
      <c r="CL12" s="14">
        <v>39.477045892040195</v>
      </c>
      <c r="CM12" s="14">
        <v>135.85382442808481</v>
      </c>
      <c r="CN12" s="14">
        <v>57.322608402503683</v>
      </c>
      <c r="CO12" s="35"/>
    </row>
    <row r="13" spans="1:93" s="8" customFormat="1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6"/>
      <c r="K13" s="3"/>
      <c r="L13" s="3"/>
      <c r="R13" s="14"/>
      <c r="X13" s="14"/>
      <c r="Z13" s="14"/>
      <c r="AI13" s="14"/>
      <c r="AU13" s="14">
        <f t="shared" si="0"/>
        <v>0</v>
      </c>
      <c r="AX13" s="14"/>
      <c r="BC13" s="14"/>
      <c r="BH13" s="14"/>
      <c r="CO13" s="35"/>
    </row>
    <row r="14" spans="1:93" s="8" customFormat="1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6"/>
      <c r="K14" s="14">
        <v>0.29072917173124996</v>
      </c>
      <c r="L14" s="14">
        <v>0.2475012610343528</v>
      </c>
      <c r="M14" s="14">
        <v>2.2036276322223776</v>
      </c>
      <c r="N14" s="14">
        <v>333308.01489899983</v>
      </c>
      <c r="O14" s="14">
        <v>154264.13687600006</v>
      </c>
      <c r="P14" s="14">
        <v>154263.39749400006</v>
      </c>
      <c r="Q14" s="14">
        <v>1400.472256680672</v>
      </c>
      <c r="R14" s="14">
        <v>18.925300765955026</v>
      </c>
      <c r="S14" s="14">
        <v>659.27341794017104</v>
      </c>
      <c r="T14" s="14">
        <v>752.36165560924383</v>
      </c>
      <c r="U14" s="14">
        <v>-6.594355681104731</v>
      </c>
      <c r="V14" s="14">
        <v>1.3427777165563479</v>
      </c>
      <c r="W14" s="14">
        <v>1880.5229389261883</v>
      </c>
      <c r="X14" s="14">
        <v>25.412472147651194</v>
      </c>
      <c r="Y14" s="14">
        <v>1636.9558609999999</v>
      </c>
      <c r="Z14" s="14">
        <v>22.121025148648648</v>
      </c>
      <c r="AA14" s="14">
        <v>767.26221099999998</v>
      </c>
      <c r="AB14" s="14">
        <v>911.65811199999996</v>
      </c>
      <c r="AC14" s="14">
        <v>-8.6005213601789237</v>
      </c>
      <c r="AD14" s="14">
        <v>-549.72182504442833</v>
      </c>
      <c r="AE14" s="14">
        <v>1.221551141727941</v>
      </c>
      <c r="AF14" s="14">
        <v>1.0399212648502218</v>
      </c>
      <c r="AG14" s="14">
        <v>9.2589396311864611</v>
      </c>
      <c r="AH14" s="14">
        <v>3140.3038899842445</v>
      </c>
      <c r="AI14" s="14">
        <v>42.436539053841145</v>
      </c>
      <c r="AJ14" s="14">
        <v>2.0817867096790623</v>
      </c>
      <c r="AK14" s="14">
        <v>1508.465721</v>
      </c>
      <c r="AL14" s="14">
        <v>1E-3</v>
      </c>
      <c r="AM14" s="14">
        <v>0.217</v>
      </c>
      <c r="AN14" s="14">
        <v>0.216</v>
      </c>
      <c r="AO14" s="14">
        <v>0.217</v>
      </c>
      <c r="AP14" s="14">
        <v>-0.23094688221709028</v>
      </c>
      <c r="AQ14" s="14">
        <v>0.23799999999999999</v>
      </c>
      <c r="AR14" s="14">
        <v>0.23400000000000001</v>
      </c>
      <c r="AS14" s="14">
        <v>0.23799999999999999</v>
      </c>
      <c r="AT14" s="14">
        <v>-0.84745762711863903</v>
      </c>
      <c r="AU14" s="14">
        <f t="shared" si="0"/>
        <v>0.45499999999999996</v>
      </c>
      <c r="AV14" s="14">
        <v>0.48699999999999999</v>
      </c>
      <c r="AW14" s="14">
        <v>2868.1352429999997</v>
      </c>
      <c r="AX14" s="14">
        <v>38.758584364864859</v>
      </c>
      <c r="AY14" s="14">
        <v>1343.6917040000001</v>
      </c>
      <c r="AZ14" s="14">
        <v>1730.460648</v>
      </c>
      <c r="BA14" s="14">
        <v>-12.5813199774687</v>
      </c>
      <c r="BB14" s="14">
        <v>1688.667567847926</v>
      </c>
      <c r="BC14" s="14">
        <v>22.819831997944945</v>
      </c>
      <c r="BD14" s="14">
        <v>754.08105968055554</v>
      </c>
      <c r="BE14" s="14">
        <v>938.06070504608283</v>
      </c>
      <c r="BF14" s="14">
        <v>-10.872590535890991</v>
      </c>
      <c r="BG14" s="14">
        <v>3113.3034440000001</v>
      </c>
      <c r="BH14" s="14">
        <v>42.071668162162162</v>
      </c>
      <c r="BI14" s="14">
        <v>1700.9033509999999</v>
      </c>
      <c r="BJ14" s="14">
        <v>1417.1790390000001</v>
      </c>
      <c r="BK14" s="14">
        <v>9.0993205602883318</v>
      </c>
      <c r="BL14" s="14">
        <v>43.100567000000012</v>
      </c>
      <c r="BM14" s="14">
        <v>141.78102899999999</v>
      </c>
      <c r="BN14" s="14">
        <v>182.879852</v>
      </c>
      <c r="BO14" s="14">
        <v>-12.659000638885104</v>
      </c>
      <c r="BP14" s="14">
        <v>119.635628</v>
      </c>
      <c r="BQ14" s="14">
        <v>76.192423000000005</v>
      </c>
      <c r="BR14" s="14">
        <v>43.623542</v>
      </c>
      <c r="BS14" s="14">
        <v>27.182421808312441</v>
      </c>
      <c r="BT14" s="14">
        <v>29.903906004201684</v>
      </c>
      <c r="BU14" s="14">
        <v>-109.74598797863246</v>
      </c>
      <c r="BV14" s="14">
        <v>137.78958727310922</v>
      </c>
      <c r="BW14" s="14">
        <v>-882.68118743407604</v>
      </c>
      <c r="BX14" s="14">
        <v>-27.999379684873947</v>
      </c>
      <c r="BY14" s="14">
        <v>-31.855391576923079</v>
      </c>
      <c r="BZ14" s="14">
        <v>3.1591572689075607</v>
      </c>
      <c r="CA14" s="14">
        <v>122.01792217751117</v>
      </c>
      <c r="CB14" s="14">
        <v>0.90957553295995663</v>
      </c>
      <c r="CC14" s="14">
        <v>0.77876008737211133</v>
      </c>
      <c r="CD14" s="14">
        <v>0.80099186907486219</v>
      </c>
      <c r="CE14" s="14">
        <v>407.91888928228644</v>
      </c>
      <c r="CF14" s="14">
        <v>-957.6407143267146</v>
      </c>
      <c r="CG14" s="14">
        <v>-248.40920287249597</v>
      </c>
      <c r="CH14" s="14">
        <v>2730.8564589973403</v>
      </c>
      <c r="CI14" s="14">
        <v>9359.0435134420768</v>
      </c>
      <c r="CJ14" s="14">
        <v>9403.5393457738664</v>
      </c>
      <c r="CK14" s="14">
        <v>36.903465662126223</v>
      </c>
      <c r="CL14" s="14">
        <v>126.47356099246049</v>
      </c>
      <c r="CM14" s="14">
        <v>127.07485602397117</v>
      </c>
      <c r="CN14" s="14">
        <v>53.27175741552017</v>
      </c>
      <c r="CO14" s="35"/>
    </row>
    <row r="15" spans="1:93" s="8" customFormat="1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6"/>
      <c r="K15" s="14">
        <v>0.30768486958124996</v>
      </c>
      <c r="L15" s="14">
        <v>0.26548419589606898</v>
      </c>
      <c r="M15" s="14">
        <v>2.2822795454284019</v>
      </c>
      <c r="N15" s="14">
        <v>275656.699211</v>
      </c>
      <c r="O15" s="14">
        <v>123721.92237499995</v>
      </c>
      <c r="P15" s="14">
        <v>123720.73214999995</v>
      </c>
      <c r="Q15" s="14">
        <v>1219.7393780353982</v>
      </c>
      <c r="R15" s="14">
        <v>19.768871605111801</v>
      </c>
      <c r="S15" s="14">
        <v>564.96161235616432</v>
      </c>
      <c r="T15" s="14">
        <v>672.39563107964614</v>
      </c>
      <c r="U15" s="14">
        <v>-8.6825384741084353</v>
      </c>
      <c r="V15" s="14">
        <v>1.5318952657906588</v>
      </c>
      <c r="W15" s="14">
        <v>1868.5129787108692</v>
      </c>
      <c r="X15" s="14">
        <v>30.283840821894152</v>
      </c>
      <c r="Y15" s="14">
        <v>1669.542774</v>
      </c>
      <c r="Z15" s="14">
        <v>27.059040097244733</v>
      </c>
      <c r="AA15" s="14">
        <v>748.57925399999999</v>
      </c>
      <c r="AB15" s="14">
        <v>923.57840699999997</v>
      </c>
      <c r="AC15" s="14">
        <v>-10.465469679177577</v>
      </c>
      <c r="AD15" s="14">
        <v>-3233.8101392618296</v>
      </c>
      <c r="AE15" s="14">
        <v>1.36143747602323</v>
      </c>
      <c r="AF15" s="14">
        <v>1.1747088313985352</v>
      </c>
      <c r="AG15" s="14">
        <v>10.098582059417707</v>
      </c>
      <c r="AH15" s="14">
        <v>2678.6263623493633</v>
      </c>
      <c r="AI15" s="14">
        <v>43.413717380054507</v>
      </c>
      <c r="AJ15" s="14">
        <v>2.183526788375322</v>
      </c>
      <c r="AK15" s="14">
        <v>1226.7430730000001</v>
      </c>
      <c r="AL15" s="14">
        <v>-4.0000000000000001E-3</v>
      </c>
      <c r="AM15" s="14">
        <v>0.185</v>
      </c>
      <c r="AN15" s="14">
        <v>0.185</v>
      </c>
      <c r="AO15" s="14">
        <v>0.18099999999999999</v>
      </c>
      <c r="AP15" s="14">
        <v>1.092896174863389</v>
      </c>
      <c r="AQ15" s="14">
        <v>0.22600000000000001</v>
      </c>
      <c r="AR15" s="14">
        <v>0.219</v>
      </c>
      <c r="AS15" s="14">
        <v>0.22600000000000001</v>
      </c>
      <c r="AT15" s="14">
        <v>-1.5730337078651699</v>
      </c>
      <c r="AU15" s="14">
        <f t="shared" si="0"/>
        <v>0.41100000000000003</v>
      </c>
      <c r="AV15" s="14">
        <v>0.501</v>
      </c>
      <c r="AW15" s="14">
        <v>2396.427502</v>
      </c>
      <c r="AX15" s="14">
        <v>38.839991928687198</v>
      </c>
      <c r="AY15" s="14">
        <v>1202.7762600000001</v>
      </c>
      <c r="AZ15" s="14">
        <v>1300.2664830000001</v>
      </c>
      <c r="BA15" s="14">
        <v>-3.8948684864707492</v>
      </c>
      <c r="BB15" s="14">
        <v>1544.2817064972976</v>
      </c>
      <c r="BC15" s="14">
        <v>25.028876928643395</v>
      </c>
      <c r="BD15" s="14">
        <v>704.27941951351363</v>
      </c>
      <c r="BE15" s="14">
        <v>858.61140606077345</v>
      </c>
      <c r="BF15" s="14">
        <v>-9.8747771771294541</v>
      </c>
      <c r="BG15" s="14">
        <v>2925.230004</v>
      </c>
      <c r="BH15" s="14">
        <v>47.410534910858992</v>
      </c>
      <c r="BI15" s="14">
        <v>1479.2510990000001</v>
      </c>
      <c r="BJ15" s="14">
        <v>1483.1102679999999</v>
      </c>
      <c r="BK15" s="14">
        <v>-0.13027340428450296</v>
      </c>
      <c r="BL15" s="14">
        <v>33.362362000000005</v>
      </c>
      <c r="BM15" s="14">
        <v>110.023663</v>
      </c>
      <c r="BN15" s="14">
        <v>118.048664</v>
      </c>
      <c r="BO15" s="14">
        <v>-3.5186210907560049</v>
      </c>
      <c r="BP15" s="14">
        <v>93.955627000000007</v>
      </c>
      <c r="BQ15" s="14">
        <v>23.876631</v>
      </c>
      <c r="BR15" s="14">
        <v>77.725288000000006</v>
      </c>
      <c r="BS15" s="14">
        <v>-52.999645607087395</v>
      </c>
      <c r="BT15" s="14">
        <v>5.7026419911504433</v>
      </c>
      <c r="BU15" s="14">
        <v>-85.980608995433812</v>
      </c>
      <c r="BV15" s="14">
        <v>89.002579840707966</v>
      </c>
      <c r="BW15" s="14">
        <v>-5790.3665453882713</v>
      </c>
      <c r="BX15" s="14">
        <v>-59.561192588495572</v>
      </c>
      <c r="BY15" s="14">
        <v>-4.0274460410958905</v>
      </c>
      <c r="BZ15" s="14">
        <v>-55.809702305309742</v>
      </c>
      <c r="CA15" s="14">
        <v>-86.538643125904187</v>
      </c>
      <c r="CB15" s="14">
        <v>0.9291442099345345</v>
      </c>
      <c r="CC15" s="14">
        <v>0.84826810513233564</v>
      </c>
      <c r="CD15" s="14">
        <v>0.82510069289093269</v>
      </c>
      <c r="CE15" s="14">
        <v>-1353.4548365003607</v>
      </c>
      <c r="CF15" s="14">
        <v>-1880.3553027614705</v>
      </c>
      <c r="CG15" s="14">
        <v>-16.293487977664121</v>
      </c>
      <c r="CH15" s="14">
        <v>3536.5336199206745</v>
      </c>
      <c r="CI15" s="14">
        <v>4560.8105102018944</v>
      </c>
      <c r="CJ15" s="14">
        <v>9434.8676976624865</v>
      </c>
      <c r="CK15" s="14">
        <v>57.318211019784023</v>
      </c>
      <c r="CL15" s="14">
        <v>73.919133066481265</v>
      </c>
      <c r="CM15" s="14">
        <v>152.91519769307109</v>
      </c>
      <c r="CN15" s="14">
        <v>41.588277974953741</v>
      </c>
      <c r="CO15" s="35"/>
    </row>
    <row r="16" spans="1:93" s="8" customFormat="1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6"/>
      <c r="K16" s="14">
        <v>0.39409126273124995</v>
      </c>
      <c r="L16" s="14">
        <v>0.37025859834738933</v>
      </c>
      <c r="M16" s="14">
        <v>2.6952687620301949</v>
      </c>
      <c r="N16" s="14">
        <v>415238.60174000001</v>
      </c>
      <c r="O16" s="14">
        <v>195624.79235499993</v>
      </c>
      <c r="P16" s="14">
        <v>195622.19550099992</v>
      </c>
      <c r="Q16" s="14">
        <v>1451.8999324230767</v>
      </c>
      <c r="R16" s="14">
        <v>19.103946479251011</v>
      </c>
      <c r="S16" s="14">
        <v>693.70896623758858</v>
      </c>
      <c r="T16" s="14">
        <v>767.90706157342652</v>
      </c>
      <c r="U16" s="14">
        <v>-5.0764423709119075</v>
      </c>
      <c r="V16" s="14">
        <v>1.7181519966787155</v>
      </c>
      <c r="W16" s="14">
        <v>2494.5847678704013</v>
      </c>
      <c r="X16" s="14">
        <v>32.823483787768438</v>
      </c>
      <c r="Y16" s="14">
        <v>1926.667404</v>
      </c>
      <c r="Z16" s="14">
        <v>25.350886894736842</v>
      </c>
      <c r="AA16" s="14">
        <v>913.91232300000001</v>
      </c>
      <c r="AB16" s="14">
        <v>1015.586395</v>
      </c>
      <c r="AC16" s="14">
        <v>-5.2694552762071352</v>
      </c>
      <c r="AD16" s="14">
        <v>-4258.7155666028948</v>
      </c>
      <c r="AE16" s="14">
        <v>1.3779414780812935</v>
      </c>
      <c r="AF16" s="14">
        <v>1.2946104837321306</v>
      </c>
      <c r="AG16" s="14">
        <v>9.4240166504552274</v>
      </c>
      <c r="AH16" s="14">
        <v>4050.4833071024145</v>
      </c>
      <c r="AI16" s="14">
        <v>53.295832988189666</v>
      </c>
      <c r="AJ16" s="14">
        <v>2.5885836017156398</v>
      </c>
      <c r="AK16" s="14">
        <v>1564.7488859999999</v>
      </c>
      <c r="AL16" s="14">
        <v>-3.0000000000000001E-3</v>
      </c>
      <c r="AM16" s="14">
        <v>0.26300000000000001</v>
      </c>
      <c r="AN16" s="14">
        <v>0.26300000000000001</v>
      </c>
      <c r="AO16" s="14">
        <v>0.26</v>
      </c>
      <c r="AP16" s="14">
        <v>0.57361376673040199</v>
      </c>
      <c r="AQ16" s="14">
        <v>0.28599999999999998</v>
      </c>
      <c r="AR16" s="14">
        <v>0.28199999999999997</v>
      </c>
      <c r="AS16" s="14">
        <v>0.28599999999999998</v>
      </c>
      <c r="AT16" s="14">
        <v>-0.70422535211267678</v>
      </c>
      <c r="AU16" s="14">
        <f t="shared" si="0"/>
        <v>0.54899999999999993</v>
      </c>
      <c r="AV16" s="14">
        <v>0.56699999999999995</v>
      </c>
      <c r="AW16" s="14">
        <v>1862.6657560000001</v>
      </c>
      <c r="AX16" s="14">
        <v>24.508759947368421</v>
      </c>
      <c r="AY16" s="14">
        <v>811.64316599999995</v>
      </c>
      <c r="AZ16" s="14">
        <v>1052.7177810000001</v>
      </c>
      <c r="BA16" s="14">
        <v>-12.930683588278363</v>
      </c>
      <c r="BB16" s="14">
        <v>1559.9064660760457</v>
      </c>
      <c r="BC16" s="14">
        <v>20.525085079947971</v>
      </c>
      <c r="BD16" s="14">
        <v>695.66761818631176</v>
      </c>
      <c r="BE16" s="14">
        <v>874.21901912692317</v>
      </c>
      <c r="BF16" s="14">
        <v>-11.373521928066808</v>
      </c>
      <c r="BG16" s="14">
        <v>3770.7585290000002</v>
      </c>
      <c r="BH16" s="14">
        <v>49.615243802631582</v>
      </c>
      <c r="BI16" s="14">
        <v>1846.7239689999999</v>
      </c>
      <c r="BJ16" s="14">
        <v>2627.8721009999999</v>
      </c>
      <c r="BK16" s="14">
        <v>-17.457399948058331</v>
      </c>
      <c r="BL16" s="14">
        <v>84.397751</v>
      </c>
      <c r="BM16" s="14">
        <v>167.62332900000001</v>
      </c>
      <c r="BN16" s="14">
        <v>108.580967</v>
      </c>
      <c r="BO16" s="14">
        <v>21.376337318084296</v>
      </c>
      <c r="BP16" s="14">
        <v>130.52798899999999</v>
      </c>
      <c r="BQ16" s="14">
        <v>75.110397000000006</v>
      </c>
      <c r="BR16" s="14">
        <v>58.176743999999999</v>
      </c>
      <c r="BS16" s="14">
        <v>12.70464117765119</v>
      </c>
      <c r="BT16" s="14">
        <v>-21.704893213286717</v>
      </c>
      <c r="BU16" s="14">
        <v>-106.97884162056739</v>
      </c>
      <c r="BV16" s="14">
        <v>83.776101405594389</v>
      </c>
      <c r="BW16" s="14">
        <v>822.12247889180503</v>
      </c>
      <c r="BX16" s="14">
        <v>8.0460609930069911</v>
      </c>
      <c r="BY16" s="14">
        <v>-3.3834947836879432</v>
      </c>
      <c r="BZ16" s="14">
        <v>11.350895870629371</v>
      </c>
      <c r="CA16" s="14">
        <v>-184.9334619097686</v>
      </c>
      <c r="CB16" s="14">
        <v>0.89964212362084406</v>
      </c>
      <c r="CC16" s="14">
        <v>0.79014001196834593</v>
      </c>
      <c r="CD16" s="14">
        <v>0.8589600860242288</v>
      </c>
      <c r="CE16" s="14">
        <v>-2706.2968396719202</v>
      </c>
      <c r="CF16" s="14">
        <v>-1552.4187269309725</v>
      </c>
      <c r="CG16" s="14">
        <v>27.094509945433554</v>
      </c>
      <c r="CH16" s="14">
        <v>1355.7716266601878</v>
      </c>
      <c r="CI16" s="14">
        <v>1845.8604983048986</v>
      </c>
      <c r="CJ16" s="14">
        <v>4152.8145372318486</v>
      </c>
      <c r="CK16" s="14">
        <v>17.839100350791945</v>
      </c>
      <c r="CL16" s="14">
        <v>24.287638135590772</v>
      </c>
      <c r="CM16" s="14">
        <v>54.642296542524321</v>
      </c>
      <c r="CN16" s="14">
        <v>39.020000000000003</v>
      </c>
      <c r="CO16" s="35"/>
    </row>
    <row r="17" spans="1:93" s="8" customFormat="1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6"/>
      <c r="K17" s="3"/>
      <c r="L17" s="3"/>
      <c r="R17" s="14"/>
      <c r="X17" s="14"/>
      <c r="Z17" s="14"/>
      <c r="AI17" s="14"/>
      <c r="AU17" s="14">
        <f t="shared" si="0"/>
        <v>0</v>
      </c>
      <c r="AX17" s="14"/>
      <c r="BC17" s="14"/>
      <c r="BH17" s="14"/>
      <c r="CO17" s="35"/>
    </row>
    <row r="18" spans="1:93" s="8" customFormat="1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6"/>
      <c r="K18" s="3"/>
      <c r="L18" s="3"/>
      <c r="R18" s="14"/>
      <c r="X18" s="14"/>
      <c r="Z18" s="14"/>
      <c r="AI18" s="14"/>
      <c r="AU18" s="14">
        <f t="shared" si="0"/>
        <v>0</v>
      </c>
      <c r="AX18" s="14"/>
      <c r="BC18" s="14"/>
      <c r="BH18" s="14"/>
      <c r="CO18" s="35"/>
    </row>
    <row r="19" spans="1:93" s="8" customFormat="1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6"/>
      <c r="K19" s="14">
        <v>0.35217641480000006</v>
      </c>
      <c r="L19" s="14">
        <v>0.38097524550733369</v>
      </c>
      <c r="M19" s="14">
        <v>2.7339960345351431</v>
      </c>
      <c r="N19" s="14">
        <v>526150.18761700019</v>
      </c>
      <c r="O19" s="14">
        <v>264856.77907499991</v>
      </c>
      <c r="P19" s="14">
        <v>264858.42014299991</v>
      </c>
      <c r="Q19" s="14">
        <v>1970.6206214681652</v>
      </c>
      <c r="R19" s="14">
        <v>19.90525880270874</v>
      </c>
      <c r="S19" s="14">
        <v>991.98247875655431</v>
      </c>
      <c r="T19" s="14">
        <v>1005.0262523846152</v>
      </c>
      <c r="U19" s="14">
        <v>-0.65316557833010325</v>
      </c>
      <c r="V19" s="14">
        <v>1.8678198058022779</v>
      </c>
      <c r="W19" s="14">
        <v>3680.7642265006325</v>
      </c>
      <c r="X19" s="14">
        <v>37.179436631319518</v>
      </c>
      <c r="Y19" s="14">
        <v>2889.0544</v>
      </c>
      <c r="Z19" s="14">
        <v>29.182367676767676</v>
      </c>
      <c r="AA19" s="14">
        <v>1456.492571</v>
      </c>
      <c r="AB19" s="14">
        <v>1432.561829</v>
      </c>
      <c r="AC19" s="14">
        <v>0.82832438184618495</v>
      </c>
      <c r="AD19" s="14">
        <v>-6461.3303548461408</v>
      </c>
      <c r="AE19" s="14">
        <v>1.3190127895131087</v>
      </c>
      <c r="AF19" s="14">
        <v>1.4268735786791524</v>
      </c>
      <c r="AG19" s="14">
        <v>10.239685522603532</v>
      </c>
      <c r="AH19" s="14">
        <v>5176.0307275581636</v>
      </c>
      <c r="AI19" s="14">
        <v>52.283138662203669</v>
      </c>
      <c r="AJ19" s="14">
        <v>2.6800230404801351</v>
      </c>
      <c r="AK19" s="14">
        <v>1931.3381449999999</v>
      </c>
      <c r="AL19" s="14">
        <v>-8.0000000000000002E-3</v>
      </c>
      <c r="AM19" s="14">
        <v>0.219</v>
      </c>
      <c r="AN19" s="14">
        <v>0.219</v>
      </c>
      <c r="AO19" s="14">
        <v>0.21099999999999999</v>
      </c>
      <c r="AP19" s="14">
        <v>1.8604651162790715</v>
      </c>
      <c r="AQ19" s="14">
        <v>0.26700000000000002</v>
      </c>
      <c r="AR19" s="14">
        <v>0.26700000000000002</v>
      </c>
      <c r="AS19" s="14">
        <v>0.26</v>
      </c>
      <c r="AT19" s="14">
        <v>1.3282732447817847</v>
      </c>
      <c r="AU19" s="14">
        <f t="shared" si="0"/>
        <v>0.48599999999999999</v>
      </c>
      <c r="AV19" s="14">
        <v>0.53600000000000003</v>
      </c>
      <c r="AW19" s="14">
        <v>3740.8766049999999</v>
      </c>
      <c r="AX19" s="14">
        <v>37.786632373737376</v>
      </c>
      <c r="AY19" s="14">
        <v>1847.4993939999999</v>
      </c>
      <c r="AZ19" s="14">
        <v>1922.681961</v>
      </c>
      <c r="BA19" s="14">
        <v>-1.9941366189266527</v>
      </c>
      <c r="BB19" s="14">
        <v>2244.2419369223744</v>
      </c>
      <c r="BC19" s="14">
        <v>22.669110473963379</v>
      </c>
      <c r="BD19" s="14">
        <v>1206.9728666073058</v>
      </c>
      <c r="BE19" s="14">
        <v>1076.6018501848341</v>
      </c>
      <c r="BF19" s="14">
        <v>5.7090760141893178</v>
      </c>
      <c r="BG19" s="14">
        <v>4319.8849380000001</v>
      </c>
      <c r="BH19" s="14">
        <v>43.635201393939397</v>
      </c>
      <c r="BI19" s="14">
        <v>2147.81477</v>
      </c>
      <c r="BJ19" s="14">
        <v>2195.658234</v>
      </c>
      <c r="BK19" s="14">
        <v>-1.1015025063109622</v>
      </c>
      <c r="BL19" s="14">
        <v>19.043599999999998</v>
      </c>
      <c r="BM19" s="14">
        <v>109.446585</v>
      </c>
      <c r="BN19" s="14">
        <v>110.258099</v>
      </c>
      <c r="BO19" s="14">
        <v>-0.36936581652487782</v>
      </c>
      <c r="BP19" s="14">
        <v>116.660068</v>
      </c>
      <c r="BQ19" s="14">
        <v>61.639218999999997</v>
      </c>
      <c r="BR19" s="14">
        <v>62.865510999999998</v>
      </c>
      <c r="BS19" s="14">
        <v>-0.98493607431621344</v>
      </c>
      <c r="BT19" s="14">
        <v>6.2498621872659177</v>
      </c>
      <c r="BU19" s="14">
        <v>-74.41849952808991</v>
      </c>
      <c r="BV19" s="14">
        <v>82.862050753846162</v>
      </c>
      <c r="BW19" s="14">
        <v>-1862.7298642088731</v>
      </c>
      <c r="BX19" s="14">
        <v>-37.271354524344559</v>
      </c>
      <c r="BY19" s="14">
        <v>-9.5165977677902625</v>
      </c>
      <c r="BZ19" s="14">
        <v>-28.524195542307691</v>
      </c>
      <c r="CA19" s="14">
        <v>-49.96635485378232</v>
      </c>
      <c r="CB19" s="14">
        <v>0.95513569516991859</v>
      </c>
      <c r="CC19" s="14">
        <v>0.89488321629979883</v>
      </c>
      <c r="CD19" s="14">
        <v>0.89218086818560238</v>
      </c>
      <c r="CE19" s="14">
        <v>-3216.7583954886904</v>
      </c>
      <c r="CF19" s="14">
        <v>-3244.5719593574504</v>
      </c>
      <c r="CG19" s="14">
        <v>-0.43046187613513937</v>
      </c>
      <c r="CH19" s="14">
        <v>3814.6161628200653</v>
      </c>
      <c r="CI19" s="14">
        <v>3292.8370436056994</v>
      </c>
      <c r="CJ19" s="14">
        <v>9999.4014465139317</v>
      </c>
      <c r="CK19" s="14">
        <v>38.531476392121874</v>
      </c>
      <c r="CL19" s="14">
        <v>33.260980238441405</v>
      </c>
      <c r="CM19" s="14">
        <v>101.00405501529224</v>
      </c>
      <c r="CN19" s="14">
        <v>46.111126806333132</v>
      </c>
      <c r="CO19" s="35"/>
    </row>
    <row r="20" spans="1:93" s="8" customFormat="1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6"/>
      <c r="K20" s="14">
        <v>0.4024759484812499</v>
      </c>
      <c r="L20" s="14">
        <v>0.36441653320845052</v>
      </c>
      <c r="M20" s="14">
        <v>2.6739207881965763</v>
      </c>
      <c r="N20" s="14">
        <v>567493.72918200039</v>
      </c>
      <c r="O20" s="14">
        <v>256138.5990769999</v>
      </c>
      <c r="P20" s="14">
        <v>256138.2925039999</v>
      </c>
      <c r="Q20" s="14">
        <v>1674.0296091356931</v>
      </c>
      <c r="R20" s="14">
        <v>17.621364306691508</v>
      </c>
      <c r="S20" s="14">
        <v>780.92900153963387</v>
      </c>
      <c r="T20" s="14">
        <v>918.5502848643066</v>
      </c>
      <c r="U20" s="14">
        <v>-8.0978499959170573</v>
      </c>
      <c r="V20" s="14">
        <v>1.5513925398862234</v>
      </c>
      <c r="W20" s="14">
        <v>2597.0770471617648</v>
      </c>
      <c r="X20" s="14">
        <v>27.337653128018577</v>
      </c>
      <c r="Y20" s="14">
        <v>2299.730759</v>
      </c>
      <c r="Z20" s="14">
        <v>24.2076922</v>
      </c>
      <c r="AA20" s="14">
        <v>1103.392517</v>
      </c>
      <c r="AB20" s="14">
        <v>1197.0776370000001</v>
      </c>
      <c r="AC20" s="14">
        <v>-4.0724336213231354</v>
      </c>
      <c r="AD20" s="14">
        <v>-3892.2447777990151</v>
      </c>
      <c r="AE20" s="14">
        <v>1.1872446857853978</v>
      </c>
      <c r="AF20" s="14">
        <v>1.0749750242137184</v>
      </c>
      <c r="AG20" s="14">
        <v>7.8876719415828207</v>
      </c>
      <c r="AH20" s="14">
        <v>5638.0631824607999</v>
      </c>
      <c r="AI20" s="14">
        <v>59.348033499587366</v>
      </c>
      <c r="AJ20" s="14">
        <v>2.5557746009527706</v>
      </c>
      <c r="AK20" s="14">
        <v>2206.009552</v>
      </c>
      <c r="AL20" s="14">
        <v>-8.9999999999999993E-3</v>
      </c>
      <c r="AM20" s="14">
        <v>0.29899999999999999</v>
      </c>
      <c r="AN20" s="14">
        <v>0.29899999999999999</v>
      </c>
      <c r="AO20" s="14">
        <v>0.28999999999999998</v>
      </c>
      <c r="AP20" s="14">
        <v>1.5280135823429555</v>
      </c>
      <c r="AQ20" s="14">
        <v>0.33900000000000002</v>
      </c>
      <c r="AR20" s="14">
        <v>0.32800000000000001</v>
      </c>
      <c r="AS20" s="14">
        <v>0.33900000000000002</v>
      </c>
      <c r="AT20" s="14">
        <v>-1.6491754122938547</v>
      </c>
      <c r="AU20" s="14">
        <f t="shared" si="0"/>
        <v>0.63800000000000001</v>
      </c>
      <c r="AV20" s="14">
        <v>0.57299999999999995</v>
      </c>
      <c r="AW20" s="14">
        <v>2726.8591759999999</v>
      </c>
      <c r="AX20" s="14">
        <v>28.703780800000001</v>
      </c>
      <c r="AY20" s="14">
        <v>1447.6740420000001</v>
      </c>
      <c r="AZ20" s="14">
        <v>1341.3653409999999</v>
      </c>
      <c r="BA20" s="14">
        <v>3.8116600879852163</v>
      </c>
      <c r="BB20" s="14">
        <v>1825.2408801906354</v>
      </c>
      <c r="BC20" s="14">
        <v>19.213061896743529</v>
      </c>
      <c r="BD20" s="14">
        <v>980.48457505016734</v>
      </c>
      <c r="BE20" s="14">
        <v>871.03388381034472</v>
      </c>
      <c r="BF20" s="14">
        <v>5.9114015696706756</v>
      </c>
      <c r="BG20" s="14">
        <v>5258.9722899999997</v>
      </c>
      <c r="BH20" s="14">
        <v>55.357603052631575</v>
      </c>
      <c r="BI20" s="14">
        <v>2781.3930359999999</v>
      </c>
      <c r="BJ20" s="14">
        <v>2512.6186520000001</v>
      </c>
      <c r="BK20" s="14">
        <v>5.0769510881366946</v>
      </c>
      <c r="BL20" s="14">
        <v>58.753826999999987</v>
      </c>
      <c r="BM20" s="14">
        <v>199.07411999999999</v>
      </c>
      <c r="BN20" s="14">
        <v>163.34934200000001</v>
      </c>
      <c r="BO20" s="14">
        <v>9.8571924132218545</v>
      </c>
      <c r="BP20" s="14">
        <v>242.22878600000001</v>
      </c>
      <c r="BQ20" s="14">
        <v>118.084732</v>
      </c>
      <c r="BR20" s="14">
        <v>153.16029700000001</v>
      </c>
      <c r="BS20" s="14">
        <v>-12.931320853810007</v>
      </c>
      <c r="BT20" s="14">
        <v>-5.5622023156342166</v>
      </c>
      <c r="BU20" s="14">
        <v>-132.22035327743905</v>
      </c>
      <c r="BV20" s="14">
        <v>122.33621612979354</v>
      </c>
      <c r="BW20" s="14">
        <v>2575.4050718313879</v>
      </c>
      <c r="BX20" s="14">
        <v>-0.85907499115044705</v>
      </c>
      <c r="BY20" s="14">
        <v>39.754762414634151</v>
      </c>
      <c r="BZ20" s="14">
        <v>-39.43317924483776</v>
      </c>
      <c r="CA20" s="14">
        <v>24624.404849796552</v>
      </c>
      <c r="CB20" s="14">
        <v>0.88426921004042114</v>
      </c>
      <c r="CC20" s="14">
        <v>0.77673538675108622</v>
      </c>
      <c r="CD20" s="14">
        <v>0.79088775122604815</v>
      </c>
      <c r="CE20" s="14">
        <v>-2318.8253041148137</v>
      </c>
      <c r="CF20" s="14">
        <v>-1573.4194736841985</v>
      </c>
      <c r="CG20" s="14">
        <v>19.151052232951486</v>
      </c>
      <c r="CH20" s="14">
        <v>5999.6761528039588</v>
      </c>
      <c r="CI20" s="14">
        <v>829.70955467889178</v>
      </c>
      <c r="CJ20" s="14">
        <v>5544.2155823379644</v>
      </c>
      <c r="CK20" s="14">
        <v>63.154485818989038</v>
      </c>
      <c r="CL20" s="14">
        <v>8.7337847860935973</v>
      </c>
      <c r="CM20" s="14">
        <v>58.36016402461015</v>
      </c>
      <c r="CN20" s="14">
        <v>35.027015637862185</v>
      </c>
      <c r="CO20" s="35"/>
    </row>
    <row r="21" spans="1:93" s="8" customFormat="1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6"/>
      <c r="K21" s="14">
        <v>0.37758667078125002</v>
      </c>
      <c r="L21" s="14">
        <v>0.22647920286183068</v>
      </c>
      <c r="M21" s="14">
        <v>2.107966309064051</v>
      </c>
      <c r="N21" s="14">
        <v>373137.22983099998</v>
      </c>
      <c r="O21" s="14">
        <v>170015.12157900003</v>
      </c>
      <c r="P21" s="14">
        <v>170016.61837700004</v>
      </c>
      <c r="Q21" s="14">
        <v>1760.1014331132076</v>
      </c>
      <c r="R21" s="14">
        <v>17.088363428283568</v>
      </c>
      <c r="S21" s="14">
        <v>817.38750164903854</v>
      </c>
      <c r="T21" s="14">
        <v>958.18839673113212</v>
      </c>
      <c r="U21" s="14">
        <v>-7.9298719480560624</v>
      </c>
      <c r="V21" s="14">
        <v>1.3620241567305125</v>
      </c>
      <c r="W21" s="14">
        <v>2397.3006701961831</v>
      </c>
      <c r="X21" s="14">
        <v>23.274763788312459</v>
      </c>
      <c r="Y21" s="14">
        <v>2159.6629349999998</v>
      </c>
      <c r="Z21" s="14">
        <v>20.967601310679608</v>
      </c>
      <c r="AA21" s="14">
        <v>984.71266200000002</v>
      </c>
      <c r="AB21" s="14">
        <v>1179.0980239999999</v>
      </c>
      <c r="AC21" s="14">
        <v>-8.9834736124415233</v>
      </c>
      <c r="AD21" s="14">
        <v>-975.30731319207689</v>
      </c>
      <c r="AE21" s="14">
        <v>1.7810692017983492</v>
      </c>
      <c r="AF21" s="14">
        <v>1.0682981267067486</v>
      </c>
      <c r="AG21" s="14">
        <v>9.9432373069059015</v>
      </c>
      <c r="AH21" s="14">
        <v>3908.152469335047</v>
      </c>
      <c r="AI21" s="14">
        <v>37.943227857621814</v>
      </c>
      <c r="AJ21" s="14">
        <v>2.0089337805962408</v>
      </c>
      <c r="AK21" s="14">
        <v>1945.386407</v>
      </c>
      <c r="AL21" s="14">
        <v>-8.0000000000000002E-3</v>
      </c>
      <c r="AM21" s="14">
        <v>0.25</v>
      </c>
      <c r="AN21" s="14">
        <v>0.25</v>
      </c>
      <c r="AO21" s="14">
        <v>0.24199999999999999</v>
      </c>
      <c r="AP21" s="14">
        <v>1.6260162601626031</v>
      </c>
      <c r="AQ21" s="14">
        <v>0.21199999999999999</v>
      </c>
      <c r="AR21" s="14">
        <v>0.20799999999999999</v>
      </c>
      <c r="AS21" s="14">
        <v>0.21199999999999999</v>
      </c>
      <c r="AT21" s="14">
        <v>-0.95238095238095333</v>
      </c>
      <c r="AU21" s="14">
        <f t="shared" si="0"/>
        <v>0.46199999999999997</v>
      </c>
      <c r="AV21" s="14">
        <v>0.55500000000000005</v>
      </c>
      <c r="AW21" s="14">
        <v>3573.6500669999996</v>
      </c>
      <c r="AX21" s="14">
        <v>34.695631718446599</v>
      </c>
      <c r="AY21" s="14">
        <v>1582.457977</v>
      </c>
      <c r="AZ21" s="14">
        <v>2046.609631</v>
      </c>
      <c r="BA21" s="14">
        <v>-12.789832103893941</v>
      </c>
      <c r="BB21" s="14">
        <v>1898.0249028559995</v>
      </c>
      <c r="BC21" s="14">
        <v>18.427426241320383</v>
      </c>
      <c r="BD21" s="14">
        <v>901.54776292399993</v>
      </c>
      <c r="BE21" s="14">
        <v>1029.4256123388429</v>
      </c>
      <c r="BF21" s="14">
        <v>-6.6224553405577824</v>
      </c>
      <c r="BG21" s="14">
        <v>6824.6048580000006</v>
      </c>
      <c r="BH21" s="14">
        <v>66.258299592233016</v>
      </c>
      <c r="BI21" s="14">
        <v>3170.4342799999999</v>
      </c>
      <c r="BJ21" s="14">
        <v>3654.1705780000002</v>
      </c>
      <c r="BK21" s="14">
        <v>-7.0881217017707696</v>
      </c>
      <c r="BL21" s="14">
        <v>53.542084999999993</v>
      </c>
      <c r="BM21" s="14">
        <v>108.90557099999999</v>
      </c>
      <c r="BN21" s="14">
        <v>66.778828000000004</v>
      </c>
      <c r="BO21" s="14">
        <v>23.978647643038581</v>
      </c>
      <c r="BP21" s="14">
        <v>223.31142</v>
      </c>
      <c r="BQ21" s="14">
        <v>85.299447999999998</v>
      </c>
      <c r="BR21" s="14">
        <v>141.690853</v>
      </c>
      <c r="BS21" s="14">
        <v>-24.843090101898234</v>
      </c>
      <c r="BT21" s="14">
        <v>-32.587678400943403</v>
      </c>
      <c r="BU21" s="14">
        <v>-81.811656716346164</v>
      </c>
      <c r="BV21" s="14">
        <v>47.640466825471691</v>
      </c>
      <c r="BW21" s="14">
        <v>378.83411129440498</v>
      </c>
      <c r="BX21" s="14">
        <v>-104.68270563207548</v>
      </c>
      <c r="BY21" s="14">
        <v>-11.38351898557692</v>
      </c>
      <c r="BZ21" s="14">
        <v>-93.555821834905629</v>
      </c>
      <c r="CA21" s="14">
        <v>-78.304573105618289</v>
      </c>
      <c r="CB21" s="14">
        <v>0.88637322512792072</v>
      </c>
      <c r="CC21" s="14">
        <v>0.83526838037133488</v>
      </c>
      <c r="CD21" s="14">
        <v>0.84975891248492263</v>
      </c>
      <c r="CE21" s="14">
        <v>-128.35483747095648</v>
      </c>
      <c r="CF21" s="14">
        <v>-846.95247572111839</v>
      </c>
      <c r="CG21" s="14">
        <v>-73.679098734353786</v>
      </c>
      <c r="CH21" s="14">
        <v>4218.9052878590019</v>
      </c>
      <c r="CI21" s="14">
        <v>3300.8038915583734</v>
      </c>
      <c r="CJ21" s="14">
        <v>11755.158843626752</v>
      </c>
      <c r="CK21" s="14">
        <v>46.876725420655575</v>
      </c>
      <c r="CL21" s="14">
        <v>36.675598795093038</v>
      </c>
      <c r="CM21" s="14">
        <v>130.61287604029724</v>
      </c>
      <c r="CN21" s="14">
        <v>64.296924374828549</v>
      </c>
      <c r="CO21" s="35"/>
    </row>
    <row r="22" spans="1:93" s="8" customFormat="1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6"/>
      <c r="K22" s="14">
        <v>0.33146477000000002</v>
      </c>
      <c r="L22" s="14">
        <v>0.22748543909394503</v>
      </c>
      <c r="M22" s="14">
        <v>2.1126439158133588</v>
      </c>
      <c r="N22" s="14">
        <v>596354.71574600041</v>
      </c>
      <c r="O22" s="14">
        <v>292768.0026120001</v>
      </c>
      <c r="P22" s="14">
        <v>292765.85660100012</v>
      </c>
      <c r="Q22" s="14">
        <v>1834.9567858738462</v>
      </c>
      <c r="R22" s="14">
        <v>16.238555627202178</v>
      </c>
      <c r="S22" s="14">
        <v>900.83744122769258</v>
      </c>
      <c r="T22" s="14">
        <v>937.00905253395081</v>
      </c>
      <c r="U22" s="14">
        <v>-1.9681519337462932</v>
      </c>
      <c r="V22" s="14">
        <v>1.275585430010848</v>
      </c>
      <c r="W22" s="14">
        <v>2340.6441407602138</v>
      </c>
      <c r="X22" s="14">
        <v>20.713664962479768</v>
      </c>
      <c r="Y22" s="14">
        <v>2324.1123429999998</v>
      </c>
      <c r="Z22" s="14">
        <v>20.567365867256637</v>
      </c>
      <c r="AA22" s="14">
        <v>1142.183037</v>
      </c>
      <c r="AB22" s="14">
        <v>1181.929306</v>
      </c>
      <c r="AC22" s="14">
        <v>-1.7101698684967563</v>
      </c>
      <c r="AD22" s="14">
        <v>-5918.4999589063691</v>
      </c>
      <c r="AE22" s="14">
        <v>1.0198916</v>
      </c>
      <c r="AF22" s="14">
        <v>0.6999551972121385</v>
      </c>
      <c r="AG22" s="14">
        <v>6.5004428178872571</v>
      </c>
      <c r="AH22" s="14">
        <v>4256.8407785175787</v>
      </c>
      <c r="AI22" s="14">
        <v>37.671157332013969</v>
      </c>
      <c r="AJ22" s="14">
        <v>2.0426009554044784</v>
      </c>
      <c r="AK22" s="14">
        <v>2084.0295639999999</v>
      </c>
      <c r="AL22" s="14">
        <v>8.9999999999999993E-3</v>
      </c>
      <c r="AM22" s="14">
        <v>0.376</v>
      </c>
      <c r="AN22" s="14">
        <v>0.36699999999999999</v>
      </c>
      <c r="AO22" s="14">
        <v>0.376</v>
      </c>
      <c r="AP22" s="14">
        <v>-1.2113055181695838</v>
      </c>
      <c r="AQ22" s="14">
        <v>0.32500000000000001</v>
      </c>
      <c r="AR22" s="14">
        <v>0.32500000000000001</v>
      </c>
      <c r="AS22" s="14">
        <v>0.32400000000000001</v>
      </c>
      <c r="AT22" s="14">
        <v>0.15408320493066269</v>
      </c>
      <c r="AU22" s="14">
        <f t="shared" si="0"/>
        <v>0.70100000000000007</v>
      </c>
      <c r="AV22" s="14">
        <v>0.52</v>
      </c>
      <c r="AW22" s="14">
        <v>3522.6507259999998</v>
      </c>
      <c r="AX22" s="14">
        <v>31.173900230088496</v>
      </c>
      <c r="AY22" s="14">
        <v>1668.2443539999999</v>
      </c>
      <c r="AZ22" s="14">
        <v>1735.221558</v>
      </c>
      <c r="BA22" s="14">
        <v>-1.9679117032978244</v>
      </c>
      <c r="BB22" s="14">
        <v>1951.2356515984038</v>
      </c>
      <c r="BC22" s="14">
        <v>17.267572138038972</v>
      </c>
      <c r="BD22" s="14">
        <v>943.71074278746607</v>
      </c>
      <c r="BE22" s="14">
        <v>1030.1663440851062</v>
      </c>
      <c r="BF22" s="14">
        <v>-4.3799891022911197</v>
      </c>
      <c r="BG22" s="14">
        <v>3726.0889289999996</v>
      </c>
      <c r="BH22" s="14">
        <v>32.97423830973451</v>
      </c>
      <c r="BI22" s="14">
        <v>2129.2581180000002</v>
      </c>
      <c r="BJ22" s="14">
        <v>1628.840729</v>
      </c>
      <c r="BK22" s="14">
        <v>13.315705876109973</v>
      </c>
      <c r="BL22" s="14">
        <v>35.670678000000009</v>
      </c>
      <c r="BM22" s="14">
        <v>180.01249300000001</v>
      </c>
      <c r="BN22" s="14">
        <v>183.36676</v>
      </c>
      <c r="BO22" s="14">
        <v>-0.92307608987241574</v>
      </c>
      <c r="BP22" s="14">
        <v>242.481255</v>
      </c>
      <c r="BQ22" s="14">
        <v>127.44422900000001</v>
      </c>
      <c r="BR22" s="14">
        <v>116.768265</v>
      </c>
      <c r="BS22" s="14">
        <v>4.3715879663388586</v>
      </c>
      <c r="BT22" s="14">
        <v>10.843086898461536</v>
      </c>
      <c r="BU22" s="14">
        <v>-134.49690263384616</v>
      </c>
      <c r="BV22" s="14">
        <v>145.79140838580247</v>
      </c>
      <c r="BW22" s="14">
        <v>-2481.6341429646022</v>
      </c>
      <c r="BX22" s="14">
        <v>-87.332094206153869</v>
      </c>
      <c r="BY22" s="14">
        <v>-37.301146464615385</v>
      </c>
      <c r="BZ22" s="14">
        <v>-50.187868929012346</v>
      </c>
      <c r="CA22" s="14">
        <v>-14.729531937715196</v>
      </c>
      <c r="CB22" s="14">
        <v>0.89311157380696404</v>
      </c>
      <c r="CC22" s="14">
        <v>0.78790818885093783</v>
      </c>
      <c r="CD22" s="14">
        <v>0.79748853088078275</v>
      </c>
      <c r="CE22" s="14">
        <v>-3415.285179097752</v>
      </c>
      <c r="CF22" s="14">
        <v>-2503.2147798086189</v>
      </c>
      <c r="CG22" s="14">
        <v>15.410499376900678</v>
      </c>
      <c r="CH22" s="14">
        <v>1525.7991451916407</v>
      </c>
      <c r="CI22" s="14">
        <v>1661.5803521903329</v>
      </c>
      <c r="CJ22" s="14">
        <v>5677.6485706300191</v>
      </c>
      <c r="CK22" s="14">
        <v>13.502647302580892</v>
      </c>
      <c r="CL22" s="14">
        <v>14.704250904339229</v>
      </c>
      <c r="CM22" s="14">
        <v>50.244677616194856</v>
      </c>
      <c r="CN22" s="14">
        <v>59.606219330868726</v>
      </c>
      <c r="CO22" s="35"/>
    </row>
    <row r="23" spans="1:93" s="8" customFormat="1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6"/>
      <c r="K23" s="14">
        <v>0.40811477223124992</v>
      </c>
      <c r="L23" s="14">
        <v>0.38224005450841836</v>
      </c>
      <c r="M23" s="14">
        <v>2.7385306040749606</v>
      </c>
      <c r="N23" s="14">
        <v>504271.71052999952</v>
      </c>
      <c r="O23" s="14">
        <v>247345.7412390002</v>
      </c>
      <c r="P23" s="14">
        <v>247341.71972200021</v>
      </c>
      <c r="Q23" s="14">
        <v>1985.3452666181099</v>
      </c>
      <c r="R23" s="14">
        <v>20.467476975444431</v>
      </c>
      <c r="S23" s="14">
        <v>973.8108637204723</v>
      </c>
      <c r="T23" s="14">
        <v>1019.5769808690474</v>
      </c>
      <c r="U23" s="14">
        <v>-2.2958962688968971</v>
      </c>
      <c r="V23" s="14">
        <v>1.8304037027209268</v>
      </c>
      <c r="W23" s="14">
        <v>3633.9833271972539</v>
      </c>
      <c r="X23" s="14">
        <v>37.463745641208803</v>
      </c>
      <c r="Y23" s="14">
        <v>2887.4853929999999</v>
      </c>
      <c r="Z23" s="14">
        <v>29.767890649484535</v>
      </c>
      <c r="AA23" s="14">
        <v>1339.8865470000001</v>
      </c>
      <c r="AB23" s="14">
        <v>1547.5988460000001</v>
      </c>
      <c r="AC23" s="14">
        <v>-7.1935359224170465</v>
      </c>
      <c r="AD23" s="14">
        <v>-6728.5676322351583</v>
      </c>
      <c r="AE23" s="14">
        <v>1.6067510717765745</v>
      </c>
      <c r="AF23" s="14">
        <v>1.5048821043638518</v>
      </c>
      <c r="AG23" s="14">
        <v>10.781616551476223</v>
      </c>
      <c r="AH23" s="14">
        <v>5108.9381411012118</v>
      </c>
      <c r="AI23" s="14">
        <v>52.669465372177442</v>
      </c>
      <c r="AJ23" s="14">
        <v>2.5929154360190534</v>
      </c>
      <c r="AK23" s="14">
        <v>1970.3450680000001</v>
      </c>
      <c r="AL23" s="14">
        <v>1.0999999999999999E-2</v>
      </c>
      <c r="AM23" s="14">
        <v>0.20699999999999999</v>
      </c>
      <c r="AN23" s="14">
        <v>0.19600000000000001</v>
      </c>
      <c r="AO23" s="14">
        <v>0.20699999999999999</v>
      </c>
      <c r="AP23" s="14">
        <v>-2.729528535980144</v>
      </c>
      <c r="AQ23" s="14">
        <v>0.254</v>
      </c>
      <c r="AR23" s="14">
        <v>0.254</v>
      </c>
      <c r="AS23" s="14">
        <v>0.252</v>
      </c>
      <c r="AT23" s="14">
        <v>0.39525691699604776</v>
      </c>
      <c r="AU23" s="14">
        <f t="shared" si="0"/>
        <v>0.46099999999999997</v>
      </c>
      <c r="AV23" s="14">
        <v>0.57699999999999996</v>
      </c>
      <c r="AW23" s="14">
        <v>3211.5151070000002</v>
      </c>
      <c r="AX23" s="14">
        <v>33.108403164948456</v>
      </c>
      <c r="AY23" s="14">
        <v>1703.518311</v>
      </c>
      <c r="AZ23" s="14">
        <v>2102.9468689999999</v>
      </c>
      <c r="BA23" s="14">
        <v>-10.493424715893497</v>
      </c>
      <c r="BB23" s="14">
        <v>2268.6253061932366</v>
      </c>
      <c r="BC23" s="14">
        <v>23.38788975456945</v>
      </c>
      <c r="BD23" s="14">
        <v>1082.0188818775512</v>
      </c>
      <c r="BE23" s="14">
        <v>1244.2523310869562</v>
      </c>
      <c r="BF23" s="14">
        <v>-6.9739696861339411</v>
      </c>
      <c r="BG23" s="14">
        <v>5501.2552039999991</v>
      </c>
      <c r="BH23" s="14">
        <v>56.713971175257726</v>
      </c>
      <c r="BI23" s="14">
        <v>2666.1396639999998</v>
      </c>
      <c r="BJ23" s="14">
        <v>2842.9962009999999</v>
      </c>
      <c r="BK23" s="14">
        <v>-3.2102409766944477</v>
      </c>
      <c r="BL23" s="14">
        <v>36.067420999999996</v>
      </c>
      <c r="BM23" s="14">
        <v>104.829955</v>
      </c>
      <c r="BN23" s="14">
        <v>127.516361</v>
      </c>
      <c r="BO23" s="14">
        <v>-9.7640480772675584</v>
      </c>
      <c r="BP23" s="14">
        <v>171.26613600000002</v>
      </c>
      <c r="BQ23" s="14">
        <v>82.792759000000004</v>
      </c>
      <c r="BR23" s="14">
        <v>88.545513</v>
      </c>
      <c r="BS23" s="14">
        <v>-3.3575417405867123</v>
      </c>
      <c r="BT23" s="14">
        <v>13.116896484251972</v>
      </c>
      <c r="BU23" s="14">
        <v>-79.090027346456679</v>
      </c>
      <c r="BV23" s="14">
        <v>92.941801992063461</v>
      </c>
      <c r="BW23" s="14">
        <v>-1241.9479362023958</v>
      </c>
      <c r="BX23" s="14">
        <v>-83.203914102362219</v>
      </c>
      <c r="BY23" s="14">
        <v>-41.434435220472437</v>
      </c>
      <c r="BZ23" s="14">
        <v>-42.107637980158728</v>
      </c>
      <c r="CA23" s="14">
        <v>-0.80582481843556231</v>
      </c>
      <c r="CB23" s="14">
        <v>0.93300624031657797</v>
      </c>
      <c r="CC23" s="14">
        <v>0.87717081736239644</v>
      </c>
      <c r="CD23" s="14">
        <v>0.87749238186809542</v>
      </c>
      <c r="CE23" s="14">
        <v>-2799.1061446890108</v>
      </c>
      <c r="CF23" s="14">
        <v>-3929.4614875461502</v>
      </c>
      <c r="CG23" s="14">
        <v>-16.799345784113743</v>
      </c>
      <c r="CH23" s="14">
        <v>4508.0498152749369</v>
      </c>
      <c r="CI23" s="14">
        <v>5747.5575942749583</v>
      </c>
      <c r="CJ23" s="14">
        <v>10156.492544981427</v>
      </c>
      <c r="CK23" s="14">
        <v>46.474740363659144</v>
      </c>
      <c r="CL23" s="14">
        <v>59.253171074999571</v>
      </c>
      <c r="CM23" s="14">
        <v>104.70610871114873</v>
      </c>
      <c r="CN23" s="14">
        <v>53.31753555409945</v>
      </c>
      <c r="CO23" s="35"/>
    </row>
    <row r="24" spans="1:93" s="8" customFormat="1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6"/>
      <c r="K24" s="14">
        <v>0.31509869698125004</v>
      </c>
      <c r="L24" s="14">
        <v>0.18308596776443384</v>
      </c>
      <c r="M24" s="14">
        <v>1.8952959366648239</v>
      </c>
      <c r="N24" s="14">
        <v>359943.89464700001</v>
      </c>
      <c r="O24" s="14">
        <v>178693.80820999996</v>
      </c>
      <c r="P24" s="14">
        <v>178690.59820999997</v>
      </c>
      <c r="Q24" s="14">
        <v>1153.6988705929487</v>
      </c>
      <c r="R24" s="14">
        <v>15.804094117711625</v>
      </c>
      <c r="S24" s="14">
        <v>574.59805071382618</v>
      </c>
      <c r="T24" s="14">
        <v>580.96230581730777</v>
      </c>
      <c r="U24" s="14">
        <v>-0.5507505572955429</v>
      </c>
      <c r="V24" s="14">
        <v>1.2013718136589875</v>
      </c>
      <c r="W24" s="14">
        <v>1386.0213045805763</v>
      </c>
      <c r="X24" s="14">
        <v>18.986593213432553</v>
      </c>
      <c r="Y24" s="14">
        <v>1579.5365409999999</v>
      </c>
      <c r="Z24" s="14">
        <v>21.637486863013699</v>
      </c>
      <c r="AA24" s="14">
        <v>786.84682099999998</v>
      </c>
      <c r="AB24" s="14">
        <v>792.68971999999997</v>
      </c>
      <c r="AC24" s="14">
        <v>-0.36991223997267364</v>
      </c>
      <c r="AD24" s="14">
        <v>-4923.5343850718073</v>
      </c>
      <c r="AE24" s="14">
        <v>1.0099317210937502</v>
      </c>
      <c r="AF24" s="14">
        <v>0.58681399924498023</v>
      </c>
      <c r="AG24" s="14">
        <v>6.0746664636693071</v>
      </c>
      <c r="AH24" s="14">
        <v>2480.3856595904881</v>
      </c>
      <c r="AI24" s="14">
        <v>33.977885747814902</v>
      </c>
      <c r="AJ24" s="14">
        <v>1.8652999650145103</v>
      </c>
      <c r="AK24" s="14">
        <v>1329.7516249999999</v>
      </c>
      <c r="AL24" s="14">
        <v>1.7999999999999999E-2</v>
      </c>
      <c r="AM24" s="14">
        <v>0.34499999999999997</v>
      </c>
      <c r="AN24" s="14">
        <v>0.32700000000000001</v>
      </c>
      <c r="AO24" s="14">
        <v>0.34499999999999997</v>
      </c>
      <c r="AP24" s="14">
        <v>-2.6785714285714231</v>
      </c>
      <c r="AQ24" s="14">
        <v>0.312</v>
      </c>
      <c r="AR24" s="14">
        <v>0.311</v>
      </c>
      <c r="AS24" s="14">
        <v>0.312</v>
      </c>
      <c r="AT24" s="14">
        <v>-0.16051364365971121</v>
      </c>
      <c r="AU24" s="14">
        <f t="shared" si="0"/>
        <v>0.65700000000000003</v>
      </c>
      <c r="AV24" s="14">
        <v>0.50700000000000001</v>
      </c>
      <c r="AW24" s="14">
        <v>1852.0619500000003</v>
      </c>
      <c r="AX24" s="14">
        <v>25.370711643835619</v>
      </c>
      <c r="AY24" s="14">
        <v>1105.682812</v>
      </c>
      <c r="AZ24" s="14">
        <v>1017.38974</v>
      </c>
      <c r="BA24" s="14">
        <v>4.1587402143570289</v>
      </c>
      <c r="BB24" s="14">
        <v>1309.4798046840579</v>
      </c>
      <c r="BC24" s="14">
        <v>17.938079516219972</v>
      </c>
      <c r="BD24" s="14">
        <v>672.21429239143731</v>
      </c>
      <c r="BE24" s="14">
        <v>672.56567568695641</v>
      </c>
      <c r="BF24" s="14">
        <v>-2.612942666161245E-2</v>
      </c>
      <c r="BG24" s="14">
        <v>3790.9201819999998</v>
      </c>
      <c r="BH24" s="14">
        <v>51.930413452054793</v>
      </c>
      <c r="BI24" s="14">
        <v>2148.0672549999999</v>
      </c>
      <c r="BJ24" s="14">
        <v>1767.628113</v>
      </c>
      <c r="BK24" s="14">
        <v>9.7157492155554213</v>
      </c>
      <c r="BL24" s="14">
        <v>27.248936</v>
      </c>
      <c r="BM24" s="14">
        <v>99.798546000000002</v>
      </c>
      <c r="BN24" s="14">
        <v>91.106300000000005</v>
      </c>
      <c r="BO24" s="14">
        <v>4.5531824791917526</v>
      </c>
      <c r="BP24" s="14">
        <v>117.11090799999999</v>
      </c>
      <c r="BQ24" s="14">
        <v>57.347194999999999</v>
      </c>
      <c r="BR24" s="14">
        <v>63.622926999999997</v>
      </c>
      <c r="BS24" s="14">
        <v>-5.1878363816149564</v>
      </c>
      <c r="BT24" s="14">
        <v>3.6327520576923042</v>
      </c>
      <c r="BU24" s="14">
        <v>-54.505697864951777</v>
      </c>
      <c r="BV24" s="14">
        <v>57.957162932692299</v>
      </c>
      <c r="BW24" s="14">
        <v>-3258.4093592251575</v>
      </c>
      <c r="BX24" s="14">
        <v>-8.8433957435897401</v>
      </c>
      <c r="BY24" s="14">
        <v>-10.228766311897104</v>
      </c>
      <c r="BZ24" s="14">
        <v>1.3220096730769211</v>
      </c>
      <c r="CA24" s="14">
        <v>129.68554607891565</v>
      </c>
      <c r="CB24" s="14">
        <v>0.91625955872052012</v>
      </c>
      <c r="CC24" s="14">
        <v>0.83353074237464175</v>
      </c>
      <c r="CD24" s="14">
        <v>0.83668341498768861</v>
      </c>
      <c r="CE24" s="14">
        <v>-2411.3330921804691</v>
      </c>
      <c r="CF24" s="14">
        <v>-2512.2012928913405</v>
      </c>
      <c r="CG24" s="14">
        <v>-2.0486949581728218</v>
      </c>
      <c r="CH24" s="14">
        <v>1274.102365009293</v>
      </c>
      <c r="CI24" s="14">
        <v>1179.9809694835787</v>
      </c>
      <c r="CJ24" s="14">
        <v>3084.7070266072519</v>
      </c>
      <c r="CK24" s="14">
        <v>17.45345705492182</v>
      </c>
      <c r="CL24" s="14">
        <v>16.164122869638064</v>
      </c>
      <c r="CM24" s="14">
        <v>42.256260638455508</v>
      </c>
      <c r="CN24" s="14">
        <v>43.453749319778431</v>
      </c>
      <c r="CO24" s="35"/>
    </row>
    <row r="25" spans="1:93" s="8" customFormat="1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6"/>
      <c r="K25" s="14">
        <v>0.36276759680000004</v>
      </c>
      <c r="L25" s="14">
        <v>0.23643800863956144</v>
      </c>
      <c r="M25" s="14">
        <v>2.1538137638867934</v>
      </c>
      <c r="N25" s="14">
        <v>318616.78228599986</v>
      </c>
      <c r="O25" s="14">
        <v>165426.10170500012</v>
      </c>
      <c r="P25" s="14">
        <v>165425.59676100014</v>
      </c>
      <c r="Q25" s="14">
        <v>1820.6745408342858</v>
      </c>
      <c r="R25" s="14">
        <v>21.935837841376937</v>
      </c>
      <c r="S25" s="14">
        <v>945.29664698285694</v>
      </c>
      <c r="T25" s="14">
        <v>911.88546394047637</v>
      </c>
      <c r="U25" s="14">
        <v>1.7990256769041117</v>
      </c>
      <c r="V25" s="14">
        <v>1.5534559631847102</v>
      </c>
      <c r="W25" s="14">
        <v>2828.3377224776054</v>
      </c>
      <c r="X25" s="14">
        <v>34.076358102139828</v>
      </c>
      <c r="Y25" s="14">
        <v>2629.5312730000001</v>
      </c>
      <c r="Z25" s="14">
        <v>31.681099674698796</v>
      </c>
      <c r="AA25" s="14">
        <v>1350.670746</v>
      </c>
      <c r="AB25" s="14">
        <v>1291.339821</v>
      </c>
      <c r="AC25" s="14">
        <v>2.245673266453668</v>
      </c>
      <c r="AD25" s="14">
        <v>-3985.1792478058128</v>
      </c>
      <c r="AE25" s="14">
        <v>2.0729576960000005</v>
      </c>
      <c r="AF25" s="14">
        <v>1.3510743350832084</v>
      </c>
      <c r="AG25" s="14">
        <v>12.307507222210248</v>
      </c>
      <c r="AH25" s="14">
        <v>4044.8552933299111</v>
      </c>
      <c r="AI25" s="14">
        <v>48.733196305179654</v>
      </c>
      <c r="AJ25" s="14">
        <v>1.9512151850772765</v>
      </c>
      <c r="AK25" s="14">
        <v>2072.9929349999998</v>
      </c>
      <c r="AL25" s="14">
        <v>-8.0000000000000002E-3</v>
      </c>
      <c r="AM25" s="14">
        <v>0.184</v>
      </c>
      <c r="AN25" s="14">
        <v>0.184</v>
      </c>
      <c r="AO25" s="14">
        <v>0.17599999999999999</v>
      </c>
      <c r="AP25" s="14">
        <v>2.2222222222222245</v>
      </c>
      <c r="AQ25" s="14">
        <v>0.17499999999999999</v>
      </c>
      <c r="AR25" s="14">
        <v>0.17499999999999999</v>
      </c>
      <c r="AS25" s="14">
        <v>0.16800000000000001</v>
      </c>
      <c r="AT25" s="14">
        <v>2.0408163265306061</v>
      </c>
      <c r="AU25" s="14">
        <f t="shared" si="0"/>
        <v>0.35899999999999999</v>
      </c>
      <c r="AV25" s="14">
        <v>0.54400000000000004</v>
      </c>
      <c r="AW25" s="14">
        <v>2917.8181159999999</v>
      </c>
      <c r="AX25" s="14">
        <v>35.154435132530118</v>
      </c>
      <c r="AY25" s="14">
        <v>1475.698441</v>
      </c>
      <c r="AZ25" s="14">
        <v>1525.0026399999999</v>
      </c>
      <c r="BA25" s="14">
        <v>-1.6430893204320447</v>
      </c>
      <c r="BB25" s="14">
        <v>2081.5712862228261</v>
      </c>
      <c r="BC25" s="14">
        <v>25.079172123166579</v>
      </c>
      <c r="BD25" s="14">
        <v>1069.6077249130435</v>
      </c>
      <c r="BE25" s="14">
        <v>1058.0081163863636</v>
      </c>
      <c r="BF25" s="14">
        <v>0.54519280696818284</v>
      </c>
      <c r="BG25" s="14">
        <v>4094.9865159999999</v>
      </c>
      <c r="BH25" s="14">
        <v>49.337186939759036</v>
      </c>
      <c r="BI25" s="14">
        <v>2500.8607029999998</v>
      </c>
      <c r="BJ25" s="14">
        <v>1594.1258130000001</v>
      </c>
      <c r="BK25" s="14">
        <v>22.142561067226715</v>
      </c>
      <c r="BL25" s="14">
        <v>22.469999000000001</v>
      </c>
      <c r="BM25" s="14">
        <v>119.635632</v>
      </c>
      <c r="BN25" s="14">
        <v>135.577427</v>
      </c>
      <c r="BO25" s="14">
        <v>-6.2464652327998627</v>
      </c>
      <c r="BP25" s="14">
        <v>161.654169</v>
      </c>
      <c r="BQ25" s="14">
        <v>85.101073999999997</v>
      </c>
      <c r="BR25" s="14">
        <v>76.553094999999999</v>
      </c>
      <c r="BS25" s="14">
        <v>5.2878184663458931</v>
      </c>
      <c r="BT25" s="14">
        <v>4.324793360000001</v>
      </c>
      <c r="BU25" s="14">
        <v>-88.138981388571437</v>
      </c>
      <c r="BV25" s="14">
        <v>96.317827488095233</v>
      </c>
      <c r="BW25" s="14">
        <v>-2255.2913532314356</v>
      </c>
      <c r="BX25" s="14">
        <v>-58.269594302857151</v>
      </c>
      <c r="BY25" s="14">
        <v>-21.261331222857148</v>
      </c>
      <c r="BZ25" s="14">
        <v>-38.568629773809519</v>
      </c>
      <c r="CA25" s="14">
        <v>-28.92747757585304</v>
      </c>
      <c r="CB25" s="14">
        <v>0.93456051323236633</v>
      </c>
      <c r="CC25" s="14">
        <v>0.86837101382229975</v>
      </c>
      <c r="CD25" s="14">
        <v>0.85890608152820747</v>
      </c>
      <c r="CE25" s="14">
        <v>-1732.8531799452951</v>
      </c>
      <c r="CF25" s="14">
        <v>-2252.3260678605197</v>
      </c>
      <c r="CG25" s="14">
        <v>-13.035119767855843</v>
      </c>
      <c r="CH25" s="14">
        <v>3762.8179458261807</v>
      </c>
      <c r="CI25" s="14">
        <v>3012.3398042915942</v>
      </c>
      <c r="CJ25" s="14">
        <v>9764.1924671975157</v>
      </c>
      <c r="CK25" s="14">
        <v>45.335155973809407</v>
      </c>
      <c r="CL25" s="14">
        <v>36.293250654115596</v>
      </c>
      <c r="CM25" s="14">
        <v>117.64087309876525</v>
      </c>
      <c r="CN25" s="14">
        <v>33.709935777230598</v>
      </c>
      <c r="CO25" s="35"/>
    </row>
    <row r="26" spans="1:93" s="8" customFormat="1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6"/>
      <c r="K26" s="3"/>
      <c r="L26" s="3"/>
      <c r="R26" s="14"/>
      <c r="X26" s="14"/>
      <c r="Z26" s="14"/>
      <c r="AI26" s="14"/>
      <c r="AU26" s="14">
        <f t="shared" si="0"/>
        <v>0</v>
      </c>
      <c r="AX26" s="14"/>
      <c r="BC26" s="14"/>
      <c r="BH26" s="14"/>
      <c r="CO26" s="35"/>
    </row>
    <row r="27" spans="1:93" s="8" customFormat="1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6"/>
      <c r="K27" s="14">
        <v>0.35480950032500003</v>
      </c>
      <c r="L27" s="14">
        <v>0.28099895306899997</v>
      </c>
      <c r="M27" s="14">
        <v>2.3480203276832547</v>
      </c>
      <c r="N27" s="14">
        <v>430232.27905799996</v>
      </c>
      <c r="O27" s="14">
        <v>216713.61059200004</v>
      </c>
      <c r="P27" s="14">
        <v>216713.91716500005</v>
      </c>
      <c r="Q27" s="14">
        <v>1862.4710750129871</v>
      </c>
      <c r="R27" s="14">
        <v>19.813522074606244</v>
      </c>
      <c r="S27" s="14">
        <v>938.15119182251067</v>
      </c>
      <c r="T27" s="14">
        <v>970.55850146363639</v>
      </c>
      <c r="U27" s="14">
        <v>-1.6978647803339537</v>
      </c>
      <c r="V27" s="14">
        <v>1.5868688206441688</v>
      </c>
      <c r="W27" s="14">
        <v>2955.4972782897362</v>
      </c>
      <c r="X27" s="14">
        <v>31.441460407337619</v>
      </c>
      <c r="Y27" s="14">
        <v>2438.4460559999998</v>
      </c>
      <c r="Z27" s="14">
        <v>25.9409154893617</v>
      </c>
      <c r="AA27" s="14">
        <v>1204.597675</v>
      </c>
      <c r="AB27" s="14">
        <v>1235.16481</v>
      </c>
      <c r="AC27" s="14">
        <v>-1.2528733918949493</v>
      </c>
      <c r="AD27" s="14">
        <v>3582.910976486874</v>
      </c>
      <c r="AE27" s="14">
        <v>1.535971862878788</v>
      </c>
      <c r="AF27" s="14">
        <v>1.2164456842813851</v>
      </c>
      <c r="AG27" s="14">
        <v>10.164590163130972</v>
      </c>
      <c r="AH27" s="14">
        <v>4665.8286570375585</v>
      </c>
      <c r="AI27" s="14">
        <v>49.636475074867647</v>
      </c>
      <c r="AJ27" s="14">
        <v>2.178653514769108</v>
      </c>
      <c r="AK27" s="14">
        <v>2141.6111490000003</v>
      </c>
      <c r="AL27" s="14">
        <v>-4.0000000000000001E-3</v>
      </c>
      <c r="AM27" s="14">
        <v>0.22</v>
      </c>
      <c r="AN27" s="14">
        <v>0.22</v>
      </c>
      <c r="AO27" s="14">
        <v>0.216</v>
      </c>
      <c r="AP27" s="14">
        <v>0.91743119266055118</v>
      </c>
      <c r="AQ27" s="14">
        <v>0.23100000000000001</v>
      </c>
      <c r="AR27" s="14">
        <v>0.23100000000000001</v>
      </c>
      <c r="AS27" s="14">
        <v>0.22</v>
      </c>
      <c r="AT27" s="14">
        <v>2.4390243902439046</v>
      </c>
      <c r="AU27" s="14">
        <f t="shared" si="0"/>
        <v>0.45100000000000001</v>
      </c>
      <c r="AV27" s="14">
        <v>0.53800000000000003</v>
      </c>
      <c r="AW27" s="14">
        <v>3161.6158759999998</v>
      </c>
      <c r="AX27" s="14">
        <v>33.634211446808507</v>
      </c>
      <c r="AY27" s="14">
        <v>1517.2301030000001</v>
      </c>
      <c r="AZ27" s="14">
        <v>1644.385773</v>
      </c>
      <c r="BA27" s="14">
        <v>-4.0218570182812394</v>
      </c>
      <c r="BB27" s="14">
        <v>2125.2678931999999</v>
      </c>
      <c r="BC27" s="14">
        <v>22.609232906382978</v>
      </c>
      <c r="BD27" s="14">
        <v>1050.3620065727273</v>
      </c>
      <c r="BE27" s="14">
        <v>1094.7896769722222</v>
      </c>
      <c r="BF27" s="14">
        <v>-2.0710736093997975</v>
      </c>
      <c r="BG27" s="14">
        <v>4025.1781229999997</v>
      </c>
      <c r="BH27" s="14">
        <v>42.821043861702123</v>
      </c>
      <c r="BI27" s="14">
        <v>2193.3679849999999</v>
      </c>
      <c r="BJ27" s="14">
        <v>1835.993958</v>
      </c>
      <c r="BK27" s="14">
        <v>8.8692461003868637</v>
      </c>
      <c r="BL27" s="14">
        <v>51.287868000000003</v>
      </c>
      <c r="BM27" s="14">
        <v>125.76709</v>
      </c>
      <c r="BN27" s="14">
        <v>168.23647700000001</v>
      </c>
      <c r="BO27" s="14">
        <v>-14.445194469358263</v>
      </c>
      <c r="BP27" s="14">
        <v>230.54293899999999</v>
      </c>
      <c r="BQ27" s="14">
        <v>103.58562499999999</v>
      </c>
      <c r="BR27" s="14">
        <v>126.993382</v>
      </c>
      <c r="BS27" s="14">
        <v>-10.151729467722101</v>
      </c>
      <c r="BT27" s="14">
        <v>32.68660560606061</v>
      </c>
      <c r="BU27" s="14">
        <v>-101.85532762770562</v>
      </c>
      <c r="BV27" s="14">
        <v>141.27271859999999</v>
      </c>
      <c r="BW27" s="14">
        <v>-616.8040051118428</v>
      </c>
      <c r="BX27" s="14">
        <v>-97.950912142857149</v>
      </c>
      <c r="BY27" s="14">
        <v>-43.394959865800871</v>
      </c>
      <c r="BZ27" s="14">
        <v>-57.27981525909091</v>
      </c>
      <c r="CA27" s="14">
        <v>-13.79179181286</v>
      </c>
      <c r="CB27" s="14">
        <v>0.89639627832249813</v>
      </c>
      <c r="CC27" s="14">
        <v>0.84005533482926142</v>
      </c>
      <c r="CD27" s="14">
        <v>0.80708906991102447</v>
      </c>
      <c r="CE27" s="14">
        <v>1625.2121465619437</v>
      </c>
      <c r="CF27" s="14">
        <v>1957.698829924929</v>
      </c>
      <c r="CG27" s="14">
        <v>-9.2797919218466394</v>
      </c>
      <c r="CH27" s="14">
        <v>6831.3120779287883</v>
      </c>
      <c r="CI27" s="14">
        <v>5032.0859828257635</v>
      </c>
      <c r="CJ27" s="14">
        <v>11537.048189548135</v>
      </c>
      <c r="CK27" s="14">
        <v>72.673532743923275</v>
      </c>
      <c r="CL27" s="14">
        <v>53.532829604529397</v>
      </c>
      <c r="CM27" s="14">
        <v>122.73455520795889</v>
      </c>
      <c r="CN27" s="14">
        <v>33.454258913267168</v>
      </c>
      <c r="CO27" s="35"/>
    </row>
    <row r="28" spans="1:93" s="8" customFormat="1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6"/>
      <c r="K28" s="14">
        <v>0.33530039598125</v>
      </c>
      <c r="L28" s="14">
        <v>0.2764462586685355</v>
      </c>
      <c r="M28" s="14">
        <v>2.3289215519370048</v>
      </c>
      <c r="N28" s="14">
        <v>435857.98416200001</v>
      </c>
      <c r="O28" s="14">
        <v>206934.84919799992</v>
      </c>
      <c r="P28" s="14">
        <v>206934.70492799993</v>
      </c>
      <c r="Q28" s="14">
        <v>1567.8398595683454</v>
      </c>
      <c r="R28" s="14">
        <v>18.021147811130408</v>
      </c>
      <c r="S28" s="14">
        <v>755.2404274416059</v>
      </c>
      <c r="T28" s="14">
        <v>823.48086136330937</v>
      </c>
      <c r="U28" s="14">
        <v>-4.322513062033968</v>
      </c>
      <c r="V28" s="14">
        <v>1.5092629060452825</v>
      </c>
      <c r="W28" s="14">
        <v>2366.2825426657487</v>
      </c>
      <c r="X28" s="14">
        <v>27.198649915698262</v>
      </c>
      <c r="Y28" s="14">
        <v>2228.4795679999997</v>
      </c>
      <c r="Z28" s="14">
        <v>25.614707678160915</v>
      </c>
      <c r="AA28" s="14">
        <v>1066.170944</v>
      </c>
      <c r="AB28" s="14">
        <v>1168.9991460000001</v>
      </c>
      <c r="AC28" s="14">
        <v>-4.6004642984463047</v>
      </c>
      <c r="AD28" s="14">
        <v>-5632.4162782638241</v>
      </c>
      <c r="AE28" s="14">
        <v>1.2061165323066545</v>
      </c>
      <c r="AF28" s="14">
        <v>0.99441100240480385</v>
      </c>
      <c r="AG28" s="14">
        <v>8.3774156544496563</v>
      </c>
      <c r="AH28" s="14">
        <v>3861.0292244017032</v>
      </c>
      <c r="AI28" s="14">
        <v>44.37964625749084</v>
      </c>
      <c r="AJ28" s="14">
        <v>2.2721073171975572</v>
      </c>
      <c r="AK28" s="14">
        <v>1699.3163989999998</v>
      </c>
      <c r="AL28" s="14">
        <v>4.0000000000000001E-3</v>
      </c>
      <c r="AM28" s="14">
        <v>0.247</v>
      </c>
      <c r="AN28" s="14">
        <v>0.24299999999999999</v>
      </c>
      <c r="AO28" s="14">
        <v>0.247</v>
      </c>
      <c r="AP28" s="14">
        <v>-0.81632653061224569</v>
      </c>
      <c r="AQ28" s="14">
        <v>0.27800000000000002</v>
      </c>
      <c r="AR28" s="14">
        <v>0.27400000000000002</v>
      </c>
      <c r="AS28" s="14">
        <v>0.27800000000000002</v>
      </c>
      <c r="AT28" s="14">
        <v>-0.72463768115942095</v>
      </c>
      <c r="AU28" s="14">
        <f t="shared" si="0"/>
        <v>0.52500000000000002</v>
      </c>
      <c r="AV28" s="14">
        <v>0.52300000000000002</v>
      </c>
      <c r="AW28" s="14">
        <v>2423.7846599999998</v>
      </c>
      <c r="AX28" s="14">
        <v>27.859593793103446</v>
      </c>
      <c r="AY28" s="14">
        <v>1025.9738010000001</v>
      </c>
      <c r="AZ28" s="14">
        <v>1482.479126</v>
      </c>
      <c r="BA28" s="14">
        <v>-18.19868015406453</v>
      </c>
      <c r="BB28" s="14">
        <v>1850.4598743441295</v>
      </c>
      <c r="BC28" s="14">
        <v>21.269653728093441</v>
      </c>
      <c r="BD28" s="14">
        <v>831.60565820987642</v>
      </c>
      <c r="BE28" s="14">
        <v>1032.3836465789475</v>
      </c>
      <c r="BF28" s="14">
        <v>-10.771413111290233</v>
      </c>
      <c r="BG28" s="14">
        <v>3790.5414889999997</v>
      </c>
      <c r="BH28" s="14">
        <v>43.569442402298847</v>
      </c>
      <c r="BI28" s="14">
        <v>2321.5876010000002</v>
      </c>
      <c r="BJ28" s="14">
        <v>1727.8638149999999</v>
      </c>
      <c r="BK28" s="14">
        <v>14.661832554753145</v>
      </c>
      <c r="BL28" s="14">
        <v>30.044160000000005</v>
      </c>
      <c r="BM28" s="14">
        <v>87.229052999999993</v>
      </c>
      <c r="BN28" s="14">
        <v>96.804955000000007</v>
      </c>
      <c r="BO28" s="14">
        <v>-5.2033328535669412</v>
      </c>
      <c r="BP28" s="14">
        <v>157.79495800000001</v>
      </c>
      <c r="BQ28" s="14">
        <v>118.40933200000001</v>
      </c>
      <c r="BR28" s="14">
        <v>84.722363999999999</v>
      </c>
      <c r="BS28" s="14">
        <v>16.583806793007827</v>
      </c>
      <c r="BT28" s="14">
        <v>3.8248977410071943</v>
      </c>
      <c r="BU28" s="14">
        <v>-53.723934080291976</v>
      </c>
      <c r="BV28" s="14">
        <v>56.777901399280587</v>
      </c>
      <c r="BW28" s="14">
        <v>-3618.3044524578499</v>
      </c>
      <c r="BX28" s="14">
        <v>-28.550929651079137</v>
      </c>
      <c r="BY28" s="14">
        <v>-21.703634905109496</v>
      </c>
      <c r="BZ28" s="14">
        <v>-7.160680043165466</v>
      </c>
      <c r="CA28" s="14">
        <v>50.38385594116852</v>
      </c>
      <c r="CB28" s="14">
        <v>0.92226227480326661</v>
      </c>
      <c r="CC28" s="14">
        <v>0.8383103659400819</v>
      </c>
      <c r="CD28" s="14">
        <v>0.86558773655723953</v>
      </c>
      <c r="CE28" s="14">
        <v>-332.29085051265804</v>
      </c>
      <c r="CF28" s="14">
        <v>-5300.1254277511707</v>
      </c>
      <c r="CG28" s="14">
        <v>-88.200770891348768</v>
      </c>
      <c r="CH28" s="14">
        <v>1533.9235558460114</v>
      </c>
      <c r="CI28" s="14">
        <v>6932.1806940831775</v>
      </c>
      <c r="CJ28" s="14">
        <v>10917.610099154428</v>
      </c>
      <c r="CK28" s="14">
        <v>17.631305239609325</v>
      </c>
      <c r="CL28" s="14">
        <v>79.680237863025027</v>
      </c>
      <c r="CM28" s="14">
        <v>125.4897712546486</v>
      </c>
      <c r="CN28" s="14">
        <v>32.111633877573922</v>
      </c>
      <c r="CO28" s="35"/>
    </row>
    <row r="29" spans="1:93" s="8" customFormat="1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6"/>
      <c r="K29" s="14">
        <v>0.38167972132500005</v>
      </c>
      <c r="L29" s="14">
        <v>0.26868641424666984</v>
      </c>
      <c r="M29" s="14">
        <v>2.2960024929254024</v>
      </c>
      <c r="N29" s="14">
        <v>345145.84726100002</v>
      </c>
      <c r="O29" s="14">
        <v>154637.29076200002</v>
      </c>
      <c r="P29" s="14">
        <v>154634.11682900001</v>
      </c>
      <c r="Q29" s="14">
        <v>1408.7803479142858</v>
      </c>
      <c r="R29" s="14">
        <v>19.037572269111969</v>
      </c>
      <c r="S29" s="14">
        <v>639.01487941322307</v>
      </c>
      <c r="T29" s="14">
        <v>777.62694397959194</v>
      </c>
      <c r="U29" s="14">
        <v>-9.7845526143225889</v>
      </c>
      <c r="V29" s="14">
        <v>1.4327069675709163</v>
      </c>
      <c r="W29" s="14">
        <v>2018.369420233777</v>
      </c>
      <c r="X29" s="14">
        <v>27.275262435591582</v>
      </c>
      <c r="Y29" s="14">
        <v>1725.3210300000001</v>
      </c>
      <c r="Z29" s="14">
        <v>23.315149054054054</v>
      </c>
      <c r="AA29" s="14">
        <v>764.82765199999994</v>
      </c>
      <c r="AB29" s="14">
        <v>977.03028900000004</v>
      </c>
      <c r="AC29" s="14">
        <v>-12.182545545486599</v>
      </c>
      <c r="AD29" s="14">
        <v>-2774.607002118953</v>
      </c>
      <c r="AE29" s="14">
        <v>1.5578764135714289</v>
      </c>
      <c r="AF29" s="14">
        <v>1.0966792418231421</v>
      </c>
      <c r="AG29" s="14">
        <v>9.3714387466342952</v>
      </c>
      <c r="AH29" s="14">
        <v>3419.2035679964333</v>
      </c>
      <c r="AI29" s="14">
        <v>46.205453621573426</v>
      </c>
      <c r="AJ29" s="14">
        <v>2.1707599127696433</v>
      </c>
      <c r="AK29" s="14">
        <v>1575.1182560000002</v>
      </c>
      <c r="AL29" s="14">
        <v>1.4E-2</v>
      </c>
      <c r="AM29" s="14">
        <v>0.25600000000000001</v>
      </c>
      <c r="AN29" s="14">
        <v>0.24199999999999999</v>
      </c>
      <c r="AO29" s="14">
        <v>0.25600000000000001</v>
      </c>
      <c r="AP29" s="14">
        <v>-2.8112449799196813</v>
      </c>
      <c r="AQ29" s="14">
        <v>0.245</v>
      </c>
      <c r="AR29" s="14">
        <v>0.24199999999999999</v>
      </c>
      <c r="AS29" s="14">
        <v>0.245</v>
      </c>
      <c r="AT29" s="14">
        <v>-0.61601642710472337</v>
      </c>
      <c r="AU29" s="14">
        <f t="shared" si="0"/>
        <v>0.501</v>
      </c>
      <c r="AV29" s="14">
        <v>0.55800000000000005</v>
      </c>
      <c r="AW29" s="14">
        <v>2236.7751389999999</v>
      </c>
      <c r="AX29" s="14">
        <v>30.226691067567565</v>
      </c>
      <c r="AY29" s="14">
        <v>980.34852599999999</v>
      </c>
      <c r="AZ29" s="14">
        <v>1286.452728</v>
      </c>
      <c r="BA29" s="14">
        <v>-13.503795335380559</v>
      </c>
      <c r="BB29" s="14">
        <v>1539.0885456679687</v>
      </c>
      <c r="BC29" s="14">
        <v>20.798493860377956</v>
      </c>
      <c r="BD29" s="14">
        <v>664.84719828512391</v>
      </c>
      <c r="BE29" s="14">
        <v>910.72613271874991</v>
      </c>
      <c r="BF29" s="14">
        <v>-15.605680141651334</v>
      </c>
      <c r="BG29" s="14">
        <v>3287.0943859999998</v>
      </c>
      <c r="BH29" s="14">
        <v>44.420194405405404</v>
      </c>
      <c r="BI29" s="14">
        <v>1476.059074</v>
      </c>
      <c r="BJ29" s="14">
        <v>1876.8943850000001</v>
      </c>
      <c r="BK29" s="14">
        <v>-11.954693553054772</v>
      </c>
      <c r="BL29" s="14">
        <v>35.436236999999991</v>
      </c>
      <c r="BM29" s="14">
        <v>102.160963</v>
      </c>
      <c r="BN29" s="14">
        <v>126.12776599999999</v>
      </c>
      <c r="BO29" s="14">
        <v>-10.498460920512636</v>
      </c>
      <c r="BP29" s="14">
        <v>114.11731399999999</v>
      </c>
      <c r="BQ29" s="14">
        <v>51.450172000000002</v>
      </c>
      <c r="BR29" s="14">
        <v>66.418152000000006</v>
      </c>
      <c r="BS29" s="14">
        <v>-12.6988994939811</v>
      </c>
      <c r="BT29" s="14">
        <v>15.853765240816326</v>
      </c>
      <c r="BU29" s="14">
        <v>-84.106388954545451</v>
      </c>
      <c r="BV29" s="14">
        <v>98.921005567346938</v>
      </c>
      <c r="BW29" s="14">
        <v>-1235.4514416777836</v>
      </c>
      <c r="BX29" s="14">
        <v>-18.891746040816322</v>
      </c>
      <c r="BY29" s="14">
        <v>-5.4011704421487625</v>
      </c>
      <c r="BZ29" s="14">
        <v>-13.596754575510209</v>
      </c>
      <c r="CA29" s="14">
        <v>-43.139364566095921</v>
      </c>
      <c r="CB29" s="14">
        <v>0.92023277049271601</v>
      </c>
      <c r="CC29" s="14">
        <v>0.83274755250509691</v>
      </c>
      <c r="CD29" s="14">
        <v>0.83537120809435206</v>
      </c>
      <c r="CE29" s="14">
        <v>-1080.385962159954</v>
      </c>
      <c r="CF29" s="14">
        <v>-1694.2210399590003</v>
      </c>
      <c r="CG29" s="14">
        <v>-22.123316106759024</v>
      </c>
      <c r="CH29" s="14">
        <v>2722.0360954157527</v>
      </c>
      <c r="CI29" s="14">
        <v>3534.5017023594969</v>
      </c>
      <c r="CJ29" s="14">
        <v>6886.6301962688785</v>
      </c>
      <c r="CK29" s="14">
        <v>36.784271559672334</v>
      </c>
      <c r="CL29" s="14">
        <v>47.763536518371581</v>
      </c>
      <c r="CM29" s="14">
        <v>93.062570219849704</v>
      </c>
      <c r="CN29" s="14">
        <v>40.323140814379379</v>
      </c>
      <c r="CO29" s="35"/>
    </row>
    <row r="30" spans="1:93" s="8" customFormat="1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6"/>
      <c r="K30" s="14">
        <v>0.39270239592499989</v>
      </c>
      <c r="L30" s="14">
        <v>0.13880673171415417</v>
      </c>
      <c r="M30" s="14">
        <v>1.6502690920670195</v>
      </c>
      <c r="N30" s="14">
        <v>405923.07287000009</v>
      </c>
      <c r="O30" s="14">
        <v>211605.34571999995</v>
      </c>
      <c r="P30" s="14">
        <v>211602.35212399997</v>
      </c>
      <c r="Q30" s="14">
        <v>1503.4406960259259</v>
      </c>
      <c r="R30" s="14">
        <v>15.825691537115009</v>
      </c>
      <c r="S30" s="14">
        <v>783.74748082222231</v>
      </c>
      <c r="T30" s="14">
        <v>722.37978327509279</v>
      </c>
      <c r="U30" s="14">
        <v>4.0745359977206004</v>
      </c>
      <c r="V30" s="14">
        <v>1.0557413552188317</v>
      </c>
      <c r="W30" s="14">
        <v>1587.2445179135548</v>
      </c>
      <c r="X30" s="14">
        <v>16.707837030668998</v>
      </c>
      <c r="Y30" s="14">
        <v>1813.4337310000001</v>
      </c>
      <c r="Z30" s="14">
        <v>19.088776115789475</v>
      </c>
      <c r="AA30" s="14">
        <v>988.75224300000002</v>
      </c>
      <c r="AB30" s="14">
        <v>897.84429899999998</v>
      </c>
      <c r="AC30" s="14">
        <v>4.8186213626591101</v>
      </c>
      <c r="AD30" s="14">
        <v>-2360.3245856186022</v>
      </c>
      <c r="AE30" s="14">
        <v>1.4544533182407402</v>
      </c>
      <c r="AF30" s="14">
        <v>0.51409900634871908</v>
      </c>
      <c r="AG30" s="14">
        <v>6.1121077483963679</v>
      </c>
      <c r="AH30" s="14">
        <v>2768.5689996810311</v>
      </c>
      <c r="AI30" s="14">
        <v>29.142831575589799</v>
      </c>
      <c r="AJ30" s="14">
        <v>1.6151867250771641</v>
      </c>
      <c r="AK30" s="14">
        <v>1714.0860290000001</v>
      </c>
      <c r="AL30" s="14">
        <v>2.3E-2</v>
      </c>
      <c r="AM30" s="14">
        <v>0.33300000000000002</v>
      </c>
      <c r="AN30" s="14">
        <v>0.31</v>
      </c>
      <c r="AO30" s="14">
        <v>0.33300000000000002</v>
      </c>
      <c r="AP30" s="14">
        <v>-3.5769828926905158</v>
      </c>
      <c r="AQ30" s="14">
        <v>0.27</v>
      </c>
      <c r="AR30" s="14">
        <v>0.27</v>
      </c>
      <c r="AS30" s="14">
        <v>0.26900000000000002</v>
      </c>
      <c r="AT30" s="14">
        <v>0.18552875695732854</v>
      </c>
      <c r="AU30" s="14">
        <f t="shared" si="0"/>
        <v>0.60299999999999998</v>
      </c>
      <c r="AV30" s="14">
        <v>0.56599999999999995</v>
      </c>
      <c r="AW30" s="14">
        <v>2898.2694970000002</v>
      </c>
      <c r="AX30" s="14">
        <v>30.508099968421057</v>
      </c>
      <c r="AY30" s="14">
        <v>1840.6105500000001</v>
      </c>
      <c r="AZ30" s="14">
        <v>2602.4084630000002</v>
      </c>
      <c r="BA30" s="14">
        <v>-17.145952127844293</v>
      </c>
      <c r="BB30" s="14">
        <v>1731.0129790630629</v>
      </c>
      <c r="BC30" s="14">
        <v>18.2211892532954</v>
      </c>
      <c r="BD30" s="14">
        <v>893.53475575161281</v>
      </c>
      <c r="BE30" s="14">
        <v>899.27859008408416</v>
      </c>
      <c r="BF30" s="14">
        <v>-0.3203810561658853</v>
      </c>
      <c r="BG30" s="14">
        <v>5276.3027039999997</v>
      </c>
      <c r="BH30" s="14">
        <v>55.540028463157888</v>
      </c>
      <c r="BI30" s="14">
        <v>2451.2679670000002</v>
      </c>
      <c r="BJ30" s="14">
        <v>2881.119553</v>
      </c>
      <c r="BK30" s="14">
        <v>-8.0611468012737326</v>
      </c>
      <c r="BL30" s="14">
        <v>28.709663000000006</v>
      </c>
      <c r="BM30" s="14">
        <v>149.22894700000001</v>
      </c>
      <c r="BN30" s="14">
        <v>167.226585</v>
      </c>
      <c r="BO30" s="14">
        <v>-5.6872565590036821</v>
      </c>
      <c r="BP30" s="14">
        <v>206.64827299999999</v>
      </c>
      <c r="BQ30" s="14">
        <v>99.528041999999999</v>
      </c>
      <c r="BR30" s="14">
        <v>108.941639</v>
      </c>
      <c r="BS30" s="14">
        <v>-4.5155712594964816</v>
      </c>
      <c r="BT30" s="14">
        <v>-3.1253754148148154</v>
      </c>
      <c r="BU30" s="14">
        <v>-127.05569794814814</v>
      </c>
      <c r="BV30" s="14">
        <v>124.39223676951673</v>
      </c>
      <c r="BW30" s="14">
        <v>9440.6457557931735</v>
      </c>
      <c r="BX30" s="14">
        <v>-95.173903033333332</v>
      </c>
      <c r="BY30" s="14">
        <v>-43.587074811111108</v>
      </c>
      <c r="BZ30" s="14">
        <v>-51.777662260223046</v>
      </c>
      <c r="CA30" s="14">
        <v>-8.5886960952718443</v>
      </c>
      <c r="CB30" s="14">
        <v>0.8851235390152532</v>
      </c>
      <c r="CC30" s="14">
        <v>0.79898575092003843</v>
      </c>
      <c r="CD30" s="14">
        <v>0.76476552115960694</v>
      </c>
      <c r="CE30" s="14">
        <v>-1611.3828168011023</v>
      </c>
      <c r="CF30" s="14">
        <v>-748.94176881750263</v>
      </c>
      <c r="CG30" s="14">
        <v>36.539086752662328</v>
      </c>
      <c r="CH30" s="14">
        <v>2553.2096782796034</v>
      </c>
      <c r="CI30" s="14">
        <v>7024.5464512448016</v>
      </c>
      <c r="CJ30" s="14">
        <v>15372.79727617979</v>
      </c>
      <c r="CK30" s="14">
        <v>26.875891350311615</v>
      </c>
      <c r="CL30" s="14">
        <v>73.942594223629484</v>
      </c>
      <c r="CM30" s="14">
        <v>161.81891869662937</v>
      </c>
      <c r="CN30" s="14">
        <v>57.728635543791185</v>
      </c>
      <c r="CO30" s="35"/>
    </row>
    <row r="31" spans="1:93" s="8" customFormat="1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6"/>
      <c r="K31" s="14">
        <v>0.33530039598125</v>
      </c>
      <c r="L31" s="14">
        <v>0.32865236775390955</v>
      </c>
      <c r="M31" s="14">
        <v>2.5393226371085076</v>
      </c>
      <c r="N31" s="14">
        <v>473486.68900899979</v>
      </c>
      <c r="O31" s="14">
        <v>239306.259284</v>
      </c>
      <c r="P31" s="14">
        <v>239304.38377799999</v>
      </c>
      <c r="Q31" s="14">
        <v>1909.229755201613</v>
      </c>
      <c r="R31" s="14">
        <v>19.887809950016802</v>
      </c>
      <c r="S31" s="14">
        <v>964.95630125403216</v>
      </c>
      <c r="T31" s="14">
        <v>951.97290607317086</v>
      </c>
      <c r="U31" s="14">
        <v>0.67730175591430397</v>
      </c>
      <c r="V31" s="14">
        <v>1.5960956994573823</v>
      </c>
      <c r="W31" s="14">
        <v>3047.3134015533651</v>
      </c>
      <c r="X31" s="14">
        <v>31.742847932847553</v>
      </c>
      <c r="Y31" s="14">
        <v>2392.2076269999998</v>
      </c>
      <c r="Z31" s="14">
        <v>24.918829447916664</v>
      </c>
      <c r="AA31" s="14">
        <v>1316.226334</v>
      </c>
      <c r="AB31" s="14">
        <v>1210.206146</v>
      </c>
      <c r="AC31" s="14">
        <v>4.1964386081673544</v>
      </c>
      <c r="AD31" s="14">
        <v>-1685.3431866575513</v>
      </c>
      <c r="AE31" s="14">
        <v>1.3520177257308468</v>
      </c>
      <c r="AF31" s="14">
        <v>1.3252111602980223</v>
      </c>
      <c r="AG31" s="14">
        <v>10.239204181889143</v>
      </c>
      <c r="AH31" s="14">
        <v>5317.3904012659395</v>
      </c>
      <c r="AI31" s="14">
        <v>55.389483346520201</v>
      </c>
      <c r="AJ31" s="14">
        <v>2.3835993129965862</v>
      </c>
      <c r="AK31" s="14">
        <v>2230.8239359999998</v>
      </c>
      <c r="AL31" s="14">
        <v>0</v>
      </c>
      <c r="AM31" s="14">
        <v>0.20499999999999999</v>
      </c>
      <c r="AN31" s="14">
        <v>0.20499999999999999</v>
      </c>
      <c r="AO31" s="14">
        <v>0.20499999999999999</v>
      </c>
      <c r="AP31" s="14">
        <v>0</v>
      </c>
      <c r="AQ31" s="14">
        <v>0.248</v>
      </c>
      <c r="AR31" s="14">
        <v>0.248</v>
      </c>
      <c r="AS31" s="14">
        <v>0.246</v>
      </c>
      <c r="AT31" s="14">
        <v>0.40485829959514208</v>
      </c>
      <c r="AU31" s="14">
        <f t="shared" si="0"/>
        <v>0.45299999999999996</v>
      </c>
      <c r="AV31" s="14">
        <v>0.52300000000000002</v>
      </c>
      <c r="AW31" s="14">
        <v>5380.3932189999996</v>
      </c>
      <c r="AX31" s="14">
        <v>56.045762697916665</v>
      </c>
      <c r="AY31" s="14">
        <v>2919.6575010000001</v>
      </c>
      <c r="AZ31" s="14">
        <v>2591.1555790000002</v>
      </c>
      <c r="BA31" s="14">
        <v>5.9610427214853008</v>
      </c>
      <c r="BB31" s="14">
        <v>2269.5722313317074</v>
      </c>
      <c r="BC31" s="14">
        <v>23.641377409705285</v>
      </c>
      <c r="BD31" s="14">
        <v>1177.8850105658537</v>
      </c>
      <c r="BE31" s="14">
        <v>1091.6872207658537</v>
      </c>
      <c r="BF31" s="14">
        <v>3.7979751695068149</v>
      </c>
      <c r="BG31" s="14">
        <v>4656.3218379999998</v>
      </c>
      <c r="BH31" s="14">
        <v>48.503352479166665</v>
      </c>
      <c r="BI31" s="14">
        <v>2435.831177</v>
      </c>
      <c r="BJ31" s="14">
        <v>2257.4056399999999</v>
      </c>
      <c r="BK31" s="14">
        <v>3.8017586573449926</v>
      </c>
      <c r="BL31" s="14">
        <v>82.468146999999988</v>
      </c>
      <c r="BM31" s="14">
        <v>252.832596</v>
      </c>
      <c r="BN31" s="14">
        <v>216.36844600000001</v>
      </c>
      <c r="BO31" s="14">
        <v>7.7715407119662769</v>
      </c>
      <c r="BP31" s="14">
        <v>244.03215399999999</v>
      </c>
      <c r="BQ31" s="14">
        <v>128.32787300000001</v>
      </c>
      <c r="BR31" s="14">
        <v>116.191193</v>
      </c>
      <c r="BS31" s="14">
        <v>4.9634902498768803</v>
      </c>
      <c r="BT31" s="14">
        <v>-5.5522736774193548</v>
      </c>
      <c r="BU31" s="14">
        <v>-170.67320700000002</v>
      </c>
      <c r="BV31" s="14">
        <v>166.46785170731712</v>
      </c>
      <c r="BW31" s="14">
        <v>8016.945899765602</v>
      </c>
      <c r="BX31" s="14">
        <v>-88.578962870967715</v>
      </c>
      <c r="BY31" s="14">
        <v>-52.660758443548382</v>
      </c>
      <c r="BZ31" s="14">
        <v>-36.212861430894307</v>
      </c>
      <c r="CA31" s="14">
        <v>18.507063216161384</v>
      </c>
      <c r="CB31" s="14">
        <v>0.87990607683989508</v>
      </c>
      <c r="CC31" s="14">
        <v>0.77544277572658848</v>
      </c>
      <c r="CD31" s="14">
        <v>0.78443932174707898</v>
      </c>
      <c r="CE31" s="14">
        <v>-3635.9148426383545</v>
      </c>
      <c r="CF31" s="14">
        <v>1950.5716559808091</v>
      </c>
      <c r="CG31" s="14">
        <v>331.47471344982</v>
      </c>
      <c r="CH31" s="14">
        <v>5874.69051010973</v>
      </c>
      <c r="CI31" s="14">
        <v>6444.6556735116073</v>
      </c>
      <c r="CJ31" s="14">
        <v>19241.217076346347</v>
      </c>
      <c r="CK31" s="14">
        <v>61.194692813643023</v>
      </c>
      <c r="CL31" s="14">
        <v>67.131829932412572</v>
      </c>
      <c r="CM31" s="14">
        <v>200.42934454527446</v>
      </c>
      <c r="CN31" s="14">
        <v>67.422373669451304</v>
      </c>
      <c r="CO31" s="35"/>
    </row>
    <row r="32" spans="1:93" s="8" customFormat="1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6"/>
      <c r="K32" s="14">
        <v>0.29793705948124999</v>
      </c>
      <c r="L32" s="14">
        <v>0.39290047297870256</v>
      </c>
      <c r="M32" s="14">
        <v>2.7764558847282528</v>
      </c>
      <c r="N32" s="14">
        <v>420321.27630500018</v>
      </c>
      <c r="O32" s="14">
        <v>205127.61929100007</v>
      </c>
      <c r="P32" s="14">
        <v>205125.83395400006</v>
      </c>
      <c r="Q32" s="14">
        <v>1556.7608298444447</v>
      </c>
      <c r="R32" s="14">
        <v>19.958472177492883</v>
      </c>
      <c r="S32" s="14">
        <v>762.56934534572486</v>
      </c>
      <c r="T32" s="14">
        <v>797.02890654444457</v>
      </c>
      <c r="U32" s="14">
        <v>-2.2095152490044234</v>
      </c>
      <c r="V32" s="14">
        <v>1.828102580504791</v>
      </c>
      <c r="W32" s="14">
        <v>2845.9184902674092</v>
      </c>
      <c r="X32" s="14">
        <v>36.48613449060781</v>
      </c>
      <c r="Y32" s="14">
        <v>1956.2967920000001</v>
      </c>
      <c r="Z32" s="14">
        <v>25.080728102564105</v>
      </c>
      <c r="AA32" s="14">
        <v>946.66152999999997</v>
      </c>
      <c r="AB32" s="14">
        <v>1009.869675</v>
      </c>
      <c r="AC32" s="14">
        <v>-3.2306228921097149</v>
      </c>
      <c r="AD32" s="14">
        <v>-625.76370654818822</v>
      </c>
      <c r="AE32" s="14">
        <v>1.1034705906712963</v>
      </c>
      <c r="AF32" s="14">
        <v>1.4551869369581576</v>
      </c>
      <c r="AG32" s="14">
        <v>10.283169943437972</v>
      </c>
      <c r="AH32" s="14">
        <v>4503.559022683844</v>
      </c>
      <c r="AI32" s="14">
        <v>57.737936188254409</v>
      </c>
      <c r="AJ32" s="14">
        <v>2.6425899961213464</v>
      </c>
      <c r="AK32" s="14">
        <v>1704.2216269999999</v>
      </c>
      <c r="AL32" s="14">
        <v>-1.2E-2</v>
      </c>
      <c r="AM32" s="14">
        <v>0.218</v>
      </c>
      <c r="AN32" s="14">
        <v>0.218</v>
      </c>
      <c r="AO32" s="14">
        <v>0.20599999999999999</v>
      </c>
      <c r="AP32" s="14">
        <v>2.8301886792452855</v>
      </c>
      <c r="AQ32" s="14">
        <v>0.27</v>
      </c>
      <c r="AR32" s="14">
        <v>0.26900000000000002</v>
      </c>
      <c r="AS32" s="14">
        <v>0.27</v>
      </c>
      <c r="AT32" s="14">
        <v>-0.18552875695732854</v>
      </c>
      <c r="AU32" s="14">
        <f t="shared" si="0"/>
        <v>0.48799999999999999</v>
      </c>
      <c r="AV32" s="14">
        <v>0.49299999999999999</v>
      </c>
      <c r="AW32" s="14">
        <v>2295.7633510000001</v>
      </c>
      <c r="AX32" s="14">
        <v>29.432863474358975</v>
      </c>
      <c r="AY32" s="14">
        <v>1323.2955629999999</v>
      </c>
      <c r="AZ32" s="14">
        <v>1132.192337</v>
      </c>
      <c r="BA32" s="14">
        <v>7.7826987459396531</v>
      </c>
      <c r="BB32" s="14">
        <v>1773.0239281834863</v>
      </c>
      <c r="BC32" s="14">
        <v>22.731076002352388</v>
      </c>
      <c r="BD32" s="14">
        <v>920.10367712385312</v>
      </c>
      <c r="BE32" s="14">
        <v>902.70621229611641</v>
      </c>
      <c r="BF32" s="14">
        <v>0.95443111915926149</v>
      </c>
      <c r="BG32" s="14">
        <v>3384.9272430000001</v>
      </c>
      <c r="BH32" s="14">
        <v>43.396503115384618</v>
      </c>
      <c r="BI32" s="14">
        <v>1502.045685</v>
      </c>
      <c r="BJ32" s="14">
        <v>1910.0042269999999</v>
      </c>
      <c r="BK32" s="14">
        <v>-11.95640604685269</v>
      </c>
      <c r="BL32" s="14">
        <v>25.499667999999986</v>
      </c>
      <c r="BM32" s="14">
        <v>192.63608600000001</v>
      </c>
      <c r="BN32" s="14">
        <v>177.46973800000001</v>
      </c>
      <c r="BO32" s="14">
        <v>4.0978409461613872</v>
      </c>
      <c r="BP32" s="14">
        <v>119.815966</v>
      </c>
      <c r="BQ32" s="14">
        <v>56.030732999999998</v>
      </c>
      <c r="BR32" s="14">
        <v>63.983598999999998</v>
      </c>
      <c r="BS32" s="14">
        <v>-6.6265968967772952</v>
      </c>
      <c r="BT32" s="14">
        <v>-10.845339870370369</v>
      </c>
      <c r="BU32" s="14">
        <v>-148.95991491078064</v>
      </c>
      <c r="BV32" s="14">
        <v>137.55846341111109</v>
      </c>
      <c r="BW32" s="14">
        <v>2512.9991416460966</v>
      </c>
      <c r="BX32" s="14">
        <v>-47.835148677777774</v>
      </c>
      <c r="BY32" s="14">
        <v>-12.143792598513011</v>
      </c>
      <c r="BZ32" s="14">
        <v>-35.761847448148146</v>
      </c>
      <c r="CA32" s="14">
        <v>-49.301198828844846</v>
      </c>
      <c r="CB32" s="14">
        <v>0.93085516996272266</v>
      </c>
      <c r="CC32" s="14">
        <v>0.7919677725304245</v>
      </c>
      <c r="CD32" s="14">
        <v>0.80704155946586231</v>
      </c>
      <c r="CE32" s="14">
        <v>-118.89053736158468</v>
      </c>
      <c r="CF32" s="14">
        <v>-506.87316918660389</v>
      </c>
      <c r="CG32" s="14">
        <v>-62.00145961886998</v>
      </c>
      <c r="CH32" s="14">
        <v>3419.9706964079219</v>
      </c>
      <c r="CI32" s="14">
        <v>2947.9792085607683</v>
      </c>
      <c r="CJ32" s="14">
        <v>7238.4517702844842</v>
      </c>
      <c r="CK32" s="14">
        <v>43.84577815907592</v>
      </c>
      <c r="CL32" s="14">
        <v>37.794605237958571</v>
      </c>
      <c r="CM32" s="14">
        <v>92.800663721595953</v>
      </c>
      <c r="CN32" s="14">
        <v>52</v>
      </c>
      <c r="CO32" s="35"/>
    </row>
    <row r="33" spans="1:93" s="8" customFormat="1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6"/>
      <c r="K33" s="14">
        <v>0.41664655773124992</v>
      </c>
      <c r="L33" s="14">
        <v>0.41584288990982909</v>
      </c>
      <c r="M33" s="14">
        <v>2.8563678859752724</v>
      </c>
      <c r="N33" s="14">
        <v>384852.9014939997</v>
      </c>
      <c r="O33" s="14">
        <v>185704.16028100014</v>
      </c>
      <c r="P33" s="14">
        <v>185702.59134800013</v>
      </c>
      <c r="Q33" s="14">
        <v>1630.7479926694914</v>
      </c>
      <c r="R33" s="14">
        <v>21.743306568926553</v>
      </c>
      <c r="S33" s="14">
        <v>786.89571319915262</v>
      </c>
      <c r="T33" s="14">
        <v>869.68910053711795</v>
      </c>
      <c r="U33" s="14">
        <v>-4.9978357070189885</v>
      </c>
      <c r="V33" s="14">
        <v>1.7728163412853937</v>
      </c>
      <c r="W33" s="14">
        <v>2891.0166899228279</v>
      </c>
      <c r="X33" s="14">
        <v>38.546889198971037</v>
      </c>
      <c r="Y33" s="14">
        <v>1951.0489809999999</v>
      </c>
      <c r="Z33" s="14">
        <v>26.013986413333331</v>
      </c>
      <c r="AA33" s="14">
        <v>927.94255799999996</v>
      </c>
      <c r="AB33" s="14">
        <v>1045.6485749999999</v>
      </c>
      <c r="AC33" s="14">
        <v>-5.9640527884353842</v>
      </c>
      <c r="AD33" s="14">
        <v>-105.32108866711242</v>
      </c>
      <c r="AE33" s="14">
        <v>1.7654515158103812</v>
      </c>
      <c r="AF33" s="14">
        <v>1.7620461436857167</v>
      </c>
      <c r="AG33" s="14">
        <v>12.10325375413251</v>
      </c>
      <c r="AH33" s="14">
        <v>4651.8481198020754</v>
      </c>
      <c r="AI33" s="14">
        <v>62.024641597361004</v>
      </c>
      <c r="AJ33" s="14">
        <v>2.6373128096918057</v>
      </c>
      <c r="AK33" s="14">
        <v>1763.85907</v>
      </c>
      <c r="AL33" s="14">
        <v>1.0999999999999999E-2</v>
      </c>
      <c r="AM33" s="14">
        <v>0.23599999999999999</v>
      </c>
      <c r="AN33" s="14">
        <v>0.22500000000000001</v>
      </c>
      <c r="AO33" s="14">
        <v>0.23599999999999999</v>
      </c>
      <c r="AP33" s="14">
        <v>-2.3861171366594323</v>
      </c>
      <c r="AQ33" s="14">
        <v>0.23599999999999999</v>
      </c>
      <c r="AR33" s="14">
        <v>0.23599999999999999</v>
      </c>
      <c r="AS33" s="14">
        <v>0.22900000000000001</v>
      </c>
      <c r="AT33" s="14">
        <v>1.5053763440860168</v>
      </c>
      <c r="AU33" s="14">
        <f t="shared" si="0"/>
        <v>0.47199999999999998</v>
      </c>
      <c r="AV33" s="14">
        <v>0.58299999999999996</v>
      </c>
      <c r="AW33" s="14">
        <v>2059.684033</v>
      </c>
      <c r="AX33" s="14">
        <v>27.462453773333333</v>
      </c>
      <c r="AY33" s="14">
        <v>843.47264099999995</v>
      </c>
      <c r="AZ33" s="14">
        <v>1722.8684390000001</v>
      </c>
      <c r="BA33" s="14">
        <v>-34.266520722958624</v>
      </c>
      <c r="BB33" s="14">
        <v>1632.5315720677968</v>
      </c>
      <c r="BC33" s="14">
        <v>21.767087627570625</v>
      </c>
      <c r="BD33" s="14">
        <v>746.91424402222219</v>
      </c>
      <c r="BE33" s="14">
        <v>920.56622754237299</v>
      </c>
      <c r="BF33" s="14">
        <v>-10.414034016075362</v>
      </c>
      <c r="BG33" s="14">
        <v>2842.3650619999999</v>
      </c>
      <c r="BH33" s="14">
        <v>37.898200826666667</v>
      </c>
      <c r="BI33" s="14">
        <v>1431.7322240000001</v>
      </c>
      <c r="BJ33" s="14">
        <v>1619.8599320000001</v>
      </c>
      <c r="BK33" s="14">
        <v>-6.1649033810139331</v>
      </c>
      <c r="BL33" s="14">
        <v>92.007984000000008</v>
      </c>
      <c r="BM33" s="14">
        <v>129.50006500000001</v>
      </c>
      <c r="BN33" s="14">
        <v>191.91473400000001</v>
      </c>
      <c r="BO33" s="14">
        <v>-19.418729067294752</v>
      </c>
      <c r="BP33" s="14">
        <v>156.74900000000002</v>
      </c>
      <c r="BQ33" s="14">
        <v>88.004501000000005</v>
      </c>
      <c r="BR33" s="14">
        <v>94.821242999999996</v>
      </c>
      <c r="BS33" s="14">
        <v>-3.7285460192083182</v>
      </c>
      <c r="BT33" s="14">
        <v>40.892887927966115</v>
      </c>
      <c r="BU33" s="14">
        <v>-98.095355440677977</v>
      </c>
      <c r="BV33" s="14">
        <v>143.24765976419218</v>
      </c>
      <c r="BW33" s="14">
        <v>-534.50874505907484</v>
      </c>
      <c r="BX33" s="14">
        <v>2.5466502542372855</v>
      </c>
      <c r="BY33" s="14">
        <v>8.6441835677966097</v>
      </c>
      <c r="BZ33" s="14">
        <v>-6.2823457991266363</v>
      </c>
      <c r="CA33" s="14">
        <v>631.98791910796035</v>
      </c>
      <c r="CB33" s="14">
        <v>0.8869186701200712</v>
      </c>
      <c r="CC33" s="14">
        <v>0.81011383114704139</v>
      </c>
      <c r="CD33" s="14">
        <v>0.78479488029969291</v>
      </c>
      <c r="CE33" s="14">
        <v>-393.33957922078406</v>
      </c>
      <c r="CF33" s="14">
        <v>288.01849055367279</v>
      </c>
      <c r="CG33" s="14">
        <v>646.93413104381</v>
      </c>
      <c r="CH33" s="14">
        <v>1569.9749423424553</v>
      </c>
      <c r="CI33" s="14">
        <v>4165.4190206028834</v>
      </c>
      <c r="CJ33" s="14">
        <v>5967.1813703321577</v>
      </c>
      <c r="CK33" s="14">
        <v>20.932999231232738</v>
      </c>
      <c r="CL33" s="14">
        <v>55.538920274705113</v>
      </c>
      <c r="CM33" s="14">
        <v>79.562418271095439</v>
      </c>
      <c r="CN33" s="14">
        <v>32.282665124685181</v>
      </c>
      <c r="CO33" s="35"/>
    </row>
    <row r="34" spans="1:93" s="8" customFormat="1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6"/>
      <c r="K34" s="14">
        <v>0.32260078423124994</v>
      </c>
      <c r="L34" s="14">
        <v>0.37132247760228682</v>
      </c>
      <c r="M34" s="14">
        <v>2.6991381977506945</v>
      </c>
      <c r="N34" s="14">
        <v>497052.54491500009</v>
      </c>
      <c r="O34" s="14">
        <v>245915.7040840002</v>
      </c>
      <c r="P34" s="14">
        <v>245914.80239900021</v>
      </c>
      <c r="Q34" s="14">
        <v>1534.1258729506176</v>
      </c>
      <c r="R34" s="14">
        <v>18.04853968177197</v>
      </c>
      <c r="S34" s="14">
        <v>763.72439976708074</v>
      </c>
      <c r="T34" s="14">
        <v>775.13446729629618</v>
      </c>
      <c r="U34" s="14">
        <v>-0.7414628965286082</v>
      </c>
      <c r="V34" s="14">
        <v>1.6387859162723177</v>
      </c>
      <c r="W34" s="14">
        <v>2514.103874380447</v>
      </c>
      <c r="X34" s="14">
        <v>29.577692639769964</v>
      </c>
      <c r="Y34" s="14">
        <v>1809.9532479999998</v>
      </c>
      <c r="Z34" s="14">
        <v>21.293567623529409</v>
      </c>
      <c r="AA34" s="14">
        <v>901.16248299999995</v>
      </c>
      <c r="AB34" s="14">
        <v>960.43931599999996</v>
      </c>
      <c r="AC34" s="14">
        <v>-3.184184342314337</v>
      </c>
      <c r="AD34" s="14">
        <v>-407.2619675324641</v>
      </c>
      <c r="AE34" s="14">
        <v>0.99568143281249977</v>
      </c>
      <c r="AF34" s="14">
        <v>1.1460570296366877</v>
      </c>
      <c r="AG34" s="14">
        <v>8.3306734498478221</v>
      </c>
      <c r="AH34" s="14">
        <v>4544.359143171785</v>
      </c>
      <c r="AI34" s="14">
        <v>53.463048743197469</v>
      </c>
      <c r="AJ34" s="14">
        <v>2.5963349246858938</v>
      </c>
      <c r="AK34" s="14">
        <v>1750.2977369999999</v>
      </c>
      <c r="AL34" s="14">
        <v>-3.0000000000000001E-3</v>
      </c>
      <c r="AM34" s="14">
        <v>0.30499999999999999</v>
      </c>
      <c r="AN34" s="14">
        <v>0.30499999999999999</v>
      </c>
      <c r="AO34" s="14">
        <v>0.30199999999999999</v>
      </c>
      <c r="AP34" s="14">
        <v>0.49423393739703508</v>
      </c>
      <c r="AQ34" s="14">
        <v>0.32400000000000001</v>
      </c>
      <c r="AR34" s="14">
        <v>0.32200000000000001</v>
      </c>
      <c r="AS34" s="14">
        <v>0.32400000000000001</v>
      </c>
      <c r="AT34" s="14">
        <v>-0.30959752321981454</v>
      </c>
      <c r="AU34" s="14">
        <f t="shared" si="0"/>
        <v>0.629</v>
      </c>
      <c r="AV34" s="14">
        <v>0.51300000000000001</v>
      </c>
      <c r="AW34" s="14">
        <v>2859.334793</v>
      </c>
      <c r="AX34" s="14">
        <v>33.639232858823526</v>
      </c>
      <c r="AY34" s="14">
        <v>1258.1578219999999</v>
      </c>
      <c r="AZ34" s="14">
        <v>1666.8197170000001</v>
      </c>
      <c r="BA34" s="14">
        <v>-13.971454124044822</v>
      </c>
      <c r="BB34" s="14">
        <v>1620.1549547639347</v>
      </c>
      <c r="BC34" s="14">
        <v>19.060646526634525</v>
      </c>
      <c r="BD34" s="14">
        <v>738.93425753114741</v>
      </c>
      <c r="BE34" s="14">
        <v>889.93937351324519</v>
      </c>
      <c r="BF34" s="14">
        <v>-9.2705236983471284</v>
      </c>
      <c r="BG34" s="14">
        <v>4192.4586859999999</v>
      </c>
      <c r="BH34" s="14">
        <v>49.323043364705882</v>
      </c>
      <c r="BI34" s="14">
        <v>2061.6136590000001</v>
      </c>
      <c r="BJ34" s="14">
        <v>2148.3377690000002</v>
      </c>
      <c r="BK34" s="14">
        <v>-2.0599788734664735</v>
      </c>
      <c r="BL34" s="14">
        <v>32.31639899999999</v>
      </c>
      <c r="BM34" s="14">
        <v>145.387764</v>
      </c>
      <c r="BN34" s="14">
        <v>141.47444899999999</v>
      </c>
      <c r="BO34" s="14">
        <v>1.3641793246571696</v>
      </c>
      <c r="BP34" s="14">
        <v>124.01782</v>
      </c>
      <c r="BQ34" s="14">
        <v>62.342533000000003</v>
      </c>
      <c r="BR34" s="14">
        <v>75.146467000000001</v>
      </c>
      <c r="BS34" s="14">
        <v>-9.312697015761259</v>
      </c>
      <c r="BT34" s="14">
        <v>-13.214423169753086</v>
      </c>
      <c r="BU34" s="14">
        <v>-109.79784751552796</v>
      </c>
      <c r="BV34" s="14">
        <v>95.899036361111115</v>
      </c>
      <c r="BW34" s="14">
        <v>1479.9602756763229</v>
      </c>
      <c r="BX34" s="14">
        <v>-15.617637546296296</v>
      </c>
      <c r="BY34" s="14">
        <v>-15.737603745341614</v>
      </c>
      <c r="BZ34" s="14">
        <v>-4.9536419753107731E-3</v>
      </c>
      <c r="CA34" s="14">
        <v>99.937066870986271</v>
      </c>
      <c r="CB34" s="14">
        <v>0.9204926941641336</v>
      </c>
      <c r="CC34" s="14">
        <v>0.81266872618649388</v>
      </c>
      <c r="CD34" s="14">
        <v>0.81596445949760021</v>
      </c>
      <c r="CE34" s="14">
        <v>-196.38438117566659</v>
      </c>
      <c r="CF34" s="14">
        <v>-210.87758635679594</v>
      </c>
      <c r="CG34" s="14">
        <v>-3.5586935035798821</v>
      </c>
      <c r="CH34" s="14">
        <v>1441.0674212233303</v>
      </c>
      <c r="CI34" s="14">
        <v>3639.5144783791461</v>
      </c>
      <c r="CJ34" s="14">
        <v>8163.5046465945898</v>
      </c>
      <c r="CK34" s="14">
        <v>16.953734367333297</v>
      </c>
      <c r="CL34" s="14">
        <v>42.817817392695837</v>
      </c>
      <c r="CM34" s="14">
        <v>96.041231136406935</v>
      </c>
      <c r="CN34" s="14">
        <v>60.345621793719062</v>
      </c>
      <c r="CO34" s="35"/>
    </row>
    <row r="35" spans="1:93" s="8" customFormat="1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6"/>
      <c r="K35" s="14">
        <v>0.33786973828125</v>
      </c>
      <c r="L35" s="14">
        <v>0.44918087067705231</v>
      </c>
      <c r="M35" s="14">
        <v>2.9686577240705549</v>
      </c>
      <c r="N35" s="14">
        <v>492430.86630399962</v>
      </c>
      <c r="O35" s="14">
        <v>252059.08536500012</v>
      </c>
      <c r="P35" s="14">
        <v>252056.84918500012</v>
      </c>
      <c r="Q35" s="14">
        <v>1614.5410296950822</v>
      </c>
      <c r="R35" s="14">
        <v>19.452301562591352</v>
      </c>
      <c r="S35" s="14">
        <v>826.43139021967227</v>
      </c>
      <c r="T35" s="14">
        <v>814.88017744406773</v>
      </c>
      <c r="U35" s="14">
        <v>0.70377940442146869</v>
      </c>
      <c r="V35" s="14">
        <v>1.7292707294721574</v>
      </c>
      <c r="W35" s="14">
        <v>2791.9785441835429</v>
      </c>
      <c r="X35" s="14">
        <v>33.638295713054731</v>
      </c>
      <c r="Y35" s="14">
        <v>2048.1965639999999</v>
      </c>
      <c r="Z35" s="14">
        <v>24.677067036144578</v>
      </c>
      <c r="AA35" s="14">
        <v>1036.6858139999999</v>
      </c>
      <c r="AB35" s="14">
        <v>1012.178009</v>
      </c>
      <c r="AC35" s="14">
        <v>1.1961656370170564</v>
      </c>
      <c r="AD35" s="14">
        <v>-2381.7038185919205</v>
      </c>
      <c r="AE35" s="14">
        <v>1.1077696337090164</v>
      </c>
      <c r="AF35" s="14">
        <v>1.4727241661542698</v>
      </c>
      <c r="AG35" s="14">
        <v>9.733304013346082</v>
      </c>
      <c r="AH35" s="14">
        <v>5465.2117272091446</v>
      </c>
      <c r="AI35" s="14">
        <v>65.845924424206558</v>
      </c>
      <c r="AJ35" s="14">
        <v>2.8142762142196114</v>
      </c>
      <c r="AK35" s="14">
        <v>1941.959961</v>
      </c>
      <c r="AL35" s="14">
        <v>-4.0000000000000001E-3</v>
      </c>
      <c r="AM35" s="14">
        <v>0.27900000000000003</v>
      </c>
      <c r="AN35" s="14">
        <v>0.27900000000000003</v>
      </c>
      <c r="AO35" s="14">
        <v>0.27500000000000002</v>
      </c>
      <c r="AP35" s="14">
        <v>0.72202166064981999</v>
      </c>
      <c r="AQ35" s="14">
        <v>0.30499999999999999</v>
      </c>
      <c r="AR35" s="14">
        <v>0.30499999999999999</v>
      </c>
      <c r="AS35" s="14">
        <v>0.29499999999999998</v>
      </c>
      <c r="AT35" s="14">
        <v>1.6666666666666683</v>
      </c>
      <c r="AU35" s="14">
        <f t="shared" si="0"/>
        <v>0.58400000000000007</v>
      </c>
      <c r="AV35" s="14">
        <v>0.52500000000000002</v>
      </c>
      <c r="AW35" s="14">
        <v>2479.9416040000001</v>
      </c>
      <c r="AX35" s="14">
        <v>29.878814506024099</v>
      </c>
      <c r="AY35" s="14">
        <v>1344.052383</v>
      </c>
      <c r="AZ35" s="14">
        <v>1234.6779019999999</v>
      </c>
      <c r="BA35" s="14">
        <v>4.2414083254930279</v>
      </c>
      <c r="BB35" s="14">
        <v>1649.0833757132614</v>
      </c>
      <c r="BC35" s="14">
        <v>19.868474406183871</v>
      </c>
      <c r="BD35" s="14">
        <v>888.64166763799278</v>
      </c>
      <c r="BE35" s="14">
        <v>771.5307453781819</v>
      </c>
      <c r="BF35" s="14">
        <v>7.0541421687067816</v>
      </c>
      <c r="BG35" s="14">
        <v>3919.6087230000003</v>
      </c>
      <c r="BH35" s="14">
        <v>47.224201481927714</v>
      </c>
      <c r="BI35" s="14">
        <v>2044.878365</v>
      </c>
      <c r="BJ35" s="14">
        <v>1899.7971729999999</v>
      </c>
      <c r="BK35" s="14">
        <v>3.6778992493146365</v>
      </c>
      <c r="BL35" s="14">
        <v>45.15640599999999</v>
      </c>
      <c r="BM35" s="14">
        <v>106.23658399999999</v>
      </c>
      <c r="BN35" s="14">
        <v>144.55822000000001</v>
      </c>
      <c r="BO35" s="14">
        <v>-15.280075738730222</v>
      </c>
      <c r="BP35" s="14">
        <v>271.82210599999996</v>
      </c>
      <c r="BQ35" s="14">
        <v>190.72451000000001</v>
      </c>
      <c r="BR35" s="14">
        <v>97.327929999999995</v>
      </c>
      <c r="BS35" s="14">
        <v>32.423464283100678</v>
      </c>
      <c r="BT35" s="14">
        <v>11.204964806557378</v>
      </c>
      <c r="BU35" s="14">
        <v>-76.641017698360628</v>
      </c>
      <c r="BV35" s="14">
        <v>90.84178499322033</v>
      </c>
      <c r="BW35" s="14">
        <v>-1179.3926286800379</v>
      </c>
      <c r="BX35" s="14">
        <v>52.014243662295101</v>
      </c>
      <c r="BY35" s="14">
        <v>35.618645475409828</v>
      </c>
      <c r="BZ35" s="14">
        <v>16.891472579661009</v>
      </c>
      <c r="CA35" s="14">
        <v>35.663932189427555</v>
      </c>
      <c r="CB35" s="14">
        <v>0.86598095201642478</v>
      </c>
      <c r="CC35" s="14">
        <v>0.77733154688947093</v>
      </c>
      <c r="CD35" s="14">
        <v>0.80711820183675309</v>
      </c>
      <c r="CE35" s="14">
        <v>-2127.8739327682765</v>
      </c>
      <c r="CF35" s="14">
        <v>-253.82988582364339</v>
      </c>
      <c r="CG35" s="14">
        <v>78.685016680729888</v>
      </c>
      <c r="CH35" s="14">
        <v>6135.6974673494851</v>
      </c>
      <c r="CI35" s="14">
        <v>882.78250394824238</v>
      </c>
      <c r="CJ35" s="14">
        <v>10815.624044658829</v>
      </c>
      <c r="CK35" s="14">
        <v>73.92406587168054</v>
      </c>
      <c r="CL35" s="14">
        <v>10.635933782508944</v>
      </c>
      <c r="CM35" s="14">
        <v>130.30872342962445</v>
      </c>
      <c r="CN35" s="14">
        <v>38.009117532430416</v>
      </c>
      <c r="CO35" s="35"/>
    </row>
    <row r="36" spans="1:93" s="8" customFormat="1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6"/>
      <c r="K36" s="14">
        <v>0.3163429157</v>
      </c>
      <c r="L36" s="14">
        <v>0.32053797016403601</v>
      </c>
      <c r="M36" s="14">
        <v>2.5077788926893829</v>
      </c>
      <c r="N36" s="14">
        <v>356536.62353799993</v>
      </c>
      <c r="O36" s="14">
        <v>178052.51125499984</v>
      </c>
      <c r="P36" s="14">
        <v>178050.96035599985</v>
      </c>
      <c r="Q36" s="14">
        <v>1620.6324101090906</v>
      </c>
      <c r="R36" s="14">
        <v>21.047174157260919</v>
      </c>
      <c r="S36" s="14">
        <v>835.93007684037559</v>
      </c>
      <c r="T36" s="14">
        <v>811.32109311363615</v>
      </c>
      <c r="U36" s="14">
        <v>1.4939424039034968</v>
      </c>
      <c r="V36" s="14">
        <v>1.7500716863141357</v>
      </c>
      <c r="W36" s="14">
        <v>2836.2228948549582</v>
      </c>
      <c r="X36" s="14">
        <v>36.834063569544909</v>
      </c>
      <c r="Y36" s="14">
        <v>2261.4632229999997</v>
      </c>
      <c r="Z36" s="14">
        <v>29.369652246753244</v>
      </c>
      <c r="AA36" s="14">
        <v>1174.7699170000001</v>
      </c>
      <c r="AB36" s="14">
        <v>1095.547867</v>
      </c>
      <c r="AC36" s="14">
        <v>3.4894696486243131</v>
      </c>
      <c r="AD36" s="14">
        <v>-2647.5733362543156</v>
      </c>
      <c r="AE36" s="14">
        <v>1.437922344090909</v>
      </c>
      <c r="AF36" s="14">
        <v>1.4569907734728909</v>
      </c>
      <c r="AG36" s="14">
        <v>11.398994966769923</v>
      </c>
      <c r="AH36" s="14">
        <v>3826.2271969720473</v>
      </c>
      <c r="AI36" s="14">
        <v>49.691262298338273</v>
      </c>
      <c r="AJ36" s="14">
        <v>2.3339585372071898</v>
      </c>
      <c r="AK36" s="14">
        <v>1639.3723949999999</v>
      </c>
      <c r="AL36" s="14">
        <v>-1E-3</v>
      </c>
      <c r="AM36" s="14">
        <v>0.14599999999999999</v>
      </c>
      <c r="AN36" s="14">
        <v>0.14599999999999999</v>
      </c>
      <c r="AO36" s="14">
        <v>0.14499999999999999</v>
      </c>
      <c r="AP36" s="14">
        <v>0.34364261168384913</v>
      </c>
      <c r="AQ36" s="14">
        <v>0.22</v>
      </c>
      <c r="AR36" s="14">
        <v>0.21299999999999999</v>
      </c>
      <c r="AS36" s="14">
        <v>0.22</v>
      </c>
      <c r="AT36" s="14">
        <v>-1.6166281755196319</v>
      </c>
      <c r="AU36" s="14">
        <f t="shared" si="0"/>
        <v>0.36599999999999999</v>
      </c>
      <c r="AV36" s="14">
        <v>0.50800000000000001</v>
      </c>
      <c r="AW36" s="14">
        <v>4638.0356599999996</v>
      </c>
      <c r="AX36" s="14">
        <v>60.234229350649343</v>
      </c>
      <c r="AY36" s="14">
        <v>2727.5264280000001</v>
      </c>
      <c r="AZ36" s="14">
        <v>2655.26532</v>
      </c>
      <c r="BA36" s="14">
        <v>1.342446659335262</v>
      </c>
      <c r="BB36" s="14">
        <v>2244.6369077534246</v>
      </c>
      <c r="BC36" s="14">
        <v>29.151128672122397</v>
      </c>
      <c r="BD36" s="14">
        <v>1192.4092461027396</v>
      </c>
      <c r="BE36" s="14">
        <v>1059.3919969310346</v>
      </c>
      <c r="BF36" s="14">
        <v>5.9071487584976881</v>
      </c>
      <c r="BG36" s="14">
        <v>3341.0511800000004</v>
      </c>
      <c r="BH36" s="14">
        <v>43.390275064935068</v>
      </c>
      <c r="BI36" s="14">
        <v>1600.798313</v>
      </c>
      <c r="BJ36" s="14">
        <v>1853.3784479999999</v>
      </c>
      <c r="BK36" s="14">
        <v>-7.3123106452397311</v>
      </c>
      <c r="BL36" s="14">
        <v>44.020288000000008</v>
      </c>
      <c r="BM36" s="14">
        <v>135.775803</v>
      </c>
      <c r="BN36" s="14">
        <v>135.37905499999999</v>
      </c>
      <c r="BO36" s="14">
        <v>0.14631786534320634</v>
      </c>
      <c r="BP36" s="14">
        <v>160.554115</v>
      </c>
      <c r="BQ36" s="14">
        <v>91.647311999999999</v>
      </c>
      <c r="BR36" s="14">
        <v>77.490852000000004</v>
      </c>
      <c r="BS36" s="14">
        <v>8.3697609488063218</v>
      </c>
      <c r="BT36" s="14">
        <v>1.520405631818182</v>
      </c>
      <c r="BU36" s="14">
        <v>-101.38644556807513</v>
      </c>
      <c r="BV36" s="14">
        <v>99.652638704545438</v>
      </c>
      <c r="BW36" s="14">
        <v>11595.240998374185</v>
      </c>
      <c r="BX36" s="14">
        <v>-119.19372015454543</v>
      </c>
      <c r="BY36" s="14">
        <v>-65.319873323943654</v>
      </c>
      <c r="BZ36" s="14">
        <v>-56.058851222727256</v>
      </c>
      <c r="CA36" s="14">
        <v>7.629856167796091</v>
      </c>
      <c r="CB36" s="14">
        <v>0.91704327588390167</v>
      </c>
      <c r="CC36" s="14">
        <v>0.83780898220866351</v>
      </c>
      <c r="CD36" s="14">
        <v>0.83730738665431792</v>
      </c>
      <c r="CE36" s="14">
        <v>-1719.0318292823256</v>
      </c>
      <c r="CF36" s="14">
        <v>-928.5415069719877</v>
      </c>
      <c r="CG36" s="14">
        <v>29.857164350684002</v>
      </c>
      <c r="CH36" s="14">
        <v>12726.277828539089</v>
      </c>
      <c r="CI36" s="14">
        <v>10605.327143970409</v>
      </c>
      <c r="CJ36" s="14">
        <v>26664.270990871111</v>
      </c>
      <c r="CK36" s="14">
        <v>165.27633543557258</v>
      </c>
      <c r="CL36" s="14">
        <v>137.73152135026507</v>
      </c>
      <c r="CM36" s="14">
        <v>346.28923364767678</v>
      </c>
      <c r="CN36" s="14">
        <v>71.744684019958569</v>
      </c>
      <c r="CO36" s="35"/>
    </row>
    <row r="37" spans="1:93" s="8" customFormat="1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6"/>
      <c r="K37" s="14">
        <v>0.30523320708124996</v>
      </c>
      <c r="L37" s="14">
        <v>0.19750092162515862</v>
      </c>
      <c r="M37" s="14">
        <v>1.9684938613786969</v>
      </c>
      <c r="N37" s="14">
        <v>316125.35287299997</v>
      </c>
      <c r="O37" s="14">
        <v>141328.6654530002</v>
      </c>
      <c r="P37" s="14">
        <v>141326.68174500018</v>
      </c>
      <c r="Q37" s="14">
        <v>1295.6148508360654</v>
      </c>
      <c r="R37" s="14">
        <v>17.748148641589939</v>
      </c>
      <c r="S37" s="14">
        <v>598.86403186864402</v>
      </c>
      <c r="T37" s="14">
        <v>716.46885248360638</v>
      </c>
      <c r="U37" s="14">
        <v>-8.9410689882415664</v>
      </c>
      <c r="V37" s="14">
        <v>1.2960803777657572</v>
      </c>
      <c r="W37" s="14">
        <v>1679.220985310533</v>
      </c>
      <c r="X37" s="14">
        <v>23.003027196034697</v>
      </c>
      <c r="Y37" s="14">
        <v>1592.7011259999999</v>
      </c>
      <c r="Z37" s="14">
        <v>21.817823643835617</v>
      </c>
      <c r="AA37" s="14">
        <v>739.47224400000005</v>
      </c>
      <c r="AB37" s="14">
        <v>870.45108800000003</v>
      </c>
      <c r="AC37" s="14">
        <v>-8.1357193474105127</v>
      </c>
      <c r="AD37" s="14">
        <v>-905.93029409431063</v>
      </c>
      <c r="AE37" s="14">
        <v>1.2509557667264344</v>
      </c>
      <c r="AF37" s="14">
        <v>0.80943000666048615</v>
      </c>
      <c r="AG37" s="14">
        <v>8.0675977925356435</v>
      </c>
      <c r="AH37" s="14">
        <v>2857.4417765545777</v>
      </c>
      <c r="AI37" s="14">
        <v>39.143038034994213</v>
      </c>
      <c r="AJ37" s="14">
        <v>1.9100721094785307</v>
      </c>
      <c r="AK37" s="14">
        <v>1495.9863359999999</v>
      </c>
      <c r="AL37" s="14">
        <v>2E-3</v>
      </c>
      <c r="AM37" s="14">
        <v>0.255</v>
      </c>
      <c r="AN37" s="14">
        <v>0.253</v>
      </c>
      <c r="AO37" s="14">
        <v>0.255</v>
      </c>
      <c r="AP37" s="14">
        <v>-0.39370078740157516</v>
      </c>
      <c r="AQ37" s="14">
        <v>0.24399999999999999</v>
      </c>
      <c r="AR37" s="14">
        <v>0.23599999999999999</v>
      </c>
      <c r="AS37" s="14">
        <v>0.24399999999999999</v>
      </c>
      <c r="AT37" s="14">
        <v>-1.6666666666666683</v>
      </c>
      <c r="AU37" s="14">
        <f t="shared" si="0"/>
        <v>0.499</v>
      </c>
      <c r="AV37" s="14">
        <v>0.499</v>
      </c>
      <c r="AW37" s="14">
        <v>3432.6083680000002</v>
      </c>
      <c r="AX37" s="14">
        <v>47.022032438356163</v>
      </c>
      <c r="AY37" s="14">
        <v>1651.563171</v>
      </c>
      <c r="AZ37" s="14">
        <v>1887.768677</v>
      </c>
      <c r="BA37" s="14">
        <v>-6.6737315443725533</v>
      </c>
      <c r="BB37" s="14">
        <v>1522.6233513882355</v>
      </c>
      <c r="BC37" s="14">
        <v>20.857854128605965</v>
      </c>
      <c r="BD37" s="14">
        <v>671.34132698023734</v>
      </c>
      <c r="BE37" s="14">
        <v>856.56265147058821</v>
      </c>
      <c r="BF37" s="14">
        <v>-12.122576228785707</v>
      </c>
      <c r="BG37" s="14">
        <v>3030.8713990000001</v>
      </c>
      <c r="BH37" s="14">
        <v>41.518786287671233</v>
      </c>
      <c r="BI37" s="14">
        <v>2078.565353</v>
      </c>
      <c r="BJ37" s="14">
        <v>1821.530853</v>
      </c>
      <c r="BK37" s="14">
        <v>6.590465630170149</v>
      </c>
      <c r="BL37" s="14">
        <v>43.479276999999996</v>
      </c>
      <c r="BM37" s="14">
        <v>129.91484500000001</v>
      </c>
      <c r="BN37" s="14">
        <v>109.590853</v>
      </c>
      <c r="BO37" s="14">
        <v>8.4858072979958994</v>
      </c>
      <c r="BP37" s="14">
        <v>147.06489999999999</v>
      </c>
      <c r="BQ37" s="14">
        <v>63.496693</v>
      </c>
      <c r="BR37" s="14">
        <v>83.820680999999993</v>
      </c>
      <c r="BS37" s="14">
        <v>-13.796056397258338</v>
      </c>
      <c r="BT37" s="14">
        <v>-0.73649975000000167</v>
      </c>
      <c r="BU37" s="14">
        <v>-77.734686432203375</v>
      </c>
      <c r="BV37" s="14">
        <v>74.42474903688526</v>
      </c>
      <c r="BW37" s="14">
        <v>4597.0487443151387</v>
      </c>
      <c r="BX37" s="14">
        <v>-28.774113672131158</v>
      </c>
      <c r="BY37" s="14">
        <v>-2.8727851610169504</v>
      </c>
      <c r="BZ37" s="14">
        <v>-26.100394553278683</v>
      </c>
      <c r="CA37" s="14">
        <v>-80.169348415703979</v>
      </c>
      <c r="CB37" s="14">
        <v>0.89314752340609416</v>
      </c>
      <c r="CC37" s="14">
        <v>0.79267349081217064</v>
      </c>
      <c r="CD37" s="14">
        <v>0.81819876927680979</v>
      </c>
      <c r="CE37" s="14">
        <v>-161.70060576896981</v>
      </c>
      <c r="CF37" s="14">
        <v>-744.22968832534104</v>
      </c>
      <c r="CG37" s="14">
        <v>-64.301755483157265</v>
      </c>
      <c r="CH37" s="14">
        <v>4315.861163413846</v>
      </c>
      <c r="CI37" s="14">
        <v>4861.2759977030191</v>
      </c>
      <c r="CJ37" s="14">
        <v>11163.472473973115</v>
      </c>
      <c r="CK37" s="14">
        <v>59.121385800189671</v>
      </c>
      <c r="CL37" s="14">
        <v>66.592821886342733</v>
      </c>
      <c r="CM37" s="14">
        <v>152.92428046538515</v>
      </c>
      <c r="CN37" s="14">
        <v>69.881372438581664</v>
      </c>
      <c r="CO37" s="35"/>
    </row>
    <row r="38" spans="1:93" s="8" customFormat="1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6"/>
      <c r="K38" s="14">
        <v>0.42094554792499994</v>
      </c>
      <c r="L38" s="14">
        <v>0.17228243373802471</v>
      </c>
      <c r="M38" s="14">
        <v>1.8385269511051625</v>
      </c>
      <c r="N38" s="14">
        <v>228788.53155500011</v>
      </c>
      <c r="O38" s="14">
        <v>112688.08761099998</v>
      </c>
      <c r="P38" s="14">
        <v>112685.70716099998</v>
      </c>
      <c r="Q38" s="14">
        <v>1307.3758156285714</v>
      </c>
      <c r="R38" s="14">
        <v>20.113474086593406</v>
      </c>
      <c r="S38" s="14">
        <v>643.94254333142851</v>
      </c>
      <c r="T38" s="14">
        <v>678.99615619298243</v>
      </c>
      <c r="U38" s="14">
        <v>-2.6496777873498973</v>
      </c>
      <c r="V38" s="14">
        <v>1.2739320583799942</v>
      </c>
      <c r="W38" s="14">
        <v>1665.5079638799298</v>
      </c>
      <c r="X38" s="14">
        <v>25.623199444306611</v>
      </c>
      <c r="Y38" s="14">
        <v>1716.8812600000001</v>
      </c>
      <c r="Z38" s="14">
        <v>26.413557846153846</v>
      </c>
      <c r="AA38" s="14">
        <v>825.63731399999995</v>
      </c>
      <c r="AB38" s="14">
        <v>891.60459900000001</v>
      </c>
      <c r="AC38" s="14">
        <v>-3.841467209751249</v>
      </c>
      <c r="AD38" s="14">
        <v>-29.27151356118301</v>
      </c>
      <c r="AE38" s="14">
        <v>2.4054031309999999</v>
      </c>
      <c r="AF38" s="14">
        <v>0.98447104993156986</v>
      </c>
      <c r="AG38" s="14">
        <v>10.505868292029501</v>
      </c>
      <c r="AH38" s="14">
        <v>2496.4897943994097</v>
      </c>
      <c r="AI38" s="14">
        <v>38.407535298452459</v>
      </c>
      <c r="AJ38" s="14">
        <v>1.7006292928360889</v>
      </c>
      <c r="AK38" s="14">
        <v>1467.9800030000001</v>
      </c>
      <c r="AL38" s="14">
        <v>1.2E-2</v>
      </c>
      <c r="AM38" s="14">
        <v>0.245</v>
      </c>
      <c r="AN38" s="14">
        <v>0.23300000000000001</v>
      </c>
      <c r="AO38" s="14">
        <v>0.245</v>
      </c>
      <c r="AP38" s="14">
        <v>-2.5104602510460214</v>
      </c>
      <c r="AQ38" s="14">
        <v>0.17499999999999999</v>
      </c>
      <c r="AR38" s="14">
        <v>0.17499999999999999</v>
      </c>
      <c r="AS38" s="14">
        <v>0.17100000000000001</v>
      </c>
      <c r="AT38" s="14">
        <v>1.1560693641618429</v>
      </c>
      <c r="AU38" s="14">
        <f t="shared" si="0"/>
        <v>0.42</v>
      </c>
      <c r="AV38" s="14">
        <v>0.58599999999999997</v>
      </c>
      <c r="AW38" s="14">
        <v>1896.5330600000002</v>
      </c>
      <c r="AX38" s="14">
        <v>29.177431692307696</v>
      </c>
      <c r="AY38" s="14">
        <v>740.98708499999998</v>
      </c>
      <c r="AZ38" s="14">
        <v>795.55709100000001</v>
      </c>
      <c r="BA38" s="14">
        <v>-3.551476544075622</v>
      </c>
      <c r="BB38" s="14">
        <v>1386.1152864734697</v>
      </c>
      <c r="BC38" s="14">
        <v>21.324850561130305</v>
      </c>
      <c r="BD38" s="14">
        <v>612.88474521459239</v>
      </c>
      <c r="BE38" s="14">
        <v>803.34816649387767</v>
      </c>
      <c r="BF38" s="14">
        <v>-13.44859448644786</v>
      </c>
      <c r="BG38" s="14">
        <v>1063.8806830000001</v>
      </c>
      <c r="BH38" s="14">
        <v>16.367395123076925</v>
      </c>
      <c r="BI38" s="14">
        <v>602.488201</v>
      </c>
      <c r="BJ38" s="14">
        <v>968.95119699999998</v>
      </c>
      <c r="BK38" s="14">
        <v>-23.320211804948013</v>
      </c>
      <c r="BL38" s="14">
        <v>30.350732999999998</v>
      </c>
      <c r="BM38" s="14">
        <v>124.216194</v>
      </c>
      <c r="BN38" s="14">
        <v>129.33776499999999</v>
      </c>
      <c r="BO38" s="14">
        <v>-2.0199136389741756</v>
      </c>
      <c r="BP38" s="14">
        <v>107.66124300000001</v>
      </c>
      <c r="BQ38" s="14">
        <v>58.140680000000003</v>
      </c>
      <c r="BR38" s="14">
        <v>59.817813999999998</v>
      </c>
      <c r="BS38" s="14">
        <v>-1.4218001121648731</v>
      </c>
      <c r="BT38" s="14">
        <v>-3.6056083314285714</v>
      </c>
      <c r="BU38" s="14">
        <v>-87.575711657142847</v>
      </c>
      <c r="BV38" s="14">
        <v>85.942753093567234</v>
      </c>
      <c r="BW38" s="14">
        <v>10626.017623543661</v>
      </c>
      <c r="BX38" s="14">
        <v>22.28152386857143</v>
      </c>
      <c r="BY38" s="14">
        <v>-8.5713705142857179</v>
      </c>
      <c r="BZ38" s="14">
        <v>31.560678754385961</v>
      </c>
      <c r="CA38" s="14">
        <v>-174.56832041022165</v>
      </c>
      <c r="CB38" s="14">
        <v>0.92559573062133915</v>
      </c>
      <c r="CC38" s="14">
        <v>0.81908935966999841</v>
      </c>
      <c r="CD38" s="14">
        <v>0.82497913704588777</v>
      </c>
      <c r="CE38" s="14">
        <v>-50.477782570067639</v>
      </c>
      <c r="CF38" s="14">
        <v>21.206269008883798</v>
      </c>
      <c r="CG38" s="14">
        <v>244.89355983972661</v>
      </c>
      <c r="CH38" s="14">
        <v>924.59765233597045</v>
      </c>
      <c r="CI38" s="14">
        <v>2732.8714475524266</v>
      </c>
      <c r="CJ38" s="14">
        <v>7108.9172771936228</v>
      </c>
      <c r="CK38" s="14">
        <v>14.224579266707238</v>
      </c>
      <c r="CL38" s="14">
        <v>42.044176116191181</v>
      </c>
      <c r="CM38" s="14">
        <v>109.36795811067113</v>
      </c>
      <c r="CN38" s="14">
        <v>24.428046405898144</v>
      </c>
      <c r="CO38" s="35"/>
    </row>
    <row r="39" spans="1:93" s="8" customFormat="1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6"/>
      <c r="K39" s="3">
        <v>0.32134430719999996</v>
      </c>
      <c r="L39" s="3">
        <v>0.27542555429792392</v>
      </c>
      <c r="M39" s="8">
        <v>2.324618113868441</v>
      </c>
      <c r="N39" s="8">
        <v>564871.59228199988</v>
      </c>
      <c r="O39" s="8">
        <v>278361.86405499984</v>
      </c>
      <c r="P39" s="8">
        <v>278361.05253799981</v>
      </c>
      <c r="Q39" s="8">
        <v>1706.5754120362535</v>
      </c>
      <c r="R39" s="14">
        <v>16.731131490551505</v>
      </c>
      <c r="S39" s="8">
        <v>843.52768576666676</v>
      </c>
      <c r="T39" s="8">
        <v>865.60301307854968</v>
      </c>
      <c r="U39" s="8">
        <v>-1.2916114213382413</v>
      </c>
      <c r="V39" s="8">
        <v>1.4032314112837161</v>
      </c>
      <c r="W39" s="8">
        <v>2394.7202238937211</v>
      </c>
      <c r="X39" s="14">
        <v>23.477649253860012</v>
      </c>
      <c r="Y39" s="8">
        <v>2140.3127370000002</v>
      </c>
      <c r="Z39" s="14">
        <v>20.983458205882354</v>
      </c>
      <c r="AA39" s="8">
        <v>1028.7690050000001</v>
      </c>
      <c r="AB39" s="8">
        <v>1111.5437320000001</v>
      </c>
      <c r="AC39" s="8">
        <v>-3.8674127182003484</v>
      </c>
      <c r="AD39" s="8">
        <v>-4404.1641782911647</v>
      </c>
      <c r="AE39" s="8">
        <v>0.97082872265861009</v>
      </c>
      <c r="AF39" s="8">
        <v>0.83210137250128069</v>
      </c>
      <c r="AG39" s="8">
        <v>7.0230154497535979</v>
      </c>
      <c r="AH39" s="8">
        <v>4375.2180762466724</v>
      </c>
      <c r="AI39" s="14">
        <v>42.894294865163452</v>
      </c>
      <c r="AJ39" s="8">
        <v>2.2512556520489655</v>
      </c>
      <c r="AK39" s="8">
        <v>1943.4567870000001</v>
      </c>
      <c r="AL39" s="8">
        <v>-1E-3</v>
      </c>
      <c r="AM39" s="8">
        <v>0.317</v>
      </c>
      <c r="AN39" s="8">
        <v>0.317</v>
      </c>
      <c r="AO39" s="8">
        <v>0.316</v>
      </c>
      <c r="AP39" s="8">
        <v>0.15797788309636662</v>
      </c>
      <c r="AQ39" s="8">
        <v>0.33100000000000002</v>
      </c>
      <c r="AR39" s="8">
        <v>0.33</v>
      </c>
      <c r="AS39" s="8">
        <v>0.33100000000000002</v>
      </c>
      <c r="AT39" s="8">
        <v>-0.15128593040847216</v>
      </c>
      <c r="AU39" s="14">
        <f t="shared" si="0"/>
        <v>0.64800000000000002</v>
      </c>
      <c r="AV39" s="8">
        <v>0.51200000000000001</v>
      </c>
      <c r="AW39" s="8">
        <v>2131.6024480000001</v>
      </c>
      <c r="AX39" s="14">
        <v>20.898063215686275</v>
      </c>
      <c r="AY39" s="8">
        <v>976.453217</v>
      </c>
      <c r="AZ39" s="8">
        <v>1204.2731020000001</v>
      </c>
      <c r="BA39" s="8">
        <v>-10.446972782190743</v>
      </c>
      <c r="BB39" s="8">
        <v>1906.5335969179814</v>
      </c>
      <c r="BC39" s="14">
        <v>18.691505852137073</v>
      </c>
      <c r="BD39" s="8">
        <v>914.03088028391187</v>
      </c>
      <c r="BE39" s="8">
        <v>995.63287616772163</v>
      </c>
      <c r="BF39" s="8">
        <v>-4.2731080593703732</v>
      </c>
      <c r="BG39" s="8">
        <v>2509.643129</v>
      </c>
      <c r="BH39" s="14">
        <v>24.604344401960784</v>
      </c>
      <c r="BI39" s="8">
        <v>1098.397158</v>
      </c>
      <c r="BJ39" s="8">
        <v>1461.199333</v>
      </c>
      <c r="BK39" s="8">
        <v>-14.174194107378934</v>
      </c>
      <c r="BL39" s="8">
        <v>68.473996</v>
      </c>
      <c r="BM39" s="8">
        <v>106.705456</v>
      </c>
      <c r="BN39" s="8">
        <v>73.343096000000003</v>
      </c>
      <c r="BO39" s="8">
        <v>18.529646381160564</v>
      </c>
      <c r="BP39" s="8">
        <v>179.038668</v>
      </c>
      <c r="BQ39" s="8">
        <v>94.280232999999996</v>
      </c>
      <c r="BR39" s="8">
        <v>90.673489000000004</v>
      </c>
      <c r="BS39" s="8">
        <v>1.9500791662900367</v>
      </c>
      <c r="BT39" s="8">
        <v>-28.747367253776446</v>
      </c>
      <c r="BU39" s="8">
        <v>-80.545322333333331</v>
      </c>
      <c r="BV39" s="8">
        <v>51.552000577039273</v>
      </c>
      <c r="BW39" s="8">
        <v>455.61293052492704</v>
      </c>
      <c r="BX39" s="8">
        <v>26.494788003021142</v>
      </c>
      <c r="BY39" s="8">
        <v>29.659659263636357</v>
      </c>
      <c r="BZ39" s="8">
        <v>-3.0909559999999972</v>
      </c>
      <c r="CA39" s="8">
        <v>123.26764666930869</v>
      </c>
      <c r="CB39" s="8">
        <v>0.89634390190491142</v>
      </c>
      <c r="CC39" s="8">
        <v>0.83656440590907</v>
      </c>
      <c r="CD39" s="8">
        <v>0.87141604923414995</v>
      </c>
      <c r="CE39" s="8">
        <v>-1575.3008758714877</v>
      </c>
      <c r="CF39" s="8">
        <v>-2828.8633024196774</v>
      </c>
      <c r="CG39" s="8">
        <v>-28.463117536062825</v>
      </c>
      <c r="CH39" s="8">
        <v>1199.7092603934648</v>
      </c>
      <c r="CI39" s="8">
        <v>1421.9441573901834</v>
      </c>
      <c r="CJ39" s="8">
        <v>4145.8686741124484</v>
      </c>
      <c r="CK39" s="8">
        <v>11.761855494053576</v>
      </c>
      <c r="CL39" s="8">
        <v>13.940628994021406</v>
      </c>
      <c r="CM39" s="8">
        <v>40.645771314827925</v>
      </c>
      <c r="CN39" s="8">
        <v>42.07</v>
      </c>
      <c r="CO39" s="35"/>
    </row>
    <row r="40" spans="1:93" s="8" customFormat="1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6"/>
      <c r="K40" s="14">
        <v>0.3</v>
      </c>
      <c r="L40" s="14">
        <v>0.36408079540238097</v>
      </c>
      <c r="M40" s="14">
        <v>2.6726887596191808</v>
      </c>
      <c r="N40" s="14">
        <v>390251.4365699999</v>
      </c>
      <c r="O40" s="14">
        <v>205606.52229100018</v>
      </c>
      <c r="P40" s="14">
        <v>205605.24189800018</v>
      </c>
      <c r="Q40" s="14">
        <v>1108.6741308011362</v>
      </c>
      <c r="R40" s="14">
        <v>17.323033293767754</v>
      </c>
      <c r="S40" s="14">
        <v>589.12940291404004</v>
      </c>
      <c r="T40" s="14">
        <v>524.57017431250006</v>
      </c>
      <c r="U40" s="14">
        <v>5.7968261748210983</v>
      </c>
      <c r="V40" s="14">
        <v>1.7391398196148915</v>
      </c>
      <c r="W40" s="14">
        <v>1928.1393278531848</v>
      </c>
      <c r="X40" s="14">
        <v>30.127176997706012</v>
      </c>
      <c r="Y40" s="14">
        <v>1556.1828839999998</v>
      </c>
      <c r="Z40" s="14">
        <v>24.315357562499997</v>
      </c>
      <c r="AA40" s="14">
        <v>833.13932799999998</v>
      </c>
      <c r="AB40" s="14">
        <v>723.04355599999997</v>
      </c>
      <c r="AC40" s="14">
        <v>7.0747322266526105</v>
      </c>
      <c r="AD40" s="14">
        <v>-3314.9490419001809</v>
      </c>
      <c r="AE40" s="14">
        <v>1.0572829356001423</v>
      </c>
      <c r="AF40" s="14">
        <v>1.034320441484037</v>
      </c>
      <c r="AG40" s="14">
        <v>7.5928657943726732</v>
      </c>
      <c r="AH40" s="14">
        <v>2983.5908470637464</v>
      </c>
      <c r="AI40" s="14">
        <v>46.618606985371038</v>
      </c>
      <c r="AJ40" s="14">
        <v>2.5746219716280709</v>
      </c>
      <c r="AK40" s="14">
        <v>1158.846184</v>
      </c>
      <c r="AL40" s="14">
        <v>4.0000000000000001E-3</v>
      </c>
      <c r="AM40" s="14">
        <v>0.34699999999999998</v>
      </c>
      <c r="AN40" s="14">
        <v>0.34300000000000003</v>
      </c>
      <c r="AO40" s="14">
        <v>0.34699999999999998</v>
      </c>
      <c r="AP40" s="14">
        <v>-0.57971014492752881</v>
      </c>
      <c r="AQ40" s="14">
        <v>0.35199999999999998</v>
      </c>
      <c r="AR40" s="14">
        <v>0.34899999999999998</v>
      </c>
      <c r="AS40" s="14">
        <v>0.35199999999999998</v>
      </c>
      <c r="AT40" s="14">
        <v>-0.42796005706134138</v>
      </c>
      <c r="AU40" s="14">
        <f t="shared" si="0"/>
        <v>0.69899999999999995</v>
      </c>
      <c r="AV40" s="14">
        <v>0.55100000000000005</v>
      </c>
      <c r="AW40" s="14">
        <v>2450.907357</v>
      </c>
      <c r="AX40" s="14">
        <v>38.295427453125001</v>
      </c>
      <c r="AY40" s="14">
        <v>1154.7164459999999</v>
      </c>
      <c r="AZ40" s="14">
        <v>1343.6015319999999</v>
      </c>
      <c r="BA40" s="14">
        <v>-7.5604902043417948</v>
      </c>
      <c r="BB40" s="14">
        <v>1149.9235833371758</v>
      </c>
      <c r="BC40" s="14">
        <v>17.967555989643373</v>
      </c>
      <c r="BD40" s="14">
        <v>573.48320887172008</v>
      </c>
      <c r="BE40" s="14">
        <v>583.06240947838637</v>
      </c>
      <c r="BF40" s="14">
        <v>-0.82825964273953101</v>
      </c>
      <c r="BG40" s="14">
        <v>4660.0187050000004</v>
      </c>
      <c r="BH40" s="14">
        <v>72.812792265625006</v>
      </c>
      <c r="BI40" s="14">
        <v>2758.1657100000002</v>
      </c>
      <c r="BJ40" s="14">
        <v>1902.736631</v>
      </c>
      <c r="BK40" s="14">
        <v>18.35329334140194</v>
      </c>
      <c r="BL40" s="14">
        <v>49.213996999999999</v>
      </c>
      <c r="BM40" s="14">
        <v>67.067363999999998</v>
      </c>
      <c r="BN40" s="14">
        <v>110.366302</v>
      </c>
      <c r="BO40" s="14">
        <v>-24.402887555735902</v>
      </c>
      <c r="BP40" s="14">
        <v>67.608377000000004</v>
      </c>
      <c r="BQ40" s="14">
        <v>36.698599000000002</v>
      </c>
      <c r="BR40" s="14">
        <v>30.909777999999999</v>
      </c>
      <c r="BS40" s="14">
        <v>8.5622836353548344</v>
      </c>
      <c r="BT40" s="14">
        <v>11.277318602272727</v>
      </c>
      <c r="BU40" s="14">
        <v>-47.596901404011447</v>
      </c>
      <c r="BV40" s="14">
        <v>58.470255255681828</v>
      </c>
      <c r="BW40" s="14">
        <v>-975.47783422314615</v>
      </c>
      <c r="BX40" s="14">
        <v>-33.100002607954544</v>
      </c>
      <c r="BY40" s="14">
        <v>-16.949258223495701</v>
      </c>
      <c r="BZ40" s="14">
        <v>-16.302575718749996</v>
      </c>
      <c r="CA40" s="14">
        <v>1.9448025208742237</v>
      </c>
      <c r="CB40" s="14">
        <v>0.93017214175426099</v>
      </c>
      <c r="CC40" s="14">
        <v>0.88924604867024915</v>
      </c>
      <c r="CD40" s="14">
        <v>0.83654648799393938</v>
      </c>
      <c r="CE40" s="14">
        <v>-1587.020672207781</v>
      </c>
      <c r="CF40" s="14">
        <v>-1727.928369692401</v>
      </c>
      <c r="CG40" s="14">
        <v>-4.250674616821545</v>
      </c>
      <c r="CH40" s="14">
        <v>1068.448597574635</v>
      </c>
      <c r="CI40" s="14">
        <v>1452.460850814655</v>
      </c>
      <c r="CJ40" s="14">
        <v>4076.7878225684835</v>
      </c>
      <c r="CK40" s="14">
        <v>16.694509337103671</v>
      </c>
      <c r="CL40" s="14">
        <v>22.694700793978985</v>
      </c>
      <c r="CM40" s="14">
        <v>63.699809727632555</v>
      </c>
      <c r="CN40" s="14">
        <v>74.018998507580065</v>
      </c>
      <c r="CO40" s="35"/>
    </row>
    <row r="41" spans="1:93" s="8" customFormat="1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6"/>
      <c r="K41" s="14">
        <v>0.37894856930000009</v>
      </c>
      <c r="L41" s="14">
        <v>0.37975094272394</v>
      </c>
      <c r="M41" s="14">
        <v>2.7295995120610099</v>
      </c>
      <c r="N41" s="14">
        <v>370273.89145199989</v>
      </c>
      <c r="O41" s="14">
        <v>182680.05094200003</v>
      </c>
      <c r="P41" s="14">
        <v>182680.03290800002</v>
      </c>
      <c r="Q41" s="14">
        <v>2285.6577805000006</v>
      </c>
      <c r="R41" s="14">
        <v>26.271928511494259</v>
      </c>
      <c r="S41" s="14">
        <v>1163.5869601273887</v>
      </c>
      <c r="T41" s="14">
        <v>1158.0757251728394</v>
      </c>
      <c r="U41" s="14">
        <v>0.23738310433484089</v>
      </c>
      <c r="V41" s="14">
        <v>1.9693135910348021</v>
      </c>
      <c r="W41" s="14">
        <v>4501.1769315930915</v>
      </c>
      <c r="X41" s="14">
        <v>51.737665880380362</v>
      </c>
      <c r="Y41" s="14">
        <v>3617.544128</v>
      </c>
      <c r="Z41" s="14">
        <v>41.58096698850575</v>
      </c>
      <c r="AA41" s="14">
        <v>1862.1067350000001</v>
      </c>
      <c r="AB41" s="14">
        <v>1755.852081</v>
      </c>
      <c r="AC41" s="14">
        <v>2.9368674272935689</v>
      </c>
      <c r="AD41" s="14">
        <v>-14046.997403363172</v>
      </c>
      <c r="AE41" s="14">
        <v>2.3391886993827167</v>
      </c>
      <c r="AF41" s="14">
        <v>2.344141621752716</v>
      </c>
      <c r="AG41" s="14">
        <v>16.849379704080306</v>
      </c>
      <c r="AH41" s="14">
        <v>5635.8384087552004</v>
      </c>
      <c r="AI41" s="14">
        <v>64.779751824772418</v>
      </c>
      <c r="AJ41" s="14">
        <v>2.1603394858924387</v>
      </c>
      <c r="AK41" s="14">
        <v>2608.7744290000001</v>
      </c>
      <c r="AL41" s="14">
        <v>2E-3</v>
      </c>
      <c r="AM41" s="14">
        <v>0.127</v>
      </c>
      <c r="AN41" s="14">
        <v>0.125</v>
      </c>
      <c r="AO41" s="14">
        <v>0.127</v>
      </c>
      <c r="AP41" s="14">
        <v>-0.79365079365079427</v>
      </c>
      <c r="AQ41" s="14">
        <v>0.16200000000000001</v>
      </c>
      <c r="AR41" s="14">
        <v>0.157</v>
      </c>
      <c r="AS41" s="14">
        <v>0.16200000000000001</v>
      </c>
      <c r="AT41" s="14">
        <v>-1.5673981191222583</v>
      </c>
      <c r="AU41" s="14">
        <f t="shared" si="0"/>
        <v>0.28900000000000003</v>
      </c>
      <c r="AV41" s="14">
        <v>0.55600000000000005</v>
      </c>
      <c r="AW41" s="14">
        <v>4260.1392510000005</v>
      </c>
      <c r="AX41" s="14">
        <v>48.967117827586215</v>
      </c>
      <c r="AY41" s="14">
        <v>2195.315552</v>
      </c>
      <c r="AZ41" s="14">
        <v>1302.574799</v>
      </c>
      <c r="BA41" s="14">
        <v>25.52226237579967</v>
      </c>
      <c r="BB41" s="14">
        <v>2802.7890289999996</v>
      </c>
      <c r="BC41" s="14">
        <v>32.215965850574705</v>
      </c>
      <c r="BD41" s="14">
        <v>1375.7853419200001</v>
      </c>
      <c r="BE41" s="14">
        <v>1448.6651960472441</v>
      </c>
      <c r="BF41" s="14">
        <v>-2.5803197169703531</v>
      </c>
      <c r="BG41" s="14">
        <v>3294.2176209999998</v>
      </c>
      <c r="BH41" s="14">
        <v>37.864570356321835</v>
      </c>
      <c r="BI41" s="14">
        <v>1392.2564540000001</v>
      </c>
      <c r="BJ41" s="14">
        <v>1910.401001</v>
      </c>
      <c r="BK41" s="14">
        <v>-15.688715952529805</v>
      </c>
      <c r="BL41" s="14">
        <v>63.695067999999992</v>
      </c>
      <c r="BM41" s="14">
        <v>326.46423299999998</v>
      </c>
      <c r="BN41" s="14">
        <v>332.61373900000001</v>
      </c>
      <c r="BO41" s="14">
        <v>-0.93304681103801634</v>
      </c>
      <c r="BP41" s="14">
        <v>224.51967999999999</v>
      </c>
      <c r="BQ41" s="14">
        <v>128.72461699999999</v>
      </c>
      <c r="BR41" s="14">
        <v>95.795062999999999</v>
      </c>
      <c r="BS41" s="14">
        <v>14.666667082368903</v>
      </c>
      <c r="BT41" s="14">
        <v>-4.6673909506172837</v>
      </c>
      <c r="BU41" s="14">
        <v>-215.48594165605093</v>
      </c>
      <c r="BV41" s="14">
        <v>204.14069946913585</v>
      </c>
      <c r="BW41" s="14">
        <v>3698.7014839503308</v>
      </c>
      <c r="BX41" s="14">
        <v>-82.505890308641966</v>
      </c>
      <c r="BY41" s="14">
        <v>-58.617136681528649</v>
      </c>
      <c r="BZ41" s="14">
        <v>-25.810579530864189</v>
      </c>
      <c r="CA41" s="14">
        <v>38.857567896463962</v>
      </c>
      <c r="CB41" s="14">
        <v>0.92620774677847784</v>
      </c>
      <c r="CC41" s="14">
        <v>0.80356893054711453</v>
      </c>
      <c r="CD41" s="14">
        <v>0.80386555226333745</v>
      </c>
      <c r="CE41" s="14">
        <v>-8693.4277807793551</v>
      </c>
      <c r="CF41" s="14">
        <v>-5353.5696225838165</v>
      </c>
      <c r="CG41" s="14">
        <v>23.776313629814585</v>
      </c>
      <c r="CH41" s="14">
        <v>6350.061267072595</v>
      </c>
      <c r="CI41" s="14">
        <v>3727.6038511145757</v>
      </c>
      <c r="CJ41" s="14">
        <v>19999.863321746296</v>
      </c>
      <c r="CK41" s="14">
        <v>72.989209966351666</v>
      </c>
      <c r="CL41" s="14">
        <v>42.846021277179034</v>
      </c>
      <c r="CM41" s="14">
        <v>229.88348645685397</v>
      </c>
      <c r="CN41" s="14">
        <v>29.322447093877884</v>
      </c>
      <c r="CO41" s="35"/>
    </row>
    <row r="42" spans="1:93" s="8" customFormat="1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6"/>
      <c r="K42" s="14">
        <v>0.33274086033125005</v>
      </c>
      <c r="L42" s="14">
        <v>0.2680562533955117</v>
      </c>
      <c r="M42" s="14">
        <v>2.2933084597628683</v>
      </c>
      <c r="N42" s="14">
        <v>418820.70935299993</v>
      </c>
      <c r="O42" s="14">
        <v>210421.46878299993</v>
      </c>
      <c r="P42" s="14">
        <v>210419.61131099993</v>
      </c>
      <c r="Q42" s="14">
        <v>1183.1221350677963</v>
      </c>
      <c r="R42" s="14">
        <v>16.207152535175293</v>
      </c>
      <c r="S42" s="14">
        <v>594.41683811581936</v>
      </c>
      <c r="T42" s="14">
        <v>593.7499134358975</v>
      </c>
      <c r="U42" s="14">
        <v>5.6130562402194405E-2</v>
      </c>
      <c r="V42" s="14">
        <v>1.2487418443879934</v>
      </c>
      <c r="W42" s="14">
        <v>1477.4141170808207</v>
      </c>
      <c r="X42" s="14">
        <v>20.238549549052337</v>
      </c>
      <c r="Y42" s="14">
        <v>1498.3487620000001</v>
      </c>
      <c r="Z42" s="14">
        <v>20.525325506849317</v>
      </c>
      <c r="AA42" s="14">
        <v>763.98006399999997</v>
      </c>
      <c r="AB42" s="14">
        <v>734.36871299999996</v>
      </c>
      <c r="AC42" s="14">
        <v>1.9762655701089822</v>
      </c>
      <c r="AD42" s="14">
        <v>-1598.7143327409806</v>
      </c>
      <c r="AE42" s="14">
        <v>0.93994593313912445</v>
      </c>
      <c r="AF42" s="14">
        <v>0.75722105478958113</v>
      </c>
      <c r="AG42" s="14">
        <v>6.4782724852058431</v>
      </c>
      <c r="AH42" s="14">
        <v>3159.1166237607385</v>
      </c>
      <c r="AI42" s="14">
        <v>43.275570188503266</v>
      </c>
      <c r="AJ42" s="14">
        <v>2.18800712457577</v>
      </c>
      <c r="AK42" s="14">
        <v>1443.8328779999999</v>
      </c>
      <c r="AL42" s="14">
        <v>-2E-3</v>
      </c>
      <c r="AM42" s="14">
        <v>0.38600000000000001</v>
      </c>
      <c r="AN42" s="14">
        <v>0.38600000000000001</v>
      </c>
      <c r="AO42" s="14">
        <v>0.38400000000000001</v>
      </c>
      <c r="AP42" s="14">
        <v>0.25974025974025994</v>
      </c>
      <c r="AQ42" s="14">
        <v>0.35399999999999998</v>
      </c>
      <c r="AR42" s="14">
        <v>0.35399999999999998</v>
      </c>
      <c r="AS42" s="14">
        <v>0.35099999999999998</v>
      </c>
      <c r="AT42" s="14">
        <v>0.42553191489361747</v>
      </c>
      <c r="AU42" s="14">
        <f t="shared" si="0"/>
        <v>0.74</v>
      </c>
      <c r="AV42" s="14">
        <v>0.52100000000000002</v>
      </c>
      <c r="AW42" s="14">
        <v>3362.6376190000001</v>
      </c>
      <c r="AX42" s="14">
        <v>46.063529027397259</v>
      </c>
      <c r="AY42" s="14">
        <v>0.70331500000000002</v>
      </c>
      <c r="AZ42" s="14">
        <v>1936.09906</v>
      </c>
      <c r="BA42" s="14">
        <v>-99.927373591742935</v>
      </c>
      <c r="BB42" s="14">
        <v>1249.475785031088</v>
      </c>
      <c r="BC42" s="14">
        <v>17.116106644261478</v>
      </c>
      <c r="BD42" s="14">
        <v>571.91979739637304</v>
      </c>
      <c r="BE42" s="14">
        <v>681.08215426562492</v>
      </c>
      <c r="BF42" s="14">
        <v>-8.7120659887606333</v>
      </c>
      <c r="BG42" s="14">
        <v>3439.5152509999998</v>
      </c>
      <c r="BH42" s="14">
        <v>47.116647273972603</v>
      </c>
      <c r="BI42" s="14">
        <v>1627.217674</v>
      </c>
      <c r="BJ42" s="14">
        <v>1820.4668879999999</v>
      </c>
      <c r="BK42" s="14">
        <v>-5.6051883669977096</v>
      </c>
      <c r="BL42" s="14">
        <v>34.480448999999993</v>
      </c>
      <c r="BM42" s="14">
        <v>155.84732099999999</v>
      </c>
      <c r="BN42" s="14">
        <v>144.88282000000001</v>
      </c>
      <c r="BO42" s="14">
        <v>3.645960116781239</v>
      </c>
      <c r="BP42" s="14">
        <v>134.94624899999999</v>
      </c>
      <c r="BQ42" s="14">
        <v>70.656075000000001</v>
      </c>
      <c r="BR42" s="14">
        <v>65.029554000000005</v>
      </c>
      <c r="BS42" s="14">
        <v>4.146733181301018</v>
      </c>
      <c r="BT42" s="14">
        <v>-13.422887387005648</v>
      </c>
      <c r="BU42" s="14">
        <v>-113.83789229661019</v>
      </c>
      <c r="BV42" s="14">
        <v>101.27577034188032</v>
      </c>
      <c r="BW42" s="14">
        <v>1712.3990947842706</v>
      </c>
      <c r="BX42" s="14">
        <v>4.4882030960451953</v>
      </c>
      <c r="BY42" s="14">
        <v>12.380803774011303</v>
      </c>
      <c r="BZ42" s="14">
        <v>-7.9627304615384613</v>
      </c>
      <c r="CA42" s="14">
        <v>460.46167179066737</v>
      </c>
      <c r="CB42" s="14">
        <v>0.89841156554731894</v>
      </c>
      <c r="CC42" s="14">
        <v>0.7713203651073588</v>
      </c>
      <c r="CD42" s="14">
        <v>0.77770138903565689</v>
      </c>
      <c r="CE42" s="14">
        <v>-411.40179595353476</v>
      </c>
      <c r="CF42" s="14">
        <v>-1187.312536787447</v>
      </c>
      <c r="CG42" s="14">
        <v>-48.53341994523938</v>
      </c>
      <c r="CH42" s="14">
        <v>0.31457083055797602</v>
      </c>
      <c r="CI42" s="14">
        <v>11536.062944526897</v>
      </c>
      <c r="CJ42" s="14">
        <v>20739.903396679318</v>
      </c>
      <c r="CK42" s="14">
        <v>4.3091894596983017E-3</v>
      </c>
      <c r="CL42" s="14">
        <v>158.02825951406709</v>
      </c>
      <c r="CM42" s="14">
        <v>284.10826570793586</v>
      </c>
      <c r="CN42" s="14">
        <v>73.836236648609272</v>
      </c>
      <c r="CO42" s="35"/>
    </row>
    <row r="43" spans="1:93" s="8" customFormat="1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6"/>
      <c r="K43" s="14">
        <v>0.37622722392500008</v>
      </c>
      <c r="L43" s="14">
        <v>0.30016262002863497</v>
      </c>
      <c r="M43" s="14">
        <v>2.4267654614654912</v>
      </c>
      <c r="N43" s="14">
        <v>289051.38129500038</v>
      </c>
      <c r="O43" s="14">
        <v>146630.68429699991</v>
      </c>
      <c r="P43" s="14">
        <v>146629.31373499992</v>
      </c>
      <c r="Q43" s="14">
        <v>1267.7855889166669</v>
      </c>
      <c r="R43" s="14">
        <v>20.317076745459406</v>
      </c>
      <c r="S43" s="14">
        <v>660.5138497027026</v>
      </c>
      <c r="T43" s="14">
        <v>624.72969313596502</v>
      </c>
      <c r="U43" s="14">
        <v>2.7842315774411519</v>
      </c>
      <c r="V43" s="14">
        <v>1.4354088530460112</v>
      </c>
      <c r="W43" s="14">
        <v>1819.7906580951346</v>
      </c>
      <c r="X43" s="14">
        <v>29.163311828447672</v>
      </c>
      <c r="Y43" s="14">
        <v>1631.9064330000001</v>
      </c>
      <c r="Z43" s="14">
        <v>26.152346682692311</v>
      </c>
      <c r="AA43" s="14">
        <v>789.94860800000004</v>
      </c>
      <c r="AB43" s="14">
        <v>842.58899699999995</v>
      </c>
      <c r="AC43" s="14">
        <v>-3.2244518496099155</v>
      </c>
      <c r="AD43" s="14">
        <v>2996.2077259056473</v>
      </c>
      <c r="AE43" s="14">
        <v>1.6501194031798248</v>
      </c>
      <c r="AF43" s="14">
        <v>1.3165027194238375</v>
      </c>
      <c r="AG43" s="14">
        <v>10.64370816432233</v>
      </c>
      <c r="AH43" s="14">
        <v>3341.3708762962174</v>
      </c>
      <c r="AI43" s="14">
        <v>53.547610197054766</v>
      </c>
      <c r="AJ43" s="14">
        <v>2.2223588173207878</v>
      </c>
      <c r="AK43" s="14">
        <v>1503.524476</v>
      </c>
      <c r="AL43" s="14">
        <v>3.0000000000000001E-3</v>
      </c>
      <c r="AM43" s="14">
        <v>0.30499999999999999</v>
      </c>
      <c r="AN43" s="14">
        <v>0.30199999999999999</v>
      </c>
      <c r="AO43" s="14">
        <v>0.30499999999999999</v>
      </c>
      <c r="AP43" s="14">
        <v>-0.49423393739703508</v>
      </c>
      <c r="AQ43" s="14">
        <v>0.22800000000000001</v>
      </c>
      <c r="AR43" s="14">
        <v>0.222</v>
      </c>
      <c r="AS43" s="14">
        <v>0.22800000000000001</v>
      </c>
      <c r="AT43" s="14">
        <v>-1.3333333333333344</v>
      </c>
      <c r="AU43" s="14">
        <f t="shared" si="0"/>
        <v>0.53300000000000003</v>
      </c>
      <c r="AV43" s="14">
        <v>0.55400000000000005</v>
      </c>
      <c r="AW43" s="14">
        <v>2491.3389319999997</v>
      </c>
      <c r="AX43" s="14">
        <v>39.92530339743589</v>
      </c>
      <c r="AY43" s="14">
        <v>1255.8855590000001</v>
      </c>
      <c r="AZ43" s="14">
        <v>1333.232117</v>
      </c>
      <c r="BA43" s="14">
        <v>-2.9873712854757075</v>
      </c>
      <c r="BB43" s="14">
        <v>1188.9859932590168</v>
      </c>
      <c r="BC43" s="14">
        <v>19.054262712484245</v>
      </c>
      <c r="BD43" s="14">
        <v>600.97915831125829</v>
      </c>
      <c r="BE43" s="14">
        <v>593.94240651803284</v>
      </c>
      <c r="BF43" s="14">
        <v>0.58888817478415267</v>
      </c>
      <c r="BG43" s="14">
        <v>3845.3819640000002</v>
      </c>
      <c r="BH43" s="14">
        <v>61.624710961538469</v>
      </c>
      <c r="BI43" s="14">
        <v>1978.5143740000001</v>
      </c>
      <c r="BJ43" s="14">
        <v>1876.1910459999999</v>
      </c>
      <c r="BK43" s="14">
        <v>2.6545044783214631</v>
      </c>
      <c r="BL43" s="14">
        <v>54.76837900000001</v>
      </c>
      <c r="BM43" s="14">
        <v>107.354671</v>
      </c>
      <c r="BN43" s="14">
        <v>135.37905900000001</v>
      </c>
      <c r="BO43" s="14">
        <v>-11.545320874853287</v>
      </c>
      <c r="BP43" s="14">
        <v>202.51855800000001</v>
      </c>
      <c r="BQ43" s="14">
        <v>108.130123</v>
      </c>
      <c r="BR43" s="14">
        <v>94.478603000000007</v>
      </c>
      <c r="BS43" s="14">
        <v>6.7378736688764294</v>
      </c>
      <c r="BT43" s="14">
        <v>13.138901798245614</v>
      </c>
      <c r="BU43" s="14">
        <v>-80.906125013513517</v>
      </c>
      <c r="BV43" s="14">
        <v>91.893850692982454</v>
      </c>
      <c r="BW43" s="14">
        <v>-1572.6637226608282</v>
      </c>
      <c r="BX43" s="14">
        <v>-60.039280473684208</v>
      </c>
      <c r="BY43" s="14">
        <v>-31.511876265765771</v>
      </c>
      <c r="BZ43" s="14">
        <v>-29.450233750000006</v>
      </c>
      <c r="CA43" s="14">
        <v>3.3818424513728145</v>
      </c>
      <c r="CB43" s="14">
        <v>0.86381122171734059</v>
      </c>
      <c r="CC43" s="14">
        <v>0.78567969437721152</v>
      </c>
      <c r="CD43" s="14">
        <v>0.78566984187882116</v>
      </c>
      <c r="CE43" s="14">
        <v>692.59056713601387</v>
      </c>
      <c r="CF43" s="14">
        <v>2303.6171587696326</v>
      </c>
      <c r="CG43" s="14">
        <v>-53.768855133255599</v>
      </c>
      <c r="CH43" s="14">
        <v>1028.1565899748812</v>
      </c>
      <c r="CI43" s="14">
        <v>1067.213329548249</v>
      </c>
      <c r="CJ43" s="14">
        <v>5393.8999048032811</v>
      </c>
      <c r="CK43" s="14">
        <v>16.476868429084636</v>
      </c>
      <c r="CL43" s="14">
        <v>17.102777717119377</v>
      </c>
      <c r="CM43" s="14">
        <v>86.440703602616679</v>
      </c>
      <c r="CN43" s="14">
        <v>62.237150476962874</v>
      </c>
      <c r="CO43" s="35"/>
    </row>
    <row r="44" spans="1:93" s="8" customFormat="1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6"/>
      <c r="K44" s="14">
        <v>0.34174213920000002</v>
      </c>
      <c r="L44" s="14">
        <v>0.3483441638919107</v>
      </c>
      <c r="M44" s="14">
        <v>2.6142900557434898</v>
      </c>
      <c r="N44" s="14">
        <v>469562.06753099983</v>
      </c>
      <c r="O44" s="14">
        <v>207312.42116699999</v>
      </c>
      <c r="P44" s="14">
        <v>207311.33914500001</v>
      </c>
      <c r="Q44" s="14">
        <v>1311.6369691256984</v>
      </c>
      <c r="R44" s="14">
        <v>17.034246352281798</v>
      </c>
      <c r="S44" s="14">
        <v>585.6290725225989</v>
      </c>
      <c r="T44" s="14">
        <v>732.57204244972058</v>
      </c>
      <c r="U44" s="14">
        <v>-11.147234534861344</v>
      </c>
      <c r="V44" s="14">
        <v>1.4047818257176838</v>
      </c>
      <c r="W44" s="14">
        <v>1842.5637761672081</v>
      </c>
      <c r="X44" s="14">
        <v>23.929399690483223</v>
      </c>
      <c r="Y44" s="14">
        <v>1639.7691300000001</v>
      </c>
      <c r="Z44" s="14">
        <v>21.295702987012987</v>
      </c>
      <c r="AA44" s="14">
        <v>781.20224800000005</v>
      </c>
      <c r="AB44" s="14">
        <v>860.92927199999997</v>
      </c>
      <c r="AC44" s="14">
        <v>-4.8550937016299356</v>
      </c>
      <c r="AD44" s="14">
        <v>597.17266623376838</v>
      </c>
      <c r="AE44" s="14">
        <v>0.9545869810055867</v>
      </c>
      <c r="AF44" s="14">
        <v>0.97302839075952707</v>
      </c>
      <c r="AG44" s="14">
        <v>7.3024861892276194</v>
      </c>
      <c r="AH44" s="14">
        <v>3866.337101633615</v>
      </c>
      <c r="AI44" s="14">
        <v>50.212170151085907</v>
      </c>
      <c r="AJ44" s="14">
        <v>2.4782683702055408</v>
      </c>
      <c r="AK44" s="14">
        <v>1560.0962140000001</v>
      </c>
      <c r="AL44" s="14">
        <v>-8.0000000000000002E-3</v>
      </c>
      <c r="AM44" s="14">
        <v>0.38600000000000001</v>
      </c>
      <c r="AN44" s="14">
        <v>0.38600000000000001</v>
      </c>
      <c r="AO44" s="14">
        <v>0.378</v>
      </c>
      <c r="AP44" s="14">
        <v>1.0471204188481684</v>
      </c>
      <c r="AQ44" s="14">
        <v>0.35799999999999998</v>
      </c>
      <c r="AR44" s="14">
        <v>0.35399999999999998</v>
      </c>
      <c r="AS44" s="14">
        <v>0.35799999999999998</v>
      </c>
      <c r="AT44" s="14">
        <v>-0.56179775280898925</v>
      </c>
      <c r="AU44" s="14">
        <f t="shared" si="0"/>
        <v>0.74399999999999999</v>
      </c>
      <c r="AV44" s="14">
        <v>0.52800000000000002</v>
      </c>
      <c r="AW44" s="14">
        <v>3739.1634409999997</v>
      </c>
      <c r="AX44" s="14">
        <v>48.560564168831164</v>
      </c>
      <c r="AY44" s="14">
        <v>1439.0178599999999</v>
      </c>
      <c r="AZ44" s="14">
        <v>2396.5898630000002</v>
      </c>
      <c r="BA44" s="14">
        <v>-24.965326804875669</v>
      </c>
      <c r="BB44" s="14">
        <v>1314.1488250103625</v>
      </c>
      <c r="BC44" s="14">
        <v>17.066867857277437</v>
      </c>
      <c r="BD44" s="14">
        <v>488.93576830310872</v>
      </c>
      <c r="BE44" s="14">
        <v>842.68103205026466</v>
      </c>
      <c r="BF44" s="14">
        <v>-26.565094676883167</v>
      </c>
      <c r="BG44" s="14">
        <v>5748.4251920000006</v>
      </c>
      <c r="BH44" s="14">
        <v>74.654872623376633</v>
      </c>
      <c r="BI44" s="14">
        <v>2303.824423</v>
      </c>
      <c r="BJ44" s="14">
        <v>3444.6007690000001</v>
      </c>
      <c r="BK44" s="14">
        <v>-19.84502377429564</v>
      </c>
      <c r="BL44" s="14">
        <v>58.573494000000004</v>
      </c>
      <c r="BM44" s="14">
        <v>114.874729</v>
      </c>
      <c r="BN44" s="14">
        <v>63.478656999999998</v>
      </c>
      <c r="BO44" s="14">
        <v>28.816986967659812</v>
      </c>
      <c r="BP44" s="14">
        <v>142.80894499999999</v>
      </c>
      <c r="BQ44" s="14">
        <v>63.749163000000003</v>
      </c>
      <c r="BR44" s="14">
        <v>79.763096000000004</v>
      </c>
      <c r="BS44" s="14">
        <v>-11.158581929924189</v>
      </c>
      <c r="BT44" s="14">
        <v>-15.81954259497207</v>
      </c>
      <c r="BU44" s="14">
        <v>-59.00792726271186</v>
      </c>
      <c r="BV44" s="14">
        <v>42.523990491620104</v>
      </c>
      <c r="BW44" s="14">
        <v>615.94459602872746</v>
      </c>
      <c r="BX44" s="14">
        <v>-24.142603287709495</v>
      </c>
      <c r="BY44" s="14">
        <v>-4.8991067909604515</v>
      </c>
      <c r="BZ44" s="14">
        <v>-19.314253891061458</v>
      </c>
      <c r="CA44" s="14">
        <v>-59.533855252088387</v>
      </c>
      <c r="CB44" s="14">
        <v>0.89062147712837214</v>
      </c>
      <c r="CC44" s="14">
        <v>0.8138997423012464</v>
      </c>
      <c r="CD44" s="14">
        <v>0.85735323024282639</v>
      </c>
      <c r="CE44" s="14">
        <v>1243.3691693779829</v>
      </c>
      <c r="CF44" s="14">
        <v>-646.19650314421608</v>
      </c>
      <c r="CG44" s="14">
        <v>316.41864729664587</v>
      </c>
      <c r="CH44" s="14">
        <v>569.23485423277964</v>
      </c>
      <c r="CI44" s="14">
        <v>16140.16126025156</v>
      </c>
      <c r="CJ44" s="14">
        <v>22146.238880940244</v>
      </c>
      <c r="CK44" s="14">
        <v>7.392660444581554</v>
      </c>
      <c r="CL44" s="14">
        <v>209.61248389937091</v>
      </c>
      <c r="CM44" s="14">
        <v>287.61349196026288</v>
      </c>
      <c r="CN44" s="14">
        <v>71.263558842652913</v>
      </c>
      <c r="CO44" s="35"/>
    </row>
    <row r="45" spans="1:93" s="8" customFormat="1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6"/>
      <c r="K45" s="14">
        <v>0.42094554792499994</v>
      </c>
      <c r="L45" s="14">
        <v>0.46539317018057635</v>
      </c>
      <c r="M45" s="14">
        <v>3.0217567736240634</v>
      </c>
      <c r="N45" s="14">
        <v>362477.46803799976</v>
      </c>
      <c r="O45" s="14">
        <v>180177.87397700018</v>
      </c>
      <c r="P45" s="14">
        <v>180176.37717900018</v>
      </c>
      <c r="Q45" s="14">
        <v>1726.1034475857139</v>
      </c>
      <c r="R45" s="14">
        <v>23.973658994246026</v>
      </c>
      <c r="S45" s="14">
        <v>866.25295721634586</v>
      </c>
      <c r="T45" s="14">
        <v>868.12963009523799</v>
      </c>
      <c r="U45" s="14">
        <v>-0.10820408902980853</v>
      </c>
      <c r="V45" s="14">
        <v>1.9569013939334483</v>
      </c>
      <c r="W45" s="14">
        <v>3377.8142426538143</v>
      </c>
      <c r="X45" s="14">
        <v>46.9140867035252</v>
      </c>
      <c r="Y45" s="14">
        <v>2312.8592760000001</v>
      </c>
      <c r="Z45" s="14">
        <v>32.123045500000003</v>
      </c>
      <c r="AA45" s="14">
        <v>1126.926483</v>
      </c>
      <c r="AB45" s="14">
        <v>1198.3580469999999</v>
      </c>
      <c r="AC45" s="14">
        <v>-3.0719493927910828</v>
      </c>
      <c r="AD45" s="14">
        <v>-3472.3259499111446</v>
      </c>
      <c r="AE45" s="14">
        <v>2.0045026091666664</v>
      </c>
      <c r="AF45" s="14">
        <v>2.21615795324084</v>
      </c>
      <c r="AG45" s="14">
        <v>14.389317969638398</v>
      </c>
      <c r="AH45" s="14">
        <v>4678.9300040887092</v>
      </c>
      <c r="AI45" s="14">
        <v>64.985138945676511</v>
      </c>
      <c r="AJ45" s="14">
        <v>2.7150117191492562</v>
      </c>
      <c r="AK45" s="14">
        <v>1723.355362</v>
      </c>
      <c r="AL45" s="14">
        <v>6.0000000000000001E-3</v>
      </c>
      <c r="AM45" s="14">
        <v>0.16500000000000001</v>
      </c>
      <c r="AN45" s="14">
        <v>0.159</v>
      </c>
      <c r="AO45" s="14">
        <v>0.16500000000000001</v>
      </c>
      <c r="AP45" s="14">
        <v>-1.8518518518518534</v>
      </c>
      <c r="AQ45" s="14">
        <v>0.21</v>
      </c>
      <c r="AR45" s="14">
        <v>0.20799999999999999</v>
      </c>
      <c r="AS45" s="14">
        <v>0.21</v>
      </c>
      <c r="AT45" s="14">
        <v>-0.47846889952153149</v>
      </c>
      <c r="AU45" s="14">
        <f t="shared" si="0"/>
        <v>0.375</v>
      </c>
      <c r="AV45" s="14">
        <v>0.58599999999999997</v>
      </c>
      <c r="AW45" s="14">
        <v>2989.6824489999999</v>
      </c>
      <c r="AX45" s="14">
        <v>41.523367347222219</v>
      </c>
      <c r="AY45" s="14">
        <v>1558.9781190000001</v>
      </c>
      <c r="AZ45" s="14">
        <v>1559.086311</v>
      </c>
      <c r="BA45" s="14">
        <v>-3.4698449127273882E-3</v>
      </c>
      <c r="BB45" s="14">
        <v>1939.3242313333335</v>
      </c>
      <c r="BC45" s="14">
        <v>26.93505876851852</v>
      </c>
      <c r="BD45" s="14">
        <v>941.91708565408794</v>
      </c>
      <c r="BE45" s="14">
        <v>1031.7169304181818</v>
      </c>
      <c r="BF45" s="14">
        <v>-4.549974515680705</v>
      </c>
      <c r="BG45" s="14">
        <v>5712.1414330000007</v>
      </c>
      <c r="BH45" s="14">
        <v>79.33529768055557</v>
      </c>
      <c r="BI45" s="14">
        <v>3154.4925840000001</v>
      </c>
      <c r="BJ45" s="14">
        <v>2576.5661930000001</v>
      </c>
      <c r="BK45" s="14">
        <v>10.084112089712738</v>
      </c>
      <c r="BL45" s="14">
        <v>33.145955999999998</v>
      </c>
      <c r="BM45" s="14">
        <v>156.424395</v>
      </c>
      <c r="BN45" s="14">
        <v>143.20568700000001</v>
      </c>
      <c r="BO45" s="14">
        <v>4.4116758610372075</v>
      </c>
      <c r="BP45" s="14">
        <v>281.90294799999998</v>
      </c>
      <c r="BQ45" s="14">
        <v>134.657703</v>
      </c>
      <c r="BR45" s="14">
        <v>148.05675299999999</v>
      </c>
      <c r="BS45" s="14">
        <v>-4.7394286764027331</v>
      </c>
      <c r="BT45" s="14">
        <v>-10.348600666666668</v>
      </c>
      <c r="BU45" s="14">
        <v>-127.71655011057689</v>
      </c>
      <c r="BV45" s="14">
        <v>116.1467064857143</v>
      </c>
      <c r="BW45" s="14">
        <v>2107.7489420189772</v>
      </c>
      <c r="BX45" s="14">
        <v>-195.25698246190476</v>
      </c>
      <c r="BY45" s="14">
        <v>-96.384367639423076</v>
      </c>
      <c r="BZ45" s="14">
        <v>-99.802841280952379</v>
      </c>
      <c r="CA45" s="14">
        <v>-1.7424549033248773</v>
      </c>
      <c r="CB45" s="14">
        <v>0.88011418876895475</v>
      </c>
      <c r="CC45" s="14">
        <v>0.79472472740981237</v>
      </c>
      <c r="CD45" s="14">
        <v>0.80447205006787748</v>
      </c>
      <c r="CE45" s="14">
        <v>-1045.4122631578948</v>
      </c>
      <c r="CF45" s="14">
        <v>-2426.913686753247</v>
      </c>
      <c r="CG45" s="14">
        <v>-39.78605244794791</v>
      </c>
      <c r="CH45" s="14">
        <v>6993.1279608370214</v>
      </c>
      <c r="CI45" s="14">
        <v>6856.6375993732372</v>
      </c>
      <c r="CJ45" s="14">
        <v>15335.299207593986</v>
      </c>
      <c r="CK45" s="14">
        <v>97.12677723384752</v>
      </c>
      <c r="CL45" s="14">
        <v>95.231077769072741</v>
      </c>
      <c r="CM45" s="14">
        <v>212.99026677213868</v>
      </c>
      <c r="CN45" s="14">
        <v>57.368367619567209</v>
      </c>
      <c r="CO45" s="35"/>
    </row>
    <row r="46" spans="1:93" s="8" customFormat="1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6"/>
      <c r="R46" s="14"/>
      <c r="X46" s="14"/>
      <c r="Z46" s="14"/>
      <c r="AI46" s="14"/>
      <c r="AU46" s="14">
        <f t="shared" si="0"/>
        <v>0</v>
      </c>
      <c r="AX46" s="14"/>
      <c r="BC46" s="14"/>
      <c r="BH46" s="14"/>
      <c r="CO46" s="35"/>
    </row>
    <row r="47" spans="1:93" s="8" customFormat="1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6"/>
      <c r="R47" s="14"/>
      <c r="X47" s="14"/>
      <c r="Z47" s="14"/>
      <c r="AI47" s="14"/>
      <c r="AU47" s="14">
        <f t="shared" si="0"/>
        <v>0</v>
      </c>
      <c r="AX47" s="14"/>
      <c r="BC47" s="14"/>
      <c r="BH47" s="14"/>
      <c r="CO47" s="35"/>
    </row>
    <row r="48" spans="1:93" s="8" customFormat="1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6"/>
      <c r="L48" s="14"/>
      <c r="R48" s="14"/>
      <c r="X48" s="14"/>
      <c r="Z48" s="14"/>
      <c r="AI48" s="14"/>
      <c r="AU48" s="14">
        <f t="shared" si="0"/>
        <v>0</v>
      </c>
      <c r="AX48" s="14"/>
      <c r="BC48" s="14"/>
      <c r="BH48" s="14"/>
      <c r="CO48" s="35"/>
    </row>
    <row r="49" spans="1:93" s="8" customFormat="1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6"/>
      <c r="K49" s="8">
        <v>0.49896725532499997</v>
      </c>
      <c r="L49" s="8">
        <v>0.46301821296649553</v>
      </c>
      <c r="M49" s="8">
        <v>3.0140367181576675</v>
      </c>
      <c r="N49" s="8">
        <v>338947.26424899983</v>
      </c>
      <c r="O49" s="8">
        <v>172441.89949100005</v>
      </c>
      <c r="P49" s="8">
        <v>172434.05482800005</v>
      </c>
      <c r="Q49" s="8">
        <v>1661.5749729117649</v>
      </c>
      <c r="R49" s="14">
        <v>24.434926072231836</v>
      </c>
      <c r="S49" s="8">
        <v>845.33375025980388</v>
      </c>
      <c r="T49" s="8">
        <v>816.24122265196092</v>
      </c>
      <c r="U49" s="8">
        <v>1.7509006865251975</v>
      </c>
      <c r="V49" s="8">
        <v>1.9218414463051914</v>
      </c>
      <c r="W49" s="8">
        <v>3193.2836490852555</v>
      </c>
      <c r="X49" s="14">
        <v>46.960053663018464</v>
      </c>
      <c r="Y49" s="8">
        <v>2154.8118249999998</v>
      </c>
      <c r="Z49" s="14">
        <v>31.688409191176468</v>
      </c>
      <c r="AA49" s="8">
        <v>1080.435577</v>
      </c>
      <c r="AB49" s="8">
        <v>1078.055145</v>
      </c>
      <c r="AC49" s="8">
        <v>0.1102822437797779</v>
      </c>
      <c r="AD49" s="8">
        <v>-1748.2487018455749</v>
      </c>
      <c r="AE49" s="8">
        <v>2.4459179182598039</v>
      </c>
      <c r="AF49" s="8">
        <v>2.2696971223847822</v>
      </c>
      <c r="AG49" s="8">
        <v>14.774689794890527</v>
      </c>
      <c r="AH49" s="8">
        <v>4583.802040916361</v>
      </c>
      <c r="AI49" s="14">
        <v>67.408853542887655</v>
      </c>
      <c r="AJ49" s="8">
        <v>2.782389803102026</v>
      </c>
      <c r="AK49" s="8">
        <v>1647.4334530000001</v>
      </c>
      <c r="AL49" s="8">
        <v>-3.0000000000000001E-3</v>
      </c>
      <c r="AM49" s="8">
        <v>0.193</v>
      </c>
      <c r="AN49" s="8">
        <v>0.193</v>
      </c>
      <c r="AO49" s="8">
        <v>0.19</v>
      </c>
      <c r="AP49" s="8">
        <v>0.78328981723237656</v>
      </c>
      <c r="AQ49" s="8">
        <v>0.20399999999999999</v>
      </c>
      <c r="AR49" s="8">
        <v>0.20399999999999999</v>
      </c>
      <c r="AS49" s="8">
        <v>0.20399999999999999</v>
      </c>
      <c r="AT49" s="8">
        <v>0</v>
      </c>
      <c r="AU49" s="14">
        <f t="shared" si="0"/>
        <v>0.39700000000000002</v>
      </c>
      <c r="AV49" s="8">
        <v>0.63800000000000001</v>
      </c>
      <c r="AW49" s="8">
        <v>2090.1971089999997</v>
      </c>
      <c r="AX49" s="14">
        <v>30.738192779411762</v>
      </c>
      <c r="AY49" s="8">
        <v>1331.536957</v>
      </c>
      <c r="AZ49" s="8">
        <v>1048.1011510000001</v>
      </c>
      <c r="BA49" s="8">
        <v>11.910878593141103</v>
      </c>
      <c r="BB49" s="8">
        <v>1661.6798030518137</v>
      </c>
      <c r="BC49" s="14">
        <v>24.436467691938436</v>
      </c>
      <c r="BD49" s="8">
        <v>864.53229043523311</v>
      </c>
      <c r="BE49" s="8">
        <v>809.8346614052632</v>
      </c>
      <c r="BF49" s="8">
        <v>3.2667647297890836</v>
      </c>
      <c r="BG49" s="8">
        <v>3521.622824</v>
      </c>
      <c r="BH49" s="14">
        <v>51.788570941176474</v>
      </c>
      <c r="BI49" s="8">
        <v>1702.273899</v>
      </c>
      <c r="BJ49" s="8">
        <v>1987.56728</v>
      </c>
      <c r="BK49" s="8">
        <v>-7.7318607267892911</v>
      </c>
      <c r="BL49" s="8">
        <v>34.606690999999998</v>
      </c>
      <c r="BM49" s="8">
        <v>154.24231700000001</v>
      </c>
      <c r="BN49" s="8">
        <v>179.417374</v>
      </c>
      <c r="BO49" s="8">
        <v>-7.5451298670656568</v>
      </c>
      <c r="BP49" s="8">
        <v>117.561752</v>
      </c>
      <c r="BQ49" s="8">
        <v>67.391971999999996</v>
      </c>
      <c r="BR49" s="8">
        <v>51.774777999999998</v>
      </c>
      <c r="BS49" s="8">
        <v>13.105328457812265</v>
      </c>
      <c r="BT49" s="8">
        <v>13.765643235294116</v>
      </c>
      <c r="BU49" s="8">
        <v>-105.81827047549021</v>
      </c>
      <c r="BV49" s="8">
        <v>119.58391371078434</v>
      </c>
      <c r="BW49" s="8">
        <v>-1637.4257296481383</v>
      </c>
      <c r="BX49" s="8">
        <v>-19.683617019607844</v>
      </c>
      <c r="BY49" s="8">
        <v>-18.98127469117647</v>
      </c>
      <c r="BZ49" s="8">
        <v>-0.70234232843137279</v>
      </c>
      <c r="CA49" s="8">
        <v>92.863686305908757</v>
      </c>
      <c r="CB49" s="8">
        <v>0.93403998937020816</v>
      </c>
      <c r="CC49" s="8">
        <v>0.82978310550963941</v>
      </c>
      <c r="CD49" s="8">
        <v>0.82341597914331999</v>
      </c>
      <c r="CE49" s="8">
        <v>-502.54351014355751</v>
      </c>
      <c r="CF49" s="8">
        <v>-1245.7051917020149</v>
      </c>
      <c r="CG49" s="8">
        <v>-42.508922258825322</v>
      </c>
      <c r="CH49" s="8">
        <v>3115.5398686699486</v>
      </c>
      <c r="CI49" s="8">
        <v>2594.6649667583897</v>
      </c>
      <c r="CJ49" s="8">
        <v>6653.5812554311815</v>
      </c>
      <c r="CK49" s="8">
        <v>45.816762774558072</v>
      </c>
      <c r="CL49" s="8">
        <v>38.156837746446911</v>
      </c>
      <c r="CM49" s="8">
        <v>97.846783168105617</v>
      </c>
      <c r="CN49" s="8">
        <v>33.917432903692713</v>
      </c>
      <c r="CO49" s="35"/>
    </row>
    <row r="50" spans="1:93" s="8" customFormat="1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6"/>
      <c r="K50" s="8">
        <v>0.38855050548124992</v>
      </c>
      <c r="L50" s="8">
        <v>0.29763660270078907</v>
      </c>
      <c r="M50" s="8">
        <v>2.4165326699611329</v>
      </c>
      <c r="N50" s="8">
        <v>390153.2605539998</v>
      </c>
      <c r="O50" s="8">
        <v>202668.95714100005</v>
      </c>
      <c r="P50" s="8">
        <v>202650.38242000004</v>
      </c>
      <c r="Q50" s="8">
        <v>1500.7228437576923</v>
      </c>
      <c r="R50" s="14">
        <v>18.996491693135347</v>
      </c>
      <c r="S50" s="8">
        <v>779.56444773846158</v>
      </c>
      <c r="T50" s="8">
        <v>729.76253811284039</v>
      </c>
      <c r="U50" s="8">
        <v>3.2996103622656392</v>
      </c>
      <c r="V50" s="8">
        <v>1.4812678301104463</v>
      </c>
      <c r="W50" s="8">
        <v>2222.9724703701354</v>
      </c>
      <c r="X50" s="14">
        <v>28.138892030001713</v>
      </c>
      <c r="Y50" s="8">
        <v>1994.7987859999998</v>
      </c>
      <c r="Z50" s="14">
        <v>25.250617544303797</v>
      </c>
      <c r="AA50" s="8">
        <v>1061.9510459999999</v>
      </c>
      <c r="AB50" s="8">
        <v>932.84774000000004</v>
      </c>
      <c r="AC50" s="8">
        <v>6.4719964191917185</v>
      </c>
      <c r="AD50" s="8">
        <v>-4771.5763873410651</v>
      </c>
      <c r="AE50" s="8">
        <v>1.4944250210817305</v>
      </c>
      <c r="AF50" s="8">
        <v>1.144756164233804</v>
      </c>
      <c r="AG50" s="8">
        <v>9.294356422927434</v>
      </c>
      <c r="AH50" s="8">
        <v>3591.9236766497711</v>
      </c>
      <c r="AI50" s="14">
        <v>45.467388312022422</v>
      </c>
      <c r="AJ50" s="8">
        <v>2.2808852761624658</v>
      </c>
      <c r="AK50" s="8">
        <v>1574.793662</v>
      </c>
      <c r="AL50" s="8">
        <v>7.0000000000000001E-3</v>
      </c>
      <c r="AM50" s="8">
        <v>0.22700000000000001</v>
      </c>
      <c r="AN50" s="8">
        <v>0.22</v>
      </c>
      <c r="AO50" s="8">
        <v>0.22700000000000001</v>
      </c>
      <c r="AP50" s="8">
        <v>-1.5659955257270708</v>
      </c>
      <c r="AQ50" s="8">
        <v>0.26</v>
      </c>
      <c r="AR50" s="8">
        <v>0.26</v>
      </c>
      <c r="AS50" s="8">
        <v>0.25700000000000001</v>
      </c>
      <c r="AT50" s="8">
        <v>0.580270793036751</v>
      </c>
      <c r="AU50" s="14">
        <f t="shared" si="0"/>
        <v>0.48699999999999999</v>
      </c>
      <c r="AV50" s="8">
        <v>0.56299999999999994</v>
      </c>
      <c r="AW50" s="8">
        <v>2035.5909980000001</v>
      </c>
      <c r="AX50" s="14">
        <v>25.766974658227848</v>
      </c>
      <c r="AY50" s="8">
        <v>1090.6426819999999</v>
      </c>
      <c r="AZ50" s="8">
        <v>1061.482162</v>
      </c>
      <c r="BA50" s="8">
        <v>1.3549641453792867</v>
      </c>
      <c r="BB50" s="8">
        <v>1754.0145811453742</v>
      </c>
      <c r="BC50" s="14">
        <v>22.202716217030055</v>
      </c>
      <c r="BD50" s="8">
        <v>935.28038325909108</v>
      </c>
      <c r="BE50" s="8">
        <v>848.08213480616746</v>
      </c>
      <c r="BF50" s="8">
        <v>4.8895413899089686</v>
      </c>
      <c r="BG50" s="8">
        <v>3501.1004460000004</v>
      </c>
      <c r="BH50" s="14">
        <v>44.317727164556963</v>
      </c>
      <c r="BI50" s="8">
        <v>2493.0160940000001</v>
      </c>
      <c r="BJ50" s="8">
        <v>1482.0823800000001</v>
      </c>
      <c r="BK50" s="8">
        <v>25.431664664717935</v>
      </c>
      <c r="BL50" s="8">
        <v>37.456017000000003</v>
      </c>
      <c r="BM50" s="8">
        <v>58.375117000000003</v>
      </c>
      <c r="BN50" s="8">
        <v>95.560625000000002</v>
      </c>
      <c r="BO50" s="8">
        <v>-24.156513306701697</v>
      </c>
      <c r="BP50" s="8">
        <v>99.437873999999994</v>
      </c>
      <c r="BQ50" s="8">
        <v>61.350678000000002</v>
      </c>
      <c r="BR50" s="8">
        <v>57.671802</v>
      </c>
      <c r="BS50" s="8">
        <v>3.0909085409747825</v>
      </c>
      <c r="BT50" s="8">
        <v>20.511610446153842</v>
      </c>
      <c r="BU50" s="8">
        <v>-34.849657765384613</v>
      </c>
      <c r="BV50" s="8">
        <v>56.027858023346305</v>
      </c>
      <c r="BW50" s="8">
        <v>-429.10877544736883</v>
      </c>
      <c r="BX50" s="8">
        <v>-28.084936088461536</v>
      </c>
      <c r="BY50" s="8">
        <v>2.1607851615384615</v>
      </c>
      <c r="BZ50" s="8">
        <v>-30.295298556420228</v>
      </c>
      <c r="CA50" s="8">
        <v>-115.3603876577553</v>
      </c>
      <c r="CB50" s="8">
        <v>0.93578160094228247</v>
      </c>
      <c r="CC50" s="8">
        <v>0.89868144077472023</v>
      </c>
      <c r="CD50" s="8">
        <v>0.85891241580880462</v>
      </c>
      <c r="CE50" s="8">
        <v>-2950.9812696103791</v>
      </c>
      <c r="CF50" s="8">
        <v>-1820.5951177306854</v>
      </c>
      <c r="CG50" s="8">
        <v>23.689993832616718</v>
      </c>
      <c r="CH50" s="8">
        <v>2084.9302960527448</v>
      </c>
      <c r="CI50" s="8">
        <v>1942.4041606535009</v>
      </c>
      <c r="CJ50" s="8">
        <v>5562.7643618481989</v>
      </c>
      <c r="CK50" s="8">
        <v>26.39152273484487</v>
      </c>
      <c r="CL50" s="8">
        <v>24.587394438651909</v>
      </c>
      <c r="CM50" s="8">
        <v>70.414738757572138</v>
      </c>
      <c r="CN50" s="8">
        <v>16.983087336290144</v>
      </c>
      <c r="CO50" s="35"/>
    </row>
    <row r="51" spans="1:93" s="8" customFormat="1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6"/>
      <c r="K51" s="8">
        <v>0.37894856930000009</v>
      </c>
      <c r="L51" s="8">
        <v>0.3250279479865788</v>
      </c>
      <c r="M51" s="8">
        <v>2.5252818336765257</v>
      </c>
      <c r="N51" s="8">
        <v>391941.19490600022</v>
      </c>
      <c r="O51" s="8">
        <v>193686.88974200026</v>
      </c>
      <c r="P51" s="8">
        <v>193681.13698900025</v>
      </c>
      <c r="Q51" s="8">
        <v>1404.8644831756278</v>
      </c>
      <c r="R51" s="14">
        <v>18.731526442341703</v>
      </c>
      <c r="S51" s="8">
        <v>714.74644023985229</v>
      </c>
      <c r="T51" s="8">
        <v>710.91493617204321</v>
      </c>
      <c r="U51" s="8">
        <v>0.26875274389856918</v>
      </c>
      <c r="V51" s="8">
        <v>1.6556218987413054</v>
      </c>
      <c r="W51" s="8">
        <v>2325.9244031094554</v>
      </c>
      <c r="X51" s="14">
        <v>31.012325374792738</v>
      </c>
      <c r="Y51" s="8">
        <v>2007.0436319999999</v>
      </c>
      <c r="Z51" s="14">
        <v>26.760581759999997</v>
      </c>
      <c r="AA51" s="8">
        <v>983.52245300000004</v>
      </c>
      <c r="AB51" s="8">
        <v>1023.521179</v>
      </c>
      <c r="AC51" s="8">
        <v>-1.9929176108713476</v>
      </c>
      <c r="AD51" s="8">
        <v>-5280.1661373479546</v>
      </c>
      <c r="AE51" s="8">
        <v>1.3582385996415773</v>
      </c>
      <c r="AF51" s="8">
        <v>1.1649747239662323</v>
      </c>
      <c r="AG51" s="8">
        <v>9.051189368016221</v>
      </c>
      <c r="AH51" s="8">
        <v>3503.913460383244</v>
      </c>
      <c r="AI51" s="14">
        <v>46.718846138443254</v>
      </c>
      <c r="AJ51" s="8">
        <v>2.4268743927297205</v>
      </c>
      <c r="AK51" s="8">
        <v>1443.796791</v>
      </c>
      <c r="AL51" s="8">
        <v>4.2999999999999997E-2</v>
      </c>
      <c r="AM51" s="8">
        <v>0.27</v>
      </c>
      <c r="AN51" s="8">
        <v>0.22700000000000001</v>
      </c>
      <c r="AO51" s="8">
        <v>0.27</v>
      </c>
      <c r="AP51" s="8">
        <v>-8.6519114688128802</v>
      </c>
      <c r="AQ51" s="8">
        <v>0.27900000000000003</v>
      </c>
      <c r="AR51" s="8">
        <v>0.27100000000000002</v>
      </c>
      <c r="AS51" s="8">
        <v>0.27900000000000003</v>
      </c>
      <c r="AT51" s="8">
        <v>-1.4545454545454557</v>
      </c>
      <c r="AU51" s="14">
        <f t="shared" si="0"/>
        <v>0.54900000000000004</v>
      </c>
      <c r="AV51" s="8">
        <v>0.55600000000000005</v>
      </c>
      <c r="AW51" s="8">
        <v>1814.0649149999999</v>
      </c>
      <c r="AX51" s="14">
        <v>24.1875322</v>
      </c>
      <c r="AY51" s="8">
        <v>978.90583000000004</v>
      </c>
      <c r="AZ51" s="8">
        <v>1388.902206</v>
      </c>
      <c r="BA51" s="8">
        <v>-17.315439839988784</v>
      </c>
      <c r="BB51" s="8">
        <v>1518.9039998000005</v>
      </c>
      <c r="BC51" s="14">
        <v>20.252053330666673</v>
      </c>
      <c r="BD51" s="8">
        <v>798.18349392951541</v>
      </c>
      <c r="BE51" s="8">
        <v>849.35638827777791</v>
      </c>
      <c r="BF51" s="8">
        <v>-3.1060185492871684</v>
      </c>
      <c r="BG51" s="8">
        <v>3721.1838070000003</v>
      </c>
      <c r="BH51" s="14">
        <v>49.615784093333339</v>
      </c>
      <c r="BI51" s="8">
        <v>1634.773766</v>
      </c>
      <c r="BJ51" s="8">
        <v>2258.9384770000001</v>
      </c>
      <c r="BK51" s="8">
        <v>-16.030067761738298</v>
      </c>
      <c r="BL51" s="8">
        <v>44.903938000000004</v>
      </c>
      <c r="BM51" s="8">
        <v>111.520458</v>
      </c>
      <c r="BN51" s="8">
        <v>69.519948999999997</v>
      </c>
      <c r="BO51" s="8">
        <v>23.199521971909842</v>
      </c>
      <c r="BP51" s="8">
        <v>117.38141300000001</v>
      </c>
      <c r="BQ51" s="8">
        <v>88.779953000000006</v>
      </c>
      <c r="BR51" s="8">
        <v>44.074387999999999</v>
      </c>
      <c r="BS51" s="8">
        <v>33.650059654430116</v>
      </c>
      <c r="BT51" s="8">
        <v>-10.819772960573477</v>
      </c>
      <c r="BU51" s="8">
        <v>-52.701086630996301</v>
      </c>
      <c r="BV51" s="8">
        <v>40.243224430107517</v>
      </c>
      <c r="BW51" s="8">
        <v>746.06950664836279</v>
      </c>
      <c r="BX51" s="8">
        <v>5.534926645161292</v>
      </c>
      <c r="BY51" s="8">
        <v>22.541604265682661</v>
      </c>
      <c r="BZ51" s="8">
        <v>-15.403050125448027</v>
      </c>
      <c r="CA51" s="8">
        <v>531.54537523593683</v>
      </c>
      <c r="CB51" s="8">
        <v>0.92519099119047721</v>
      </c>
      <c r="CC51" s="8">
        <v>0.83080204218796039</v>
      </c>
      <c r="CD51" s="8">
        <v>0.90010308064427125</v>
      </c>
      <c r="CE51" s="8">
        <v>-2477.0191066712391</v>
      </c>
      <c r="CF51" s="8">
        <v>-2803.1470306767119</v>
      </c>
      <c r="CG51" s="8">
        <v>-6.1764708822074263</v>
      </c>
      <c r="CH51" s="8">
        <v>1689.4777078786633</v>
      </c>
      <c r="CI51" s="8">
        <v>2087.3719883964163</v>
      </c>
      <c r="CJ51" s="8">
        <v>3587.9074559517835</v>
      </c>
      <c r="CK51" s="8">
        <v>22.526369438382176</v>
      </c>
      <c r="CL51" s="8">
        <v>27.831626511952219</v>
      </c>
      <c r="CM51" s="8">
        <v>47.838766079357114</v>
      </c>
      <c r="CN51" s="8">
        <v>33.924825893013875</v>
      </c>
      <c r="CO51" s="35"/>
    </row>
    <row r="52" spans="1:93" s="8" customFormat="1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6"/>
      <c r="R52" s="14"/>
      <c r="X52" s="14"/>
      <c r="Z52" s="14"/>
      <c r="AI52" s="14"/>
      <c r="AU52" s="14">
        <f t="shared" si="0"/>
        <v>0</v>
      </c>
      <c r="AX52" s="14"/>
      <c r="BC52" s="14"/>
      <c r="BH52" s="14"/>
      <c r="CO52" s="35"/>
    </row>
    <row r="53" spans="1:93" s="8" customFormat="1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6"/>
      <c r="K53" s="8">
        <v>0.38993201729999988</v>
      </c>
      <c r="L53" s="8">
        <v>0.38180153123011557</v>
      </c>
      <c r="M53" s="8">
        <v>2.7369592694694722</v>
      </c>
      <c r="N53" s="8">
        <v>284000.7340140001</v>
      </c>
      <c r="O53" s="8">
        <v>148079.8909710001</v>
      </c>
      <c r="P53" s="8">
        <v>148068.02479100009</v>
      </c>
      <c r="Q53" s="8">
        <v>1092.4214921076921</v>
      </c>
      <c r="R53" s="14">
        <v>20.230027631623926</v>
      </c>
      <c r="S53" s="8">
        <v>569.54518631538451</v>
      </c>
      <c r="T53" s="8">
        <v>535.75324811417306</v>
      </c>
      <c r="U53" s="8">
        <v>3.0572682588346742</v>
      </c>
      <c r="V53" s="8">
        <v>1.7781938234476391</v>
      </c>
      <c r="W53" s="8">
        <v>1942.5371498673519</v>
      </c>
      <c r="X53" s="14">
        <v>35.972910182728739</v>
      </c>
      <c r="Y53" s="8">
        <v>1559.7175010000001</v>
      </c>
      <c r="Z53" s="14">
        <v>28.883657425925929</v>
      </c>
      <c r="AA53" s="8">
        <v>825.16842499999996</v>
      </c>
      <c r="AB53" s="8">
        <v>735.07204100000001</v>
      </c>
      <c r="AC53" s="8">
        <v>5.7745191182600655</v>
      </c>
      <c r="AD53" s="8">
        <v>-4736.4269590841313</v>
      </c>
      <c r="AE53" s="8">
        <v>1.4997385280769227</v>
      </c>
      <c r="AF53" s="8">
        <v>1.4684674278081367</v>
      </c>
      <c r="AG53" s="8">
        <v>10.526766421036431</v>
      </c>
      <c r="AH53" s="8">
        <v>2776.5570809090646</v>
      </c>
      <c r="AI53" s="14">
        <v>51.417723720538234</v>
      </c>
      <c r="AJ53" s="8">
        <v>2.5971161331478987</v>
      </c>
      <c r="AK53" s="8">
        <v>1069.0923849999999</v>
      </c>
      <c r="AL53" s="8">
        <v>-4.0000000000000001E-3</v>
      </c>
      <c r="AM53" s="8">
        <v>0.186</v>
      </c>
      <c r="AN53" s="8">
        <v>0.186</v>
      </c>
      <c r="AO53" s="8">
        <v>0.182</v>
      </c>
      <c r="AP53" s="8">
        <v>1.0869565217391315</v>
      </c>
      <c r="AQ53" s="8">
        <v>0.26</v>
      </c>
      <c r="AR53" s="8">
        <v>0.26</v>
      </c>
      <c r="AS53" s="8">
        <v>0.254</v>
      </c>
      <c r="AT53" s="8">
        <v>1.1673151750972772</v>
      </c>
      <c r="AU53" s="14">
        <f t="shared" si="0"/>
        <v>0.44600000000000001</v>
      </c>
      <c r="AV53" s="8">
        <v>0.56399999999999995</v>
      </c>
      <c r="AW53" s="8">
        <v>1824.217897</v>
      </c>
      <c r="AX53" s="14">
        <v>33.781812907407406</v>
      </c>
      <c r="AY53" s="8">
        <v>1259.9792110000001</v>
      </c>
      <c r="AZ53" s="8">
        <v>1068.623556</v>
      </c>
      <c r="BA53" s="8">
        <v>8.2176169208339722</v>
      </c>
      <c r="BB53" s="8">
        <v>1344.8256766021507</v>
      </c>
      <c r="BC53" s="14">
        <v>24.904179196336123</v>
      </c>
      <c r="BD53" s="8">
        <v>728.64146004838699</v>
      </c>
      <c r="BE53" s="8">
        <v>630.2752686538463</v>
      </c>
      <c r="BF53" s="8">
        <v>7.23857388145339</v>
      </c>
      <c r="BG53" s="8">
        <v>2896.4301820000001</v>
      </c>
      <c r="BH53" s="14">
        <v>53.637595962962962</v>
      </c>
      <c r="BI53" s="8">
        <v>1535.1195070000001</v>
      </c>
      <c r="BJ53" s="8">
        <v>1459.233641</v>
      </c>
      <c r="BK53" s="8">
        <v>2.5342991373841812</v>
      </c>
      <c r="BL53" s="8">
        <v>50.350116999999997</v>
      </c>
      <c r="BM53" s="8">
        <v>43.767811000000002</v>
      </c>
      <c r="BN53" s="8">
        <v>41.08079</v>
      </c>
      <c r="BO53" s="8">
        <v>3.1668418433911496</v>
      </c>
      <c r="BP53" s="8">
        <v>49.736970999999997</v>
      </c>
      <c r="BQ53" s="8">
        <v>37.997025999999998</v>
      </c>
      <c r="BR53" s="8">
        <v>46.328600000000002</v>
      </c>
      <c r="BS53" s="8">
        <v>-9.8802397268891937</v>
      </c>
      <c r="BT53" s="8">
        <v>-19.422929207692309</v>
      </c>
      <c r="BU53" s="8">
        <v>-2.5367879769230766</v>
      </c>
      <c r="BV53" s="8">
        <v>-17.437390003937008</v>
      </c>
      <c r="BW53" s="8">
        <v>-74.599325395478999</v>
      </c>
      <c r="BX53" s="8">
        <v>-21.742827246153841</v>
      </c>
      <c r="BY53" s="8">
        <v>-3.3649514846153852</v>
      </c>
      <c r="BZ53" s="8">
        <v>-17.830439618110233</v>
      </c>
      <c r="CA53" s="8">
        <v>-68.248271821861593</v>
      </c>
      <c r="CB53" s="8">
        <v>0.93969947506874862</v>
      </c>
      <c r="CC53" s="8">
        <v>0.90984470365582415</v>
      </c>
      <c r="CD53" s="8">
        <v>0.89372478611009509</v>
      </c>
      <c r="CE53" s="8">
        <v>-2544.9390984552583</v>
      </c>
      <c r="CF53" s="8">
        <v>-2191.4878606288735</v>
      </c>
      <c r="CG53" s="8">
        <v>7.4624023737659524</v>
      </c>
      <c r="CH53" s="8">
        <v>3916.0180396964552</v>
      </c>
      <c r="CI53" s="8">
        <v>3033.7058437116734</v>
      </c>
      <c r="CJ53" s="8">
        <v>6634.4048946591738</v>
      </c>
      <c r="CK53" s="8">
        <v>72.518852586971391</v>
      </c>
      <c r="CL53" s="8">
        <v>56.179737846512474</v>
      </c>
      <c r="CM53" s="8">
        <v>122.85934990109581</v>
      </c>
      <c r="CN53" s="8">
        <v>49.039107853901285</v>
      </c>
      <c r="CO53" s="35"/>
    </row>
    <row r="54" spans="1:93" s="8" customFormat="1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6"/>
      <c r="K54" s="8">
        <v>0.39131598078124991</v>
      </c>
      <c r="L54" s="8">
        <v>0.36578654289122503</v>
      </c>
      <c r="M54" s="8">
        <v>2.6789423232921301</v>
      </c>
      <c r="N54" s="8">
        <v>359480.15773400001</v>
      </c>
      <c r="O54" s="8">
        <v>173544.71528400001</v>
      </c>
      <c r="P54" s="8">
        <v>173533.10157500001</v>
      </c>
      <c r="Q54" s="8">
        <v>1497.9497068624999</v>
      </c>
      <c r="R54" s="14">
        <v>20.804857039756943</v>
      </c>
      <c r="S54" s="8">
        <v>732.31736028270052</v>
      </c>
      <c r="T54" s="8">
        <v>774.98100250833318</v>
      </c>
      <c r="U54" s="8">
        <v>-2.8304709458207902</v>
      </c>
      <c r="V54" s="8">
        <v>1.7422137256427999</v>
      </c>
      <c r="W54" s="8">
        <v>2609.7485396184557</v>
      </c>
      <c r="X54" s="14">
        <v>36.246507494700772</v>
      </c>
      <c r="Y54" s="8">
        <v>2013.1931340000001</v>
      </c>
      <c r="Z54" s="14">
        <v>27.961015750000001</v>
      </c>
      <c r="AA54" s="8">
        <v>940.83665800000006</v>
      </c>
      <c r="AB54" s="8">
        <v>1072.3564759999999</v>
      </c>
      <c r="AC54" s="8">
        <v>-6.5328962124306482</v>
      </c>
      <c r="AD54" s="8">
        <v>-3414.1694614900921</v>
      </c>
      <c r="AE54" s="8">
        <v>1.630483253255208</v>
      </c>
      <c r="AF54" s="8">
        <v>1.5241105953801044</v>
      </c>
      <c r="AG54" s="8">
        <v>11.162259680383876</v>
      </c>
      <c r="AH54" s="8">
        <v>3646.3572483346925</v>
      </c>
      <c r="AI54" s="14">
        <v>50.643850671315171</v>
      </c>
      <c r="AJ54" s="8">
        <v>2.4974276589633568</v>
      </c>
      <c r="AK54" s="8">
        <v>1460.0451929999999</v>
      </c>
      <c r="AL54" s="8">
        <v>0</v>
      </c>
      <c r="AM54" s="8">
        <v>0.219</v>
      </c>
      <c r="AN54" s="8">
        <v>0.219</v>
      </c>
      <c r="AO54" s="8">
        <v>0.219</v>
      </c>
      <c r="AP54" s="8">
        <v>0</v>
      </c>
      <c r="AQ54" s="8">
        <v>0.24</v>
      </c>
      <c r="AR54" s="8">
        <v>0.23699999999999999</v>
      </c>
      <c r="AS54" s="8">
        <v>0.24</v>
      </c>
      <c r="AT54" s="8">
        <v>-0.62893081761006342</v>
      </c>
      <c r="AU54" s="14">
        <f t="shared" si="0"/>
        <v>0.45899999999999996</v>
      </c>
      <c r="AV54" s="8">
        <v>0.56499999999999995</v>
      </c>
      <c r="AW54" s="8">
        <v>2401.6031730000004</v>
      </c>
      <c r="AX54" s="14">
        <v>33.355599625000004</v>
      </c>
      <c r="AY54" s="8">
        <v>1300.8075409999999</v>
      </c>
      <c r="AZ54" s="8">
        <v>1590.7895510000001</v>
      </c>
      <c r="BA54" s="8">
        <v>-10.028437599493898</v>
      </c>
      <c r="BB54" s="8">
        <v>1636.2653974155248</v>
      </c>
      <c r="BC54" s="14">
        <v>22.725908297437844</v>
      </c>
      <c r="BD54" s="8">
        <v>761.16145206849319</v>
      </c>
      <c r="BE54" s="8">
        <v>875.10394534703187</v>
      </c>
      <c r="BF54" s="8">
        <v>-6.9635704243645566</v>
      </c>
      <c r="BG54" s="8">
        <v>5931.034431</v>
      </c>
      <c r="BH54" s="14">
        <v>82.375478208333334</v>
      </c>
      <c r="BI54" s="8">
        <v>1711.3629719999999</v>
      </c>
      <c r="BJ54" s="8">
        <v>4241.0594940000001</v>
      </c>
      <c r="BK54" s="8">
        <v>-42.498605172087935</v>
      </c>
      <c r="BL54" s="8">
        <v>43.569441000000005</v>
      </c>
      <c r="BM54" s="8">
        <v>117.687985</v>
      </c>
      <c r="BN54" s="8">
        <v>85.281409999999994</v>
      </c>
      <c r="BO54" s="8">
        <v>15.966237175806731</v>
      </c>
      <c r="BP54" s="8">
        <v>288.61148100000003</v>
      </c>
      <c r="BQ54" s="8">
        <v>132.27726000000001</v>
      </c>
      <c r="BR54" s="8">
        <v>156.514565</v>
      </c>
      <c r="BS54" s="8">
        <v>-8.3926561979377325</v>
      </c>
      <c r="BT54" s="8">
        <v>-28.664205129166664</v>
      </c>
      <c r="BU54" s="8">
        <v>-95.301762113924042</v>
      </c>
      <c r="BV54" s="8">
        <v>65.410893804166662</v>
      </c>
      <c r="BW54" s="8">
        <v>537.66472841348923</v>
      </c>
      <c r="BX54" s="8">
        <v>143.59115680000002</v>
      </c>
      <c r="BY54" s="8">
        <v>60.419470341772147</v>
      </c>
      <c r="BZ54" s="8">
        <v>84.279338579166662</v>
      </c>
      <c r="CA54" s="8">
        <v>-16.489332853065282</v>
      </c>
      <c r="CB54" s="8">
        <v>0.85836761468806833</v>
      </c>
      <c r="CC54" s="8">
        <v>0.79008662618840309</v>
      </c>
      <c r="CD54" s="8">
        <v>0.81600614539355298</v>
      </c>
      <c r="CE54" s="8">
        <v>-1656.0706100888576</v>
      </c>
      <c r="CF54" s="8">
        <v>-1758.0988514012304</v>
      </c>
      <c r="CG54" s="8">
        <v>-2.9883766011966881</v>
      </c>
      <c r="CH54" s="8">
        <v>2826.1314096361593</v>
      </c>
      <c r="CI54" s="8">
        <v>2974.0721634728234</v>
      </c>
      <c r="CJ54" s="8">
        <v>6511.5918721877024</v>
      </c>
      <c r="CK54" s="8">
        <v>39.251825133835546</v>
      </c>
      <c r="CL54" s="8">
        <v>41.306557826011435</v>
      </c>
      <c r="CM54" s="8">
        <v>90.438776002606971</v>
      </c>
      <c r="CN54" s="8">
        <v>50.236909059913216</v>
      </c>
      <c r="CO54" s="35"/>
    </row>
    <row r="55" spans="1:93" s="8" customFormat="1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6"/>
      <c r="K55" s="8">
        <v>0.41236963249999997</v>
      </c>
      <c r="L55" s="8">
        <v>0.41901999980157217</v>
      </c>
      <c r="M55" s="8">
        <v>2.8672586901266595</v>
      </c>
      <c r="N55" s="8">
        <v>537633.18842499959</v>
      </c>
      <c r="O55" s="8">
        <v>277077.73726799997</v>
      </c>
      <c r="P55" s="8">
        <v>277076.02406599995</v>
      </c>
      <c r="Q55" s="8">
        <v>1361.0988253417722</v>
      </c>
      <c r="R55" s="14">
        <v>17.013735316772152</v>
      </c>
      <c r="S55" s="8">
        <v>701.46271730632918</v>
      </c>
      <c r="T55" s="8">
        <v>676.79686845974027</v>
      </c>
      <c r="U55" s="8">
        <v>1.7896373877116227</v>
      </c>
      <c r="V55" s="8">
        <v>1.3792541942389271</v>
      </c>
      <c r="W55" s="8">
        <v>1877.3012636263163</v>
      </c>
      <c r="X55" s="14">
        <v>23.466265795328955</v>
      </c>
      <c r="Y55" s="8">
        <v>1854.1358260000002</v>
      </c>
      <c r="Z55" s="14">
        <v>23.176697825000002</v>
      </c>
      <c r="AA55" s="8">
        <v>973.85636899999997</v>
      </c>
      <c r="AB55" s="8">
        <v>880.42373699999996</v>
      </c>
      <c r="AC55" s="8">
        <v>5.0387550239942023</v>
      </c>
      <c r="AD55" s="8">
        <v>1844.4929256869343</v>
      </c>
      <c r="AE55" s="8">
        <v>1.0439737531645568</v>
      </c>
      <c r="AF55" s="8">
        <v>1.0608101260799294</v>
      </c>
      <c r="AG55" s="8">
        <v>7.2588827598143277</v>
      </c>
      <c r="AH55" s="8">
        <v>4691.0041773701159</v>
      </c>
      <c r="AI55" s="14">
        <v>58.637552217126448</v>
      </c>
      <c r="AJ55" s="8">
        <v>2.6786550949955208</v>
      </c>
      <c r="AK55" s="8">
        <v>1751.2535250000001</v>
      </c>
      <c r="AL55" s="8">
        <v>-8.0000000000000002E-3</v>
      </c>
      <c r="AM55" s="8">
        <v>0.40400000000000003</v>
      </c>
      <c r="AN55" s="8">
        <v>0.40400000000000003</v>
      </c>
      <c r="AO55" s="8">
        <v>0.39600000000000002</v>
      </c>
      <c r="AP55" s="8">
        <v>1.0000000000000009</v>
      </c>
      <c r="AQ55" s="8">
        <v>0.39500000000000002</v>
      </c>
      <c r="AR55" s="8">
        <v>0.39500000000000002</v>
      </c>
      <c r="AS55" s="8">
        <v>0.38500000000000001</v>
      </c>
      <c r="AT55" s="8">
        <v>1.2820512820512833</v>
      </c>
      <c r="AU55" s="14">
        <f t="shared" si="0"/>
        <v>0.79900000000000004</v>
      </c>
      <c r="AV55" s="8">
        <v>0.57999999999999996</v>
      </c>
      <c r="AW55" s="8">
        <v>2741.1418640000002</v>
      </c>
      <c r="AX55" s="14">
        <v>34.264273299999999</v>
      </c>
      <c r="AY55" s="8">
        <v>0.68528100000000003</v>
      </c>
      <c r="AZ55" s="8">
        <v>1.0098879999999999</v>
      </c>
      <c r="BA55" s="8">
        <v>-19.148946211262704</v>
      </c>
      <c r="BB55" s="8">
        <v>1339.8719313391086</v>
      </c>
      <c r="BC55" s="14">
        <v>16.748399141738858</v>
      </c>
      <c r="BD55" s="8">
        <v>742.96927422277224</v>
      </c>
      <c r="BE55" s="8">
        <v>609.01275647979799</v>
      </c>
      <c r="BF55" s="8">
        <v>9.9081581486229133</v>
      </c>
      <c r="BG55" s="8">
        <v>2832.7891770000001</v>
      </c>
      <c r="BH55" s="14">
        <v>35.409864712500003</v>
      </c>
      <c r="BI55" s="8">
        <v>1987.87381</v>
      </c>
      <c r="BJ55" s="8">
        <v>1085.2145230000001</v>
      </c>
      <c r="BK55" s="8">
        <v>29.373034198428293</v>
      </c>
      <c r="BL55" s="8">
        <v>61.891693000000004</v>
      </c>
      <c r="BM55" s="8">
        <v>182.970009</v>
      </c>
      <c r="BN55" s="8">
        <v>226.32305099999999</v>
      </c>
      <c r="BO55" s="8">
        <v>-10.592176178115503</v>
      </c>
      <c r="BP55" s="8">
        <v>287.00648799999999</v>
      </c>
      <c r="BQ55" s="8">
        <v>130.672256</v>
      </c>
      <c r="BR55" s="8">
        <v>157.542484</v>
      </c>
      <c r="BS55" s="8">
        <v>-9.322988824235706</v>
      </c>
      <c r="BT55" s="8">
        <v>16.040322483544308</v>
      </c>
      <c r="BU55" s="8">
        <v>-104.30884695443036</v>
      </c>
      <c r="BV55" s="8">
        <v>123.46252170909085</v>
      </c>
      <c r="BW55" s="8">
        <v>-1189.1784296279739</v>
      </c>
      <c r="BX55" s="8">
        <v>-3.9634441113924064</v>
      </c>
      <c r="BY55" s="8">
        <v>6.1013746075949369</v>
      </c>
      <c r="BZ55" s="8">
        <v>-10.20679851688311</v>
      </c>
      <c r="CA55" s="8">
        <v>-397.2348163019704</v>
      </c>
      <c r="CB55" s="8">
        <v>0.84162832716544622</v>
      </c>
      <c r="CC55" s="8">
        <v>0.75639409882278752</v>
      </c>
      <c r="CD55" s="8">
        <v>0.69637839733247375</v>
      </c>
      <c r="CE55" s="8">
        <v>924.54867449076824</v>
      </c>
      <c r="CF55" s="8">
        <v>919.9442511961671</v>
      </c>
      <c r="CG55" s="8">
        <v>0.24963084598908564</v>
      </c>
      <c r="CH55" s="8">
        <v>3.5686129842634857</v>
      </c>
      <c r="CI55" s="8">
        <v>0.41753161096050867</v>
      </c>
      <c r="CJ55" s="8">
        <v>14917.443572595093</v>
      </c>
      <c r="CK55" s="8">
        <v>4.460766230329357E-2</v>
      </c>
      <c r="CL55" s="8">
        <v>5.2191451370063582E-3</v>
      </c>
      <c r="CM55" s="8">
        <v>186.46804465743867</v>
      </c>
      <c r="CN55" s="8">
        <v>61.031177334205999</v>
      </c>
      <c r="CO55" s="35"/>
    </row>
    <row r="56" spans="1:93" s="8" customFormat="1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6"/>
      <c r="K56" s="8">
        <v>0.34044888723125</v>
      </c>
      <c r="L56" s="8">
        <v>0.27486427706724087</v>
      </c>
      <c r="M56" s="8">
        <v>2.3222482890636966</v>
      </c>
      <c r="N56" s="8">
        <v>383816.93696300016</v>
      </c>
      <c r="O56" s="8">
        <v>196081.71241899996</v>
      </c>
      <c r="P56" s="8">
        <v>196069.84623799997</v>
      </c>
      <c r="Q56" s="8">
        <v>1400.8738138613135</v>
      </c>
      <c r="R56" s="14">
        <v>18.193166413783292</v>
      </c>
      <c r="S56" s="8">
        <v>715.64228616058404</v>
      </c>
      <c r="T56" s="8">
        <v>687.7849991611721</v>
      </c>
      <c r="U56" s="8">
        <v>1.9849469431560358</v>
      </c>
      <c r="V56" s="8">
        <v>1.4577502772112352</v>
      </c>
      <c r="W56" s="8">
        <v>2042.1241904942899</v>
      </c>
      <c r="X56" s="14">
        <v>26.521093383042725</v>
      </c>
      <c r="Y56" s="8">
        <v>1719.405978</v>
      </c>
      <c r="Z56" s="14">
        <v>22.329947766233765</v>
      </c>
      <c r="AA56" s="8">
        <v>904.13805400000001</v>
      </c>
      <c r="AB56" s="8">
        <v>817.61229600000001</v>
      </c>
      <c r="AC56" s="8">
        <v>5.0254531965101679</v>
      </c>
      <c r="AD56" s="8">
        <v>126.3110539302762</v>
      </c>
      <c r="AE56" s="8">
        <v>1.2425141869753649</v>
      </c>
      <c r="AF56" s="8">
        <v>1.0031542958658426</v>
      </c>
      <c r="AG56" s="8">
        <v>8.4753587192105702</v>
      </c>
      <c r="AH56" s="8">
        <v>3314.7268709106133</v>
      </c>
      <c r="AI56" s="14">
        <v>43.048400920917054</v>
      </c>
      <c r="AJ56" s="8">
        <v>2.2229282796005059</v>
      </c>
      <c r="AK56" s="8">
        <v>1491.1533140000001</v>
      </c>
      <c r="AL56" s="8">
        <v>-4.0000000000000001E-3</v>
      </c>
      <c r="AM56" s="8">
        <v>0.23899999999999999</v>
      </c>
      <c r="AN56" s="8">
        <v>0.23899999999999999</v>
      </c>
      <c r="AO56" s="8">
        <v>0.23499999999999999</v>
      </c>
      <c r="AP56" s="8">
        <v>0.84388185654008518</v>
      </c>
      <c r="AQ56" s="8">
        <v>0.27400000000000002</v>
      </c>
      <c r="AR56" s="8">
        <v>0.27400000000000002</v>
      </c>
      <c r="AS56" s="8">
        <v>0.27300000000000002</v>
      </c>
      <c r="AT56" s="8">
        <v>0.18281535648994532</v>
      </c>
      <c r="AU56" s="14">
        <f t="shared" si="0"/>
        <v>0.51300000000000001</v>
      </c>
      <c r="AV56" s="8">
        <v>0.52700000000000002</v>
      </c>
      <c r="AW56" s="8">
        <v>2888.1165529999998</v>
      </c>
      <c r="AX56" s="14">
        <v>37.508007181818179</v>
      </c>
      <c r="AY56" s="8">
        <v>1626.1356049999999</v>
      </c>
      <c r="AZ56" s="8">
        <v>1442.462276</v>
      </c>
      <c r="BA56" s="8">
        <v>5.9855783039302697</v>
      </c>
      <c r="BB56" s="8">
        <v>1660.8677332635987</v>
      </c>
      <c r="BC56" s="14">
        <v>21.569710821605177</v>
      </c>
      <c r="BD56" s="8">
        <v>871.85175108786609</v>
      </c>
      <c r="BE56" s="8">
        <v>803.03762386382971</v>
      </c>
      <c r="BF56" s="8">
        <v>4.1085774531240906</v>
      </c>
      <c r="BG56" s="8">
        <v>4246.3254209999996</v>
      </c>
      <c r="BH56" s="14">
        <v>55.147083389610387</v>
      </c>
      <c r="BI56" s="8">
        <v>2052.6328819999999</v>
      </c>
      <c r="BJ56" s="8">
        <v>2231.2387960000001</v>
      </c>
      <c r="BK56" s="8">
        <v>-4.1692638674785307</v>
      </c>
      <c r="BL56" s="8">
        <v>50.638655999999997</v>
      </c>
      <c r="BM56" s="8">
        <v>110.85321399999999</v>
      </c>
      <c r="BN56" s="8">
        <v>60.845734</v>
      </c>
      <c r="BO56" s="8">
        <v>29.125093998828689</v>
      </c>
      <c r="BP56" s="8">
        <v>119.14871699999999</v>
      </c>
      <c r="BQ56" s="8">
        <v>57.545568000000003</v>
      </c>
      <c r="BR56" s="8">
        <v>88.256973000000002</v>
      </c>
      <c r="BS56" s="8">
        <v>-21.063696688249074</v>
      </c>
      <c r="BT56" s="8">
        <v>12.64373650729927</v>
      </c>
      <c r="BU56" s="8">
        <v>31.755190405109488</v>
      </c>
      <c r="BV56" s="8">
        <v>-19.178816923076926</v>
      </c>
      <c r="BW56" s="8">
        <v>404.99757263852018</v>
      </c>
      <c r="BX56" s="8">
        <v>-63.603379080291958</v>
      </c>
      <c r="BY56" s="8">
        <v>-5.2736094671532836</v>
      </c>
      <c r="BZ56" s="8">
        <v>-58.332179754578753</v>
      </c>
      <c r="CA56" s="8">
        <v>-83.417831830466582</v>
      </c>
      <c r="CB56" s="8">
        <v>0.91012705348019185</v>
      </c>
      <c r="CC56" s="8">
        <v>0.84299021129377794</v>
      </c>
      <c r="CD56" s="8">
        <v>0.84576353264686011</v>
      </c>
      <c r="CE56" s="8">
        <v>-104.5930016131279</v>
      </c>
      <c r="CF56" s="8">
        <v>230.90405554340555</v>
      </c>
      <c r="CG56" s="8">
        <v>-265.61179462703575</v>
      </c>
      <c r="CH56" s="8">
        <v>7800.4650315092067</v>
      </c>
      <c r="CI56" s="8">
        <v>6121.7288311576149</v>
      </c>
      <c r="CJ56" s="8">
        <v>14050.752507751764</v>
      </c>
      <c r="CK56" s="8">
        <v>101.30474066895074</v>
      </c>
      <c r="CL56" s="8">
        <v>79.502971833215781</v>
      </c>
      <c r="CM56" s="8">
        <v>182.47730529547746</v>
      </c>
      <c r="CN56" s="8">
        <v>53.164824750755123</v>
      </c>
      <c r="CO56" s="35"/>
    </row>
    <row r="57" spans="1:93" s="8" customFormat="1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6"/>
      <c r="R57" s="14"/>
      <c r="X57" s="14"/>
      <c r="Z57" s="14"/>
      <c r="AI57" s="14"/>
      <c r="AU57" s="14">
        <f t="shared" si="0"/>
        <v>0</v>
      </c>
      <c r="AX57" s="14"/>
      <c r="BC57" s="14"/>
      <c r="BH57" s="14"/>
      <c r="CO57" s="35"/>
    </row>
    <row r="58" spans="1:93" s="8" customFormat="1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6"/>
      <c r="R58" s="14"/>
      <c r="X58" s="14"/>
      <c r="Z58" s="14"/>
      <c r="AI58" s="14"/>
      <c r="AU58" s="14">
        <f t="shared" si="0"/>
        <v>0</v>
      </c>
      <c r="AX58" s="14"/>
      <c r="BC58" s="14"/>
      <c r="BH58" s="14"/>
      <c r="CO58" s="35"/>
    </row>
    <row r="59" spans="1:93" s="8" customFormat="1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6"/>
      <c r="K59" s="8">
        <v>0.41521846432499993</v>
      </c>
      <c r="L59" s="8">
        <v>0.34259630619229658</v>
      </c>
      <c r="M59" s="8">
        <v>2.5926317763023849</v>
      </c>
      <c r="N59" s="8">
        <v>322929.27296099981</v>
      </c>
      <c r="O59" s="8">
        <v>156391.68203899986</v>
      </c>
      <c r="P59" s="8">
        <v>156390.07703899985</v>
      </c>
      <c r="Q59" s="8">
        <v>1441.6779252901786</v>
      </c>
      <c r="R59" s="14">
        <v>21.201145960149685</v>
      </c>
      <c r="S59" s="8">
        <v>707.6837196334842</v>
      </c>
      <c r="T59" s="8">
        <v>743.53144673660711</v>
      </c>
      <c r="U59" s="8">
        <v>-2.4701869118959414</v>
      </c>
      <c r="V59" s="8">
        <v>1.6122417534657658</v>
      </c>
      <c r="W59" s="8">
        <v>2324.3333462027249</v>
      </c>
      <c r="X59" s="14">
        <v>34.181372738275364</v>
      </c>
      <c r="Y59" s="8">
        <v>1768.656031</v>
      </c>
      <c r="Z59" s="14">
        <v>26.009647514705883</v>
      </c>
      <c r="AA59" s="8">
        <v>851.29927299999997</v>
      </c>
      <c r="AB59" s="8">
        <v>985.54220599999996</v>
      </c>
      <c r="AC59" s="8">
        <v>-7.3083570103765068</v>
      </c>
      <c r="AD59" s="8">
        <v>-1906.3861557894841</v>
      </c>
      <c r="AE59" s="8">
        <v>1.8536538585937496</v>
      </c>
      <c r="AF59" s="8">
        <v>1.5294477955013239</v>
      </c>
      <c r="AG59" s="8">
        <v>11.574249001349932</v>
      </c>
      <c r="AH59" s="8">
        <v>3820.0248967063112</v>
      </c>
      <c r="AI59" s="14">
        <v>56.176836716269285</v>
      </c>
      <c r="AJ59" s="8">
        <v>2.4096431189250564</v>
      </c>
      <c r="AK59" s="8">
        <v>1585.3073290000002</v>
      </c>
      <c r="AL59" s="8">
        <v>4.8000000000000001E-2</v>
      </c>
      <c r="AM59" s="8">
        <v>0.24</v>
      </c>
      <c r="AN59" s="8">
        <v>0.192</v>
      </c>
      <c r="AO59" s="8">
        <v>0.24</v>
      </c>
      <c r="AP59" s="8">
        <v>-11.111111111111107</v>
      </c>
      <c r="AQ59" s="8">
        <v>0.224</v>
      </c>
      <c r="AR59" s="8">
        <v>0.221</v>
      </c>
      <c r="AS59" s="8">
        <v>0.224</v>
      </c>
      <c r="AT59" s="8">
        <v>-0.67415730337078716</v>
      </c>
      <c r="AU59" s="14">
        <f t="shared" si="0"/>
        <v>0.46399999999999997</v>
      </c>
      <c r="AV59" s="8">
        <v>0.58199999999999996</v>
      </c>
      <c r="AW59" s="8">
        <v>1819.2406120000001</v>
      </c>
      <c r="AX59" s="14">
        <v>26.753538411764708</v>
      </c>
      <c r="AY59" s="8">
        <v>1258.8971819999999</v>
      </c>
      <c r="AZ59" s="8">
        <v>1777.745056</v>
      </c>
      <c r="BA59" s="8">
        <v>-17.086236485392657</v>
      </c>
      <c r="BB59" s="8">
        <v>1468.0157786958337</v>
      </c>
      <c r="BC59" s="14">
        <v>21.58846733376226</v>
      </c>
      <c r="BD59" s="8">
        <v>679.15297117187492</v>
      </c>
      <c r="BE59" s="8">
        <v>925.35501346666649</v>
      </c>
      <c r="BF59" s="8">
        <v>-15.344394957950625</v>
      </c>
      <c r="BG59" s="8">
        <v>3644.9012819999998</v>
      </c>
      <c r="BH59" s="14">
        <v>53.601489441176469</v>
      </c>
      <c r="BI59" s="8">
        <v>1040.490963</v>
      </c>
      <c r="BJ59" s="8">
        <v>2720.8359989999999</v>
      </c>
      <c r="BK59" s="8">
        <v>-44.674261317248387</v>
      </c>
      <c r="BL59" s="8">
        <v>40.774214000000001</v>
      </c>
      <c r="BM59" s="8">
        <v>137.03815800000001</v>
      </c>
      <c r="BN59" s="8">
        <v>126.199898</v>
      </c>
      <c r="BO59" s="8">
        <v>4.1172846224027744</v>
      </c>
      <c r="BP59" s="8">
        <v>161.32956799999999</v>
      </c>
      <c r="BQ59" s="8">
        <v>67.446077000000002</v>
      </c>
      <c r="BR59" s="8">
        <v>94.568770000000001</v>
      </c>
      <c r="BS59" s="8">
        <v>-16.7408688167943</v>
      </c>
      <c r="BT59" s="8">
        <v>-16.154419816964289</v>
      </c>
      <c r="BU59" s="8">
        <v>-100.57595556108599</v>
      </c>
      <c r="BV59" s="8">
        <v>83.046117142857142</v>
      </c>
      <c r="BW59" s="8">
        <v>1047.4829734482837</v>
      </c>
      <c r="BX59" s="8">
        <v>52.491458638392864</v>
      </c>
      <c r="BY59" s="8">
        <v>23.685196493212668</v>
      </c>
      <c r="BZ59" s="8">
        <v>29.308320116071425</v>
      </c>
      <c r="CA59" s="8">
        <v>-10.610965232440574</v>
      </c>
      <c r="CB59" s="8">
        <v>0.8974488008803333</v>
      </c>
      <c r="CC59" s="8">
        <v>0.80631991932952218</v>
      </c>
      <c r="CD59" s="8">
        <v>0.81698857835215033</v>
      </c>
      <c r="CE59" s="8">
        <v>1435.2152366917451</v>
      </c>
      <c r="CF59" s="8">
        <v>-3341.6013924812269</v>
      </c>
      <c r="CG59" s="8">
        <v>-250.56920470526464</v>
      </c>
      <c r="CH59" s="8">
        <v>2605.21641142003</v>
      </c>
      <c r="CI59" s="8">
        <v>5092.113489475445</v>
      </c>
      <c r="CJ59" s="8">
        <v>6046.769425117126</v>
      </c>
      <c r="CK59" s="8">
        <v>38.312006050294556</v>
      </c>
      <c r="CL59" s="8">
        <v>74.884021904050655</v>
      </c>
      <c r="CM59" s="8">
        <v>88.923079781134206</v>
      </c>
      <c r="CN59" s="8">
        <v>45.134815130215443</v>
      </c>
      <c r="CO59" s="35"/>
    </row>
    <row r="60" spans="1:93" s="8" customFormat="1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6"/>
      <c r="L60" s="14"/>
      <c r="R60" s="14"/>
      <c r="X60" s="14"/>
      <c r="Z60" s="14"/>
      <c r="AI60" s="14"/>
      <c r="AU60" s="14">
        <f t="shared" si="0"/>
        <v>0</v>
      </c>
      <c r="AX60" s="14"/>
      <c r="BC60" s="14"/>
      <c r="BH60" s="14"/>
      <c r="CO60" s="35"/>
    </row>
    <row r="61" spans="1:93" s="8" customFormat="1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6"/>
      <c r="K61" s="8">
        <v>0.30523320708124996</v>
      </c>
      <c r="L61" s="8">
        <v>0.26144836129419702</v>
      </c>
      <c r="M61" s="8">
        <v>2.2648657462622692</v>
      </c>
      <c r="N61" s="8">
        <v>265068.89213899989</v>
      </c>
      <c r="O61" s="8">
        <v>130850.503381</v>
      </c>
      <c r="P61" s="8">
        <v>130845.778549</v>
      </c>
      <c r="Q61" s="8">
        <v>1221.5703979447003</v>
      </c>
      <c r="R61" s="14">
        <v>20.09161838724836</v>
      </c>
      <c r="S61" s="8">
        <v>603.02987293548392</v>
      </c>
      <c r="T61" s="8">
        <v>639.29233546666671</v>
      </c>
      <c r="U61" s="8">
        <v>-2.9189257252209013</v>
      </c>
      <c r="V61" s="8">
        <v>1.4304781272642384</v>
      </c>
      <c r="W61" s="8">
        <v>1747.4297351733653</v>
      </c>
      <c r="X61" s="14">
        <v>28.740620644298772</v>
      </c>
      <c r="Y61" s="8">
        <v>1525.9944420000002</v>
      </c>
      <c r="Z61" s="14">
        <v>25.098592796052635</v>
      </c>
      <c r="AA61" s="8">
        <v>745.40534600000001</v>
      </c>
      <c r="AB61" s="8">
        <v>780.58909600000004</v>
      </c>
      <c r="AC61" s="8">
        <v>-2.3056276636163546</v>
      </c>
      <c r="AD61" s="8">
        <v>-2268.049647723858</v>
      </c>
      <c r="AE61" s="8">
        <v>1.4066046409274191</v>
      </c>
      <c r="AF61" s="8">
        <v>1.2048311580377742</v>
      </c>
      <c r="AG61" s="8">
        <v>10.437169337614144</v>
      </c>
      <c r="AH61" s="8">
        <v>2769.2107685891792</v>
      </c>
      <c r="AI61" s="14">
        <v>45.546229746532553</v>
      </c>
      <c r="AJ61" s="8">
        <v>2.1215162589879206</v>
      </c>
      <c r="AK61" s="8">
        <v>1305.297924</v>
      </c>
      <c r="AL61" s="8">
        <v>-1.7000000000000001E-2</v>
      </c>
      <c r="AM61" s="8">
        <v>0.22700000000000001</v>
      </c>
      <c r="AN61" s="8">
        <v>0.22700000000000001</v>
      </c>
      <c r="AO61" s="8">
        <v>0.21</v>
      </c>
      <c r="AP61" s="8">
        <v>3.890160183066365</v>
      </c>
      <c r="AQ61" s="8">
        <v>0.217</v>
      </c>
      <c r="AR61" s="8">
        <v>0.217</v>
      </c>
      <c r="AS61" s="8">
        <v>0.21</v>
      </c>
      <c r="AT61" s="8">
        <v>1.6393442622950833</v>
      </c>
      <c r="AU61" s="14">
        <f t="shared" si="0"/>
        <v>0.44400000000000001</v>
      </c>
      <c r="AV61" s="8">
        <v>0.499</v>
      </c>
      <c r="AW61" s="8">
        <v>1741.7317390000001</v>
      </c>
      <c r="AX61" s="14">
        <v>28.646903601973687</v>
      </c>
      <c r="AY61" s="8">
        <v>1490.774635</v>
      </c>
      <c r="AZ61" s="8">
        <v>801.47216800000001</v>
      </c>
      <c r="BA61" s="8">
        <v>30.071040609495835</v>
      </c>
      <c r="BB61" s="8">
        <v>1350.8508304889865</v>
      </c>
      <c r="BC61" s="14">
        <v>22.217941290937279</v>
      </c>
      <c r="BD61" s="8">
        <v>793.2154078546256</v>
      </c>
      <c r="BE61" s="8">
        <v>602.96128164761899</v>
      </c>
      <c r="BF61" s="8">
        <v>13.62679434755745</v>
      </c>
      <c r="BG61" s="8">
        <v>3221.4156400000002</v>
      </c>
      <c r="BH61" s="14">
        <v>52.983809868421055</v>
      </c>
      <c r="BI61" s="8">
        <v>1981.9948790000001</v>
      </c>
      <c r="BJ61" s="8">
        <v>1288.2199840000001</v>
      </c>
      <c r="BK61" s="8">
        <v>21.214963666440898</v>
      </c>
      <c r="BL61" s="8">
        <v>49.845172000000005</v>
      </c>
      <c r="BM61" s="8">
        <v>115.32557300000001</v>
      </c>
      <c r="BN61" s="8">
        <v>144.10736800000001</v>
      </c>
      <c r="BO61" s="8">
        <v>-11.094117381184835</v>
      </c>
      <c r="BP61" s="8">
        <v>98.590288999999999</v>
      </c>
      <c r="BQ61" s="8">
        <v>61.549048999999997</v>
      </c>
      <c r="BR61" s="8">
        <v>37.041240000000002</v>
      </c>
      <c r="BS61" s="8">
        <v>24.858238320003299</v>
      </c>
      <c r="BT61" s="8">
        <v>13.557443552995394</v>
      </c>
      <c r="BU61" s="8">
        <v>-93.702572152073742</v>
      </c>
      <c r="BV61" s="8">
        <v>110.83165694761905</v>
      </c>
      <c r="BW61" s="8">
        <v>-1194.0756411742743</v>
      </c>
      <c r="BX61" s="8">
        <v>-33.539956949308745</v>
      </c>
      <c r="BY61" s="8">
        <v>-24.774327631336405</v>
      </c>
      <c r="BZ61" s="8">
        <v>-8.7186114809523794</v>
      </c>
      <c r="CA61" s="8">
        <v>47.937614840415954</v>
      </c>
      <c r="CB61" s="8">
        <v>0.91135164229087473</v>
      </c>
      <c r="CC61" s="8">
        <v>0.80822024966718142</v>
      </c>
      <c r="CD61" s="8">
        <v>0.81164447723472011</v>
      </c>
      <c r="CE61" s="8">
        <v>-1183.9750003554345</v>
      </c>
      <c r="CF61" s="8">
        <v>-1084.0746473684219</v>
      </c>
      <c r="CG61" s="8">
        <v>4.4046810477570233</v>
      </c>
      <c r="CH61" s="8">
        <v>8377.7294847873472</v>
      </c>
      <c r="CI61" s="8">
        <v>1497.0200135495752</v>
      </c>
      <c r="CJ61" s="8">
        <v>9939.1098686205678</v>
      </c>
      <c r="CK61" s="8">
        <v>137.79160336821295</v>
      </c>
      <c r="CL61" s="8">
        <v>24.622039696539066</v>
      </c>
      <c r="CM61" s="8">
        <v>163.4722017865225</v>
      </c>
      <c r="CN61" s="8">
        <v>35.617404225301321</v>
      </c>
      <c r="CO61" s="35"/>
    </row>
    <row r="62" spans="1:93" s="8" customFormat="1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6"/>
      <c r="K62" s="8">
        <v>0.16691040883125</v>
      </c>
      <c r="L62" s="8">
        <v>2.3453595897815253E-2</v>
      </c>
      <c r="M62" s="8">
        <v>0.67835061105237848</v>
      </c>
      <c r="N62" s="8">
        <v>237154.71155699994</v>
      </c>
      <c r="O62" s="8">
        <v>123750.09094799997</v>
      </c>
      <c r="P62" s="8">
        <v>123737.93622799996</v>
      </c>
      <c r="Q62" s="8">
        <v>1083.2104812100458</v>
      </c>
      <c r="R62" s="14">
        <v>12.819058949231312</v>
      </c>
      <c r="S62" s="8">
        <v>565.08809498630137</v>
      </c>
      <c r="T62" s="8">
        <v>544.76367278947373</v>
      </c>
      <c r="U62" s="8">
        <v>1.8312735796744539</v>
      </c>
      <c r="V62" s="8">
        <v>0.52259908241466435</v>
      </c>
      <c r="W62" s="8">
        <v>566.08480354231699</v>
      </c>
      <c r="X62" s="14">
        <v>6.6992284442877752</v>
      </c>
      <c r="Y62" s="8">
        <v>1335.4683289999998</v>
      </c>
      <c r="Z62" s="14">
        <v>15.80435892307692</v>
      </c>
      <c r="AA62" s="8">
        <v>701.33097799999996</v>
      </c>
      <c r="AB62" s="8">
        <v>634.696415</v>
      </c>
      <c r="AC62" s="8">
        <v>4.9875147283001828</v>
      </c>
      <c r="AD62" s="8">
        <v>2805.6836634723109</v>
      </c>
      <c r="AE62" s="8">
        <v>0.76214798553082186</v>
      </c>
      <c r="AF62" s="8">
        <v>0.10709404519550345</v>
      </c>
      <c r="AG62" s="8">
        <v>3.0974913746683947</v>
      </c>
      <c r="AH62" s="8">
        <v>999.80264136525125</v>
      </c>
      <c r="AI62" s="14">
        <v>11.831983921482264</v>
      </c>
      <c r="AJ62" s="8">
        <v>0.81017030675265778</v>
      </c>
      <c r="AK62" s="8">
        <v>1234.0647800000002</v>
      </c>
      <c r="AL62" s="8">
        <v>7.0000000000000001E-3</v>
      </c>
      <c r="AM62" s="8">
        <v>0.46700000000000003</v>
      </c>
      <c r="AN62" s="8">
        <v>0.46</v>
      </c>
      <c r="AO62" s="8">
        <v>0.46700000000000003</v>
      </c>
      <c r="AP62" s="8">
        <v>-0.7551240560949305</v>
      </c>
      <c r="AQ62" s="8">
        <v>0.219</v>
      </c>
      <c r="AR62" s="8">
        <v>0.219</v>
      </c>
      <c r="AS62" s="8">
        <v>0.20899999999999999</v>
      </c>
      <c r="AT62" s="8">
        <v>2.3364485981308429</v>
      </c>
      <c r="AU62" s="14">
        <f t="shared" si="0"/>
        <v>0.68600000000000005</v>
      </c>
      <c r="AV62" s="8">
        <v>0.36899999999999999</v>
      </c>
      <c r="AW62" s="8">
        <v>2260.1647830000002</v>
      </c>
      <c r="AX62" s="14">
        <v>26.747512224852073</v>
      </c>
      <c r="AY62" s="8">
        <v>1299.0942689999999</v>
      </c>
      <c r="AZ62" s="8">
        <v>1690.2635190000001</v>
      </c>
      <c r="BA62" s="8">
        <v>-13.085394179654486</v>
      </c>
      <c r="BB62" s="8">
        <v>1336.4388521755886</v>
      </c>
      <c r="BC62" s="14">
        <v>15.815844404444835</v>
      </c>
      <c r="BD62" s="8">
        <v>669.01278630652178</v>
      </c>
      <c r="BE62" s="8">
        <v>677.7702060171307</v>
      </c>
      <c r="BF62" s="8">
        <v>-0.6502472752124262</v>
      </c>
      <c r="BG62" s="8">
        <v>3481.0829519999998</v>
      </c>
      <c r="BH62" s="14">
        <v>41.196247952662716</v>
      </c>
      <c r="BI62" s="8">
        <v>1639.336294</v>
      </c>
      <c r="BJ62" s="8">
        <v>1841.746658</v>
      </c>
      <c r="BK62" s="8">
        <v>-5.814580312822148</v>
      </c>
      <c r="BL62" s="8">
        <v>38.988878</v>
      </c>
      <c r="BM62" s="8">
        <v>65.768935999999997</v>
      </c>
      <c r="BN62" s="8">
        <v>47.78933</v>
      </c>
      <c r="BO62" s="8">
        <v>15.8329346099737</v>
      </c>
      <c r="BP62" s="8">
        <v>123.54894400000001</v>
      </c>
      <c r="BQ62" s="8">
        <v>57.491464000000001</v>
      </c>
      <c r="BR62" s="8">
        <v>66.237814</v>
      </c>
      <c r="BS62" s="8">
        <v>-7.0689412735440031</v>
      </c>
      <c r="BT62" s="8">
        <v>-12.633725214611875</v>
      </c>
      <c r="BU62" s="8">
        <v>-42.586151762557073</v>
      </c>
      <c r="BV62" s="8">
        <v>30.877161727272725</v>
      </c>
      <c r="BW62" s="8">
        <v>627.40947996755028</v>
      </c>
      <c r="BX62" s="8">
        <v>-91.622030936073074</v>
      </c>
      <c r="BY62" s="8">
        <v>-46.22673774429223</v>
      </c>
      <c r="BZ62" s="8">
        <v>-45.885522373205731</v>
      </c>
      <c r="CA62" s="8">
        <v>0.37043426211803487</v>
      </c>
      <c r="CB62" s="8">
        <v>0.89149722656913155</v>
      </c>
      <c r="CC62" s="8">
        <v>0.85051941690324107</v>
      </c>
      <c r="CD62" s="8">
        <v>0.84770461323229185</v>
      </c>
      <c r="CE62" s="8">
        <v>2018.5116536842049</v>
      </c>
      <c r="CF62" s="8">
        <v>787.17200978810433</v>
      </c>
      <c r="CG62" s="8">
        <v>43.887329848590149</v>
      </c>
      <c r="CH62" s="8">
        <v>2239.2774378084264</v>
      </c>
      <c r="CI62" s="8">
        <v>3106.2247365082417</v>
      </c>
      <c r="CJ62" s="8">
        <v>11343.791835716736</v>
      </c>
      <c r="CK62" s="8">
        <v>26.500324707792029</v>
      </c>
      <c r="CL62" s="8">
        <v>36.760056053351974</v>
      </c>
      <c r="CM62" s="8">
        <v>134.246057227417</v>
      </c>
      <c r="CN62" s="8">
        <v>54.69161285484909</v>
      </c>
      <c r="CO62" s="35"/>
    </row>
    <row r="63" spans="1:93" s="8" customFormat="1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6"/>
      <c r="K63" s="8">
        <v>0.24933530208124999</v>
      </c>
      <c r="L63" s="8">
        <v>0.16694454685814128</v>
      </c>
      <c r="M63" s="8">
        <v>1.8098209882075995</v>
      </c>
      <c r="N63" s="8">
        <v>285046.79727499996</v>
      </c>
      <c r="O63" s="8">
        <v>135884.19819599992</v>
      </c>
      <c r="P63" s="8">
        <v>135879.87010599993</v>
      </c>
      <c r="Q63" s="8">
        <v>1044.1525644102564</v>
      </c>
      <c r="R63" s="14">
        <v>16.314883818910257</v>
      </c>
      <c r="S63" s="8">
        <v>512.78205997358486</v>
      </c>
      <c r="T63" s="8">
        <v>546.47225843956028</v>
      </c>
      <c r="U63" s="8">
        <v>-3.1805580473295834</v>
      </c>
      <c r="V63" s="8">
        <v>1.1970452107959619</v>
      </c>
      <c r="W63" s="8">
        <v>1249.8978265676196</v>
      </c>
      <c r="X63" s="14">
        <v>19.529653540119057</v>
      </c>
      <c r="Y63" s="8">
        <v>1445.3657499999999</v>
      </c>
      <c r="Z63" s="14">
        <v>22.583839843749999</v>
      </c>
      <c r="AA63" s="8">
        <v>683.02674500000001</v>
      </c>
      <c r="AB63" s="8">
        <v>762.33900500000004</v>
      </c>
      <c r="AC63" s="8">
        <v>-5.4873487904359184</v>
      </c>
      <c r="AD63" s="8">
        <v>-4477.7774654271789</v>
      </c>
      <c r="AE63" s="8">
        <v>0.91331612483974345</v>
      </c>
      <c r="AF63" s="8">
        <v>0.61151848665985808</v>
      </c>
      <c r="AG63" s="8">
        <v>6.6293809091853459</v>
      </c>
      <c r="AH63" s="8">
        <v>2015.9711962875608</v>
      </c>
      <c r="AI63" s="14">
        <v>31.499549941993138</v>
      </c>
      <c r="AJ63" s="8">
        <v>1.7988422115698297</v>
      </c>
      <c r="AK63" s="8">
        <v>1120.704853</v>
      </c>
      <c r="AL63" s="8">
        <v>0.02</v>
      </c>
      <c r="AM63" s="8">
        <v>0.27700000000000002</v>
      </c>
      <c r="AN63" s="8">
        <v>0.25700000000000001</v>
      </c>
      <c r="AO63" s="8">
        <v>0.27700000000000002</v>
      </c>
      <c r="AP63" s="8">
        <v>-3.745318352059928</v>
      </c>
      <c r="AQ63" s="8">
        <v>0.27300000000000002</v>
      </c>
      <c r="AR63" s="8">
        <v>0.26500000000000001</v>
      </c>
      <c r="AS63" s="8">
        <v>0.27300000000000002</v>
      </c>
      <c r="AT63" s="8">
        <v>-1.4869888475836444</v>
      </c>
      <c r="AU63" s="14">
        <f t="shared" si="0"/>
        <v>0.55000000000000004</v>
      </c>
      <c r="AV63" s="8">
        <v>0.45100000000000001</v>
      </c>
      <c r="AW63" s="8">
        <v>1578.9594959999999</v>
      </c>
      <c r="AX63" s="14">
        <v>24.671242124999999</v>
      </c>
      <c r="AY63" s="8">
        <v>766.50477799999999</v>
      </c>
      <c r="AZ63" s="8">
        <v>848.59422300000006</v>
      </c>
      <c r="BA63" s="8">
        <v>-5.0826262011909984</v>
      </c>
      <c r="BB63" s="8">
        <v>1277.661745256318</v>
      </c>
      <c r="BC63" s="14">
        <v>19.963464769629969</v>
      </c>
      <c r="BD63" s="8">
        <v>624.17390580544725</v>
      </c>
      <c r="BE63" s="8">
        <v>698.69211144404346</v>
      </c>
      <c r="BF63" s="8">
        <v>-5.6330879066297905</v>
      </c>
      <c r="BG63" s="8">
        <v>2523.0602410000001</v>
      </c>
      <c r="BH63" s="14">
        <v>39.422816265625002</v>
      </c>
      <c r="BI63" s="8">
        <v>975.24494300000003</v>
      </c>
      <c r="BJ63" s="8">
        <v>1548.392319</v>
      </c>
      <c r="BK63" s="8">
        <v>-22.711163154477148</v>
      </c>
      <c r="BL63" s="8">
        <v>40.449607000000007</v>
      </c>
      <c r="BM63" s="8">
        <v>105.3349</v>
      </c>
      <c r="BN63" s="8">
        <v>79.456524000000002</v>
      </c>
      <c r="BO63" s="8">
        <v>14.004100103693126</v>
      </c>
      <c r="BP63" s="8">
        <v>107.769447</v>
      </c>
      <c r="BQ63" s="8">
        <v>62.414667000000001</v>
      </c>
      <c r="BR63" s="8">
        <v>47.627026999999998</v>
      </c>
      <c r="BS63" s="8">
        <v>13.438215518565174</v>
      </c>
      <c r="BT63" s="8">
        <v>-18.994846677655683</v>
      </c>
      <c r="BU63" s="8">
        <v>-78.388791962264165</v>
      </c>
      <c r="BV63" s="8">
        <v>57.058854736263733</v>
      </c>
      <c r="BW63" s="8">
        <v>635.01193305633387</v>
      </c>
      <c r="BX63" s="8">
        <v>25.338352479853476</v>
      </c>
      <c r="BY63" s="8">
        <v>21.002670339622643</v>
      </c>
      <c r="BZ63" s="8">
        <v>5.1990589633699633</v>
      </c>
      <c r="CA63" s="8">
        <v>60.315146353518287</v>
      </c>
      <c r="CB63" s="8">
        <v>0.90699016856337944</v>
      </c>
      <c r="CC63" s="8">
        <v>0.80282764736872458</v>
      </c>
      <c r="CD63" s="8">
        <v>0.8571167887044232</v>
      </c>
      <c r="CE63" s="8">
        <v>-2250.5097956254162</v>
      </c>
      <c r="CF63" s="8">
        <v>-2227.2676698017635</v>
      </c>
      <c r="CG63" s="8">
        <v>0.51905495534569657</v>
      </c>
      <c r="CH63" s="8">
        <v>1763.4589860861051</v>
      </c>
      <c r="CI63" s="8">
        <v>2012.876721622152</v>
      </c>
      <c r="CJ63" s="8">
        <v>4072.4349433680491</v>
      </c>
      <c r="CK63" s="8">
        <v>27.554046657595393</v>
      </c>
      <c r="CL63" s="8">
        <v>31.451198775346125</v>
      </c>
      <c r="CM63" s="8">
        <v>63.631795990125767</v>
      </c>
      <c r="CN63" s="8">
        <v>26.480196930903414</v>
      </c>
      <c r="CO63" s="35"/>
    </row>
    <row r="64" spans="1:93" s="8" customFormat="1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6"/>
      <c r="R64" s="14"/>
      <c r="X64" s="14"/>
      <c r="Z64" s="14"/>
      <c r="AI64" s="14"/>
      <c r="AU64" s="14">
        <f t="shared" si="0"/>
        <v>0</v>
      </c>
      <c r="AX64" s="14"/>
      <c r="BC64" s="14"/>
      <c r="BH64" s="14"/>
      <c r="CO64" s="35"/>
    </row>
    <row r="65" spans="1:99" s="8" customFormat="1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6"/>
      <c r="K65" s="8">
        <v>0.33146477000000002</v>
      </c>
      <c r="L65" s="8">
        <v>0.30888280556145464</v>
      </c>
      <c r="M65" s="8">
        <v>2.4617637265009291</v>
      </c>
      <c r="N65" s="8">
        <v>356822.04296000017</v>
      </c>
      <c r="O65" s="8">
        <v>166459.82995899982</v>
      </c>
      <c r="P65" s="8">
        <v>166457.37737499981</v>
      </c>
      <c r="Q65" s="8">
        <v>1383.0550095116282</v>
      </c>
      <c r="R65" s="14">
        <v>19.209097354328168</v>
      </c>
      <c r="S65" s="8">
        <v>673.94337562753037</v>
      </c>
      <c r="T65" s="8">
        <v>737.99977908527137</v>
      </c>
      <c r="U65" s="8">
        <v>-4.5367551267154571</v>
      </c>
      <c r="V65" s="8">
        <v>1.5595756770248892</v>
      </c>
      <c r="W65" s="8">
        <v>2156.9789528217621</v>
      </c>
      <c r="X65" s="14">
        <v>29.958041011413361</v>
      </c>
      <c r="Y65" s="8">
        <v>1711.579338</v>
      </c>
      <c r="Z65" s="14">
        <v>23.771935249999999</v>
      </c>
      <c r="AA65" s="8">
        <v>779.05623600000001</v>
      </c>
      <c r="AB65" s="8">
        <v>941.81047799999999</v>
      </c>
      <c r="AC65" s="8">
        <v>-9.4576901671653797</v>
      </c>
      <c r="AD65" s="8">
        <v>-1717.3869320574256</v>
      </c>
      <c r="AE65" s="8">
        <v>1.2847471705426357</v>
      </c>
      <c r="AF65" s="8">
        <v>1.1972201765947854</v>
      </c>
      <c r="AG65" s="8">
        <v>9.541719870158639</v>
      </c>
      <c r="AH65" s="8">
        <v>3414.4141981704815</v>
      </c>
      <c r="AI65" s="14">
        <v>47.422419419034469</v>
      </c>
      <c r="AJ65" s="8">
        <v>2.3815136899661162</v>
      </c>
      <c r="AK65" s="8">
        <v>1433.7159650000001</v>
      </c>
      <c r="AL65" s="8">
        <v>6.0000000000000001E-3</v>
      </c>
      <c r="AM65" s="8">
        <v>0.224</v>
      </c>
      <c r="AN65" s="8">
        <v>0.218</v>
      </c>
      <c r="AO65" s="8">
        <v>0.224</v>
      </c>
      <c r="AP65" s="8">
        <v>-1.3574660633484175</v>
      </c>
      <c r="AQ65" s="8">
        <v>0.25800000000000001</v>
      </c>
      <c r="AR65" s="8">
        <v>0.247</v>
      </c>
      <c r="AS65" s="8">
        <v>0.25800000000000001</v>
      </c>
      <c r="AT65" s="8">
        <v>-2.1782178217821802</v>
      </c>
      <c r="AU65" s="14">
        <f t="shared" si="0"/>
        <v>0.48199999999999998</v>
      </c>
      <c r="AV65" s="8">
        <v>0.52</v>
      </c>
      <c r="AW65" s="8">
        <v>2550.4894869999998</v>
      </c>
      <c r="AX65" s="14">
        <v>35.42346509722222</v>
      </c>
      <c r="AY65" s="8">
        <v>1224.77739</v>
      </c>
      <c r="AZ65" s="8">
        <v>2.5788199999999999</v>
      </c>
      <c r="BA65" s="8">
        <v>99.579776436703739</v>
      </c>
      <c r="BB65" s="8">
        <v>1611.5635990937499</v>
      </c>
      <c r="BC65" s="14">
        <v>22.382827765190971</v>
      </c>
      <c r="BD65" s="8">
        <v>751.16694727064237</v>
      </c>
      <c r="BE65" s="8">
        <v>880.60003741071421</v>
      </c>
      <c r="BF65" s="8">
        <v>-7.9320816853851781</v>
      </c>
      <c r="BG65" s="8">
        <v>2783.052185</v>
      </c>
      <c r="BH65" s="14">
        <v>38.653502569444441</v>
      </c>
      <c r="BI65" s="8">
        <v>1561.7552800000001</v>
      </c>
      <c r="BJ65" s="8">
        <v>1232.586014</v>
      </c>
      <c r="BK65" s="8">
        <v>11.779851899508168</v>
      </c>
      <c r="BL65" s="8">
        <v>34.949329000000006</v>
      </c>
      <c r="BM65" s="8">
        <v>140.067825</v>
      </c>
      <c r="BN65" s="8">
        <v>130.88866400000001</v>
      </c>
      <c r="BO65" s="8">
        <v>3.3876881981593701</v>
      </c>
      <c r="BP65" s="8">
        <v>121.11439200000001</v>
      </c>
      <c r="BQ65" s="8">
        <v>77.076076999999998</v>
      </c>
      <c r="BR65" s="8">
        <v>73.108655999999996</v>
      </c>
      <c r="BS65" s="8">
        <v>2.6416939463480631</v>
      </c>
      <c r="BT65" s="8">
        <v>-5.4185005813953477</v>
      </c>
      <c r="BU65" s="8">
        <v>107.04335319028338</v>
      </c>
      <c r="BV65" s="8">
        <v>-107.90735622480621</v>
      </c>
      <c r="BW65" s="8">
        <v>-24878.466952816161</v>
      </c>
      <c r="BX65" s="8">
        <v>2.4243455852713209</v>
      </c>
      <c r="BY65" s="8">
        <v>26.644988040485835</v>
      </c>
      <c r="BZ65" s="8">
        <v>-22.722054422480625</v>
      </c>
      <c r="CA65" s="8">
        <v>1258.42156075201</v>
      </c>
      <c r="CB65" s="8">
        <v>0.91643814365494347</v>
      </c>
      <c r="CC65" s="8">
        <v>0.78202783384878438</v>
      </c>
      <c r="CD65" s="8">
        <v>0.82196200762808924</v>
      </c>
      <c r="CE65" s="8">
        <v>-331.19508731373872</v>
      </c>
      <c r="CF65" s="8">
        <v>-1386.1918447436854</v>
      </c>
      <c r="CG65" s="8">
        <v>-61.430347333903597</v>
      </c>
      <c r="CH65" s="8">
        <v>2477.4654371851839</v>
      </c>
      <c r="CI65" s="8">
        <v>7.2550046663922307</v>
      </c>
      <c r="CJ65" s="8">
        <v>7714.675957633377</v>
      </c>
      <c r="CK65" s="8">
        <v>34.409242183127553</v>
      </c>
      <c r="CL65" s="8">
        <v>0.10076395369989209</v>
      </c>
      <c r="CM65" s="8">
        <v>107.14827718935246</v>
      </c>
      <c r="CN65" s="8">
        <v>45.99551682057178</v>
      </c>
      <c r="CO65" s="35"/>
    </row>
    <row r="66" spans="1:99" s="8" customFormat="1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6"/>
      <c r="K66" s="8">
        <v>0.26164632532500004</v>
      </c>
      <c r="L66" s="8">
        <v>0.14123257963185501</v>
      </c>
      <c r="M66" s="8">
        <v>1.6646270490344062</v>
      </c>
      <c r="N66" s="8">
        <v>270559.43511099991</v>
      </c>
      <c r="O66" s="8">
        <v>114285.44115000003</v>
      </c>
      <c r="P66" s="8">
        <v>114281.87047600003</v>
      </c>
      <c r="Q66" s="8">
        <v>923.62849216382267</v>
      </c>
      <c r="R66" s="14">
        <v>15.393808202730378</v>
      </c>
      <c r="S66" s="8">
        <v>417.17748451459846</v>
      </c>
      <c r="T66" s="8">
        <v>537.01906106825936</v>
      </c>
      <c r="U66" s="8">
        <v>-12.559422595735484</v>
      </c>
      <c r="V66" s="8">
        <v>1.0448532053936561</v>
      </c>
      <c r="W66" s="8">
        <v>965.0561906302795</v>
      </c>
      <c r="X66" s="14">
        <v>16.084269843837991</v>
      </c>
      <c r="Y66" s="8">
        <v>1241.0077590000001</v>
      </c>
      <c r="Z66" s="14">
        <v>20.683462650000003</v>
      </c>
      <c r="AA66" s="8">
        <v>538.72100799999998</v>
      </c>
      <c r="AB66" s="8">
        <v>702.28675099999998</v>
      </c>
      <c r="AC66" s="8">
        <v>-13.18007416261448</v>
      </c>
      <c r="AD66" s="8">
        <v>-4476.0795179630868</v>
      </c>
      <c r="AE66" s="8">
        <v>0.89299087141638245</v>
      </c>
      <c r="AF66" s="8">
        <v>0.48202245608141642</v>
      </c>
      <c r="AG66" s="8">
        <v>5.6813209864655505</v>
      </c>
      <c r="AH66" s="8">
        <v>1881.3382285669404</v>
      </c>
      <c r="AI66" s="14">
        <v>31.355637142782339</v>
      </c>
      <c r="AJ66" s="8">
        <v>1.69799999680402</v>
      </c>
      <c r="AK66" s="8">
        <v>1107.9730460000001</v>
      </c>
      <c r="AL66" s="8">
        <v>1.2E-2</v>
      </c>
      <c r="AM66" s="8">
        <v>0.28999999999999998</v>
      </c>
      <c r="AN66" s="8">
        <v>0.27800000000000002</v>
      </c>
      <c r="AO66" s="8">
        <v>0.28999999999999998</v>
      </c>
      <c r="AP66" s="8">
        <v>-2.11267605633802</v>
      </c>
      <c r="AQ66" s="8">
        <v>0.29299999999999998</v>
      </c>
      <c r="AR66" s="8">
        <v>0.27400000000000002</v>
      </c>
      <c r="AS66" s="8">
        <v>0.29299999999999998</v>
      </c>
      <c r="AT66" s="8">
        <v>-3.3509700176366777</v>
      </c>
      <c r="AU66" s="14">
        <f t="shared" si="0"/>
        <v>0.58299999999999996</v>
      </c>
      <c r="AV66" s="8">
        <v>0.46200000000000002</v>
      </c>
      <c r="AW66" s="8">
        <v>2368.2408100000002</v>
      </c>
      <c r="AX66" s="14">
        <v>39.470680166666668</v>
      </c>
      <c r="AY66" s="8">
        <v>1314.513123</v>
      </c>
      <c r="AZ66" s="8">
        <v>1053.7276870000001</v>
      </c>
      <c r="BA66" s="8">
        <v>11.011778654384386</v>
      </c>
      <c r="BB66" s="8">
        <v>1168.8022038137933</v>
      </c>
      <c r="BC66" s="14">
        <v>19.480036730229887</v>
      </c>
      <c r="BD66" s="8">
        <v>565.78311116546752</v>
      </c>
      <c r="BE66" s="8">
        <v>628.91603927931033</v>
      </c>
      <c r="BF66" s="8">
        <v>-5.284420608346367</v>
      </c>
      <c r="BG66" s="8">
        <v>2746.678175</v>
      </c>
      <c r="BH66" s="14">
        <v>45.777969583333331</v>
      </c>
      <c r="BI66" s="8">
        <v>1358.7678530000001</v>
      </c>
      <c r="BJ66" s="8">
        <v>1398.099348</v>
      </c>
      <c r="BK66" s="8">
        <v>-1.4266735440043383</v>
      </c>
      <c r="BL66" s="8">
        <v>50.097643000000005</v>
      </c>
      <c r="BM66" s="8">
        <v>98.427986000000004</v>
      </c>
      <c r="BN66" s="8">
        <v>111.502426</v>
      </c>
      <c r="BO66" s="8">
        <v>-6.2279875866675276</v>
      </c>
      <c r="BP66" s="8">
        <v>84.379726000000005</v>
      </c>
      <c r="BQ66" s="8">
        <v>83.387874999999994</v>
      </c>
      <c r="BR66" s="8">
        <v>57.888207000000001</v>
      </c>
      <c r="BS66" s="8">
        <v>18.049529431315907</v>
      </c>
      <c r="BT66" s="8">
        <v>-25.246454631399317</v>
      </c>
      <c r="BU66" s="8">
        <v>56.474469481751818</v>
      </c>
      <c r="BV66" s="8">
        <v>-77.953878511945362</v>
      </c>
      <c r="BW66" s="8">
        <v>-625.84751659010556</v>
      </c>
      <c r="BX66" s="8">
        <v>-32.639413699658704</v>
      </c>
      <c r="BY66" s="8">
        <v>-40.250120463503634</v>
      </c>
      <c r="BZ66" s="8">
        <v>8.1018747542662108</v>
      </c>
      <c r="CA66" s="8">
        <v>150.40321532654104</v>
      </c>
      <c r="CB66" s="8">
        <v>0.90223277136006941</v>
      </c>
      <c r="CC66" s="8">
        <v>0.74766612393848231</v>
      </c>
      <c r="CD66" s="8">
        <v>0.80567279120780766</v>
      </c>
      <c r="CE66" s="8">
        <v>-2436.7510634039636</v>
      </c>
      <c r="CF66" s="8">
        <v>-2039.3284545591241</v>
      </c>
      <c r="CG66" s="8">
        <v>8.878810290342944</v>
      </c>
      <c r="CH66" s="8">
        <v>3906.3586123508153</v>
      </c>
      <c r="CI66" s="8">
        <v>1509.4893790210926</v>
      </c>
      <c r="CJ66" s="8">
        <v>7426.0962492213821</v>
      </c>
      <c r="CK66" s="8">
        <v>65.105976872513594</v>
      </c>
      <c r="CL66" s="8">
        <v>25.158156317018211</v>
      </c>
      <c r="CM66" s="8">
        <v>123.76827082035636</v>
      </c>
      <c r="CN66" s="8">
        <v>69.415867637210425</v>
      </c>
      <c r="CO66" s="35"/>
    </row>
    <row r="67" spans="1:99" s="8" customFormat="1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6"/>
      <c r="K67" s="8">
        <v>0.34693966370000007</v>
      </c>
      <c r="L67" s="8">
        <v>0.35513480139387277</v>
      </c>
      <c r="M67" s="8">
        <v>2.6396486136127635</v>
      </c>
      <c r="N67" s="8">
        <v>336525.3733069998</v>
      </c>
      <c r="O67" s="8">
        <v>182163.98052300009</v>
      </c>
      <c r="P67" s="8">
        <v>182158.0835000001</v>
      </c>
      <c r="Q67" s="8">
        <v>1495.7096029644445</v>
      </c>
      <c r="R67" s="14">
        <v>21.367280042349208</v>
      </c>
      <c r="S67" s="8">
        <v>813.25169976785708</v>
      </c>
      <c r="T67" s="8">
        <v>686.09191175111118</v>
      </c>
      <c r="U67" s="8">
        <v>8.4810304349062271</v>
      </c>
      <c r="V67" s="8">
        <v>1.6405647453638756</v>
      </c>
      <c r="W67" s="8">
        <v>2453.8084439256672</v>
      </c>
      <c r="X67" s="14">
        <v>35.054406341795243</v>
      </c>
      <c r="Y67" s="8">
        <v>1895.7215759999999</v>
      </c>
      <c r="Z67" s="14">
        <v>27.081736799999998</v>
      </c>
      <c r="AA67" s="8">
        <v>1069.0743709999999</v>
      </c>
      <c r="AB67" s="8">
        <v>826.64720499999999</v>
      </c>
      <c r="AC67" s="8">
        <v>12.788120843754111</v>
      </c>
      <c r="AD67" s="8">
        <v>-1887.6932114012282</v>
      </c>
      <c r="AE67" s="8">
        <v>1.5419540608888891</v>
      </c>
      <c r="AF67" s="8">
        <v>1.578376895083879</v>
      </c>
      <c r="AG67" s="8">
        <v>11.731771616056726</v>
      </c>
      <c r="AH67" s="8">
        <v>3761.4315582565291</v>
      </c>
      <c r="AI67" s="14">
        <v>53.734736546521845</v>
      </c>
      <c r="AJ67" s="8">
        <v>2.4516068513472558</v>
      </c>
      <c r="AK67" s="8">
        <v>1534.271923</v>
      </c>
      <c r="AL67" s="8">
        <v>-4.0000000000000001E-3</v>
      </c>
      <c r="AM67" s="8">
        <v>0.2</v>
      </c>
      <c r="AN67" s="8">
        <v>0.2</v>
      </c>
      <c r="AO67" s="8">
        <v>0.19600000000000001</v>
      </c>
      <c r="AP67" s="8">
        <v>1.0101010101010108</v>
      </c>
      <c r="AQ67" s="8">
        <v>0.22500000000000001</v>
      </c>
      <c r="AR67" s="8">
        <v>0.224</v>
      </c>
      <c r="AS67" s="8">
        <v>0.22500000000000001</v>
      </c>
      <c r="AT67" s="8">
        <v>-0.22271714922049018</v>
      </c>
      <c r="AU67" s="14">
        <f t="shared" ref="AU67:AU100" si="1">AM67+AQ67</f>
        <v>0.42500000000000004</v>
      </c>
      <c r="AV67" s="8">
        <v>0.53200000000000003</v>
      </c>
      <c r="AW67" s="8">
        <v>2703.9022670000004</v>
      </c>
      <c r="AX67" s="14">
        <v>38.627175242857149</v>
      </c>
      <c r="AY67" s="8">
        <v>1477.610001</v>
      </c>
      <c r="AZ67" s="8">
        <v>1328.489243</v>
      </c>
      <c r="BA67" s="8">
        <v>5.3141655028363646</v>
      </c>
      <c r="BB67" s="8">
        <v>1675.7271718399998</v>
      </c>
      <c r="BC67" s="14">
        <v>23.938959597714284</v>
      </c>
      <c r="BD67" s="8">
        <v>950.27558756000008</v>
      </c>
      <c r="BE67" s="8">
        <v>740.40016024489796</v>
      </c>
      <c r="BF67" s="8">
        <v>12.413700710357707</v>
      </c>
      <c r="BG67" s="8">
        <v>3217.9892120000004</v>
      </c>
      <c r="BH67" s="14">
        <v>45.971274457142862</v>
      </c>
      <c r="BI67" s="8">
        <v>1710.948181</v>
      </c>
      <c r="BJ67" s="8">
        <v>1598.0571210000001</v>
      </c>
      <c r="BK67" s="8">
        <v>3.4116312818165415</v>
      </c>
      <c r="BL67" s="8">
        <v>63.063877000000005</v>
      </c>
      <c r="BM67" s="8">
        <v>167.244621</v>
      </c>
      <c r="BN67" s="8">
        <v>113.955009</v>
      </c>
      <c r="BO67" s="8">
        <v>18.950811564012369</v>
      </c>
      <c r="BP67" s="8">
        <v>101.63798199999999</v>
      </c>
      <c r="BQ67" s="8">
        <v>51.774777999999998</v>
      </c>
      <c r="BR67" s="8">
        <v>52.027250000000002</v>
      </c>
      <c r="BS67" s="8">
        <v>-0.24322453507363501</v>
      </c>
      <c r="BT67" s="8">
        <v>24.511658048888894</v>
      </c>
      <c r="BU67" s="8">
        <v>120.74494235714289</v>
      </c>
      <c r="BV67" s="8">
        <v>-95.697361466666678</v>
      </c>
      <c r="BW67" s="8">
        <v>864.12458261031895</v>
      </c>
      <c r="BX67" s="8">
        <v>22.172325822222223</v>
      </c>
      <c r="BY67" s="8">
        <v>11.600666861607143</v>
      </c>
      <c r="BZ67" s="8">
        <v>10.654235462222221</v>
      </c>
      <c r="CA67" s="8">
        <v>4.2526872758795884</v>
      </c>
      <c r="CB67" s="8">
        <v>0.92006407216970898</v>
      </c>
      <c r="CC67" s="8">
        <v>0.82996626169537324</v>
      </c>
      <c r="CD67" s="8">
        <v>0.83278527887824216</v>
      </c>
      <c r="CE67" s="8">
        <v>-1188.6304014490759</v>
      </c>
      <c r="CF67" s="8">
        <v>-699.06280995215491</v>
      </c>
      <c r="CG67" s="8">
        <v>25.934701070070382</v>
      </c>
      <c r="CH67" s="8">
        <v>3952.8746155793306</v>
      </c>
      <c r="CI67" s="8">
        <v>2695.5055443910151</v>
      </c>
      <c r="CJ67" s="8">
        <v>8250.9869385817765</v>
      </c>
      <c r="CK67" s="8">
        <v>56.469637365419011</v>
      </c>
      <c r="CL67" s="8">
        <v>38.507222062728786</v>
      </c>
      <c r="CM67" s="8">
        <v>117.87124197973966</v>
      </c>
      <c r="CN67" s="8">
        <v>45.982953865395764</v>
      </c>
      <c r="CO67" s="35"/>
    </row>
    <row r="68" spans="1:99" s="8" customFormat="1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6"/>
      <c r="K68" s="8">
        <v>0.38855050548124992</v>
      </c>
      <c r="L68" s="8">
        <v>0.45261621487601861</v>
      </c>
      <c r="M68" s="8">
        <v>2.9799882778070597</v>
      </c>
      <c r="N68" s="8">
        <v>423342.26457599958</v>
      </c>
      <c r="O68" s="8">
        <v>202485.17596800023</v>
      </c>
      <c r="P68" s="8">
        <v>202482.68731600023</v>
      </c>
      <c r="Q68" s="8">
        <v>1267.524637937126</v>
      </c>
      <c r="R68" s="14">
        <v>18.640068204957736</v>
      </c>
      <c r="S68" s="8">
        <v>608.08823215015013</v>
      </c>
      <c r="T68" s="8">
        <v>661.28159611676654</v>
      </c>
      <c r="U68" s="8">
        <v>-4.1905331907283347</v>
      </c>
      <c r="V68" s="8">
        <v>1.8100802281242916</v>
      </c>
      <c r="W68" s="8">
        <v>2294.3212857903932</v>
      </c>
      <c r="X68" s="14">
        <v>33.740018908682252</v>
      </c>
      <c r="Y68" s="8">
        <v>1673.347874</v>
      </c>
      <c r="Z68" s="14">
        <v>24.608056970588237</v>
      </c>
      <c r="AA68" s="8">
        <v>861.41620599999999</v>
      </c>
      <c r="AB68" s="8">
        <v>812.29238399999997</v>
      </c>
      <c r="AC68" s="8">
        <v>2.9350283731291609</v>
      </c>
      <c r="AD68" s="8">
        <v>-3526.2092331510621</v>
      </c>
      <c r="AE68" s="8">
        <v>1.1633248667103291</v>
      </c>
      <c r="AF68" s="8">
        <v>1.3551383678922713</v>
      </c>
      <c r="AG68" s="8">
        <v>8.9221205922367055</v>
      </c>
      <c r="AH68" s="8">
        <v>3914.7216750650332</v>
      </c>
      <c r="AI68" s="14">
        <v>57.569436398015192</v>
      </c>
      <c r="AJ68" s="8">
        <v>2.8240728691523369</v>
      </c>
      <c r="AK68" s="8">
        <v>1386.1971189999999</v>
      </c>
      <c r="AL68" s="8">
        <v>7.0000000000000001E-3</v>
      </c>
      <c r="AM68" s="8">
        <v>0.24099999999999999</v>
      </c>
      <c r="AN68" s="8">
        <v>0.23400000000000001</v>
      </c>
      <c r="AO68" s="8">
        <v>0.24099999999999999</v>
      </c>
      <c r="AP68" s="8">
        <v>-1.4736842105263113</v>
      </c>
      <c r="AQ68" s="8">
        <v>0.33400000000000002</v>
      </c>
      <c r="AR68" s="8">
        <v>0.33300000000000002</v>
      </c>
      <c r="AS68" s="8">
        <v>0.33400000000000002</v>
      </c>
      <c r="AT68" s="8">
        <v>-0.14992503748125949</v>
      </c>
      <c r="AU68" s="14">
        <f t="shared" si="1"/>
        <v>0.57499999999999996</v>
      </c>
      <c r="AV68" s="8">
        <v>0.56299999999999994</v>
      </c>
      <c r="AW68" s="8">
        <v>2260.6517309999999</v>
      </c>
      <c r="AX68" s="14">
        <v>33.24487839705882</v>
      </c>
      <c r="AY68" s="8">
        <v>1418.3873140000001</v>
      </c>
      <c r="AZ68" s="8">
        <v>844.59072600000002</v>
      </c>
      <c r="BA68" s="8">
        <v>25.355817770109695</v>
      </c>
      <c r="BB68" s="8">
        <v>1461.831189713693</v>
      </c>
      <c r="BC68" s="14">
        <v>21.497517495789602</v>
      </c>
      <c r="BD68" s="8">
        <v>812.22123970512814</v>
      </c>
      <c r="BE68" s="8">
        <v>673.40384984647312</v>
      </c>
      <c r="BF68" s="8">
        <v>9.3440391411640444</v>
      </c>
      <c r="BG68" s="8">
        <v>3153.3563760000002</v>
      </c>
      <c r="BH68" s="14">
        <v>46.372887882352941</v>
      </c>
      <c r="BI68" s="8">
        <v>1307.5882360000001</v>
      </c>
      <c r="BJ68" s="8">
        <v>1862.593687</v>
      </c>
      <c r="BK68" s="8">
        <v>-17.507053679581531</v>
      </c>
      <c r="BL68" s="8">
        <v>41.243099000000001</v>
      </c>
      <c r="BM68" s="8">
        <v>140.62686600000001</v>
      </c>
      <c r="BN68" s="8">
        <v>106.32675399999999</v>
      </c>
      <c r="BO68" s="8">
        <v>13.88929305834837</v>
      </c>
      <c r="BP68" s="8">
        <v>84.001018999999999</v>
      </c>
      <c r="BQ68" s="8">
        <v>58.519387999999999</v>
      </c>
      <c r="BR68" s="8">
        <v>32.911520000000003</v>
      </c>
      <c r="BS68" s="8">
        <v>28.007889848365057</v>
      </c>
      <c r="BT68" s="8">
        <v>13.630676736526945</v>
      </c>
      <c r="BU68" s="8">
        <v>106.66251340840839</v>
      </c>
      <c r="BV68" s="8">
        <v>-92.708870287425171</v>
      </c>
      <c r="BW68" s="8">
        <v>1428.8124038088861</v>
      </c>
      <c r="BX68" s="8">
        <v>-1.9698318652694611</v>
      </c>
      <c r="BY68" s="8">
        <v>12.629716078078079</v>
      </c>
      <c r="BZ68" s="8">
        <v>-14.525667002994012</v>
      </c>
      <c r="CA68" s="8">
        <v>-1432.28301556783</v>
      </c>
      <c r="CB68" s="8">
        <v>0.93036546445381929</v>
      </c>
      <c r="CC68" s="8">
        <v>0.81222581270696692</v>
      </c>
      <c r="CD68" s="8">
        <v>0.85366916680050886</v>
      </c>
      <c r="CE68" s="8">
        <v>-2768.8707355434067</v>
      </c>
      <c r="CF68" s="8">
        <v>-757.33849760765747</v>
      </c>
      <c r="CG68" s="8">
        <v>57.0451752841172</v>
      </c>
      <c r="CH68" s="8">
        <v>4760.1440125359622</v>
      </c>
      <c r="CI68" s="8">
        <v>1191.8728877795859</v>
      </c>
      <c r="CJ68" s="8">
        <v>5942.7247833925967</v>
      </c>
      <c r="CK68" s="8">
        <v>70.002117831411212</v>
      </c>
      <c r="CL68" s="8">
        <v>17.527542467346851</v>
      </c>
      <c r="CM68" s="8">
        <v>87.393011520479362</v>
      </c>
      <c r="CN68" s="8">
        <v>40.225916160811771</v>
      </c>
      <c r="CO68" s="35"/>
    </row>
    <row r="69" spans="1:99" s="8" customFormat="1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6"/>
      <c r="K69" s="8">
        <v>0.31758958608124999</v>
      </c>
      <c r="L69" s="8">
        <v>0.25140202841583997</v>
      </c>
      <c r="M69" s="8">
        <v>2.2209249869184644</v>
      </c>
      <c r="N69" s="8">
        <v>444218.82649100013</v>
      </c>
      <c r="O69" s="8">
        <v>211097.6064629998</v>
      </c>
      <c r="P69" s="8">
        <v>211097.1375869998</v>
      </c>
      <c r="Q69" s="8">
        <v>1119.0002061234254</v>
      </c>
      <c r="R69" s="14">
        <v>15.328769946896239</v>
      </c>
      <c r="S69" s="8">
        <v>531.76975434760698</v>
      </c>
      <c r="T69" s="8">
        <v>590.22340214936719</v>
      </c>
      <c r="U69" s="8">
        <v>-5.2098043079211811</v>
      </c>
      <c r="V69" s="8">
        <v>1.3495923550226354</v>
      </c>
      <c r="W69" s="8">
        <v>1510.1941234529281</v>
      </c>
      <c r="X69" s="14">
        <v>20.687590732231893</v>
      </c>
      <c r="Y69" s="8">
        <v>1473.0835339999999</v>
      </c>
      <c r="Z69" s="14">
        <v>20.179226493150683</v>
      </c>
      <c r="AA69" s="8">
        <v>698.89639999999997</v>
      </c>
      <c r="AB69" s="8">
        <v>776.74793999999997</v>
      </c>
      <c r="AC69" s="8">
        <v>-5.2757658393485256</v>
      </c>
      <c r="AD69" s="8">
        <v>-2946.7710373342111</v>
      </c>
      <c r="AE69" s="8">
        <v>0.7999737684666246</v>
      </c>
      <c r="AF69" s="8">
        <v>0.63325447963687642</v>
      </c>
      <c r="AG69" s="8">
        <v>5.5942694884596076</v>
      </c>
      <c r="AH69" s="8">
        <v>2701.14621574067</v>
      </c>
      <c r="AI69" s="14">
        <v>37.002002955351642</v>
      </c>
      <c r="AJ69" s="8">
        <v>2.1647156970911015</v>
      </c>
      <c r="AK69" s="8">
        <v>1247.8064530000001</v>
      </c>
      <c r="AL69" s="8">
        <v>3.0000000000000001E-3</v>
      </c>
      <c r="AM69" s="8">
        <v>0.29599999999999999</v>
      </c>
      <c r="AN69" s="8">
        <v>0.29299999999999998</v>
      </c>
      <c r="AO69" s="8">
        <v>0.29599999999999999</v>
      </c>
      <c r="AP69" s="8">
        <v>-0.5093378607809852</v>
      </c>
      <c r="AQ69" s="8">
        <v>0.39700000000000002</v>
      </c>
      <c r="AR69" s="8">
        <v>0.39700000000000002</v>
      </c>
      <c r="AS69" s="8">
        <v>0.39500000000000002</v>
      </c>
      <c r="AT69" s="8">
        <v>0.25252525252525271</v>
      </c>
      <c r="AU69" s="14">
        <f t="shared" si="1"/>
        <v>0.69300000000000006</v>
      </c>
      <c r="AV69" s="8">
        <v>0.50900000000000001</v>
      </c>
      <c r="AW69" s="8">
        <v>2606.3398590000002</v>
      </c>
      <c r="AX69" s="14">
        <v>35.703285739726027</v>
      </c>
      <c r="AY69" s="8">
        <v>1303.3322909999999</v>
      </c>
      <c r="AZ69" s="8">
        <v>1.424663</v>
      </c>
      <c r="BA69" s="8">
        <v>99.781620171384048</v>
      </c>
      <c r="BB69" s="8">
        <v>1412.9149944189189</v>
      </c>
      <c r="BC69" s="14">
        <v>19.354999923546835</v>
      </c>
      <c r="BD69" s="8">
        <v>690.730277334471</v>
      </c>
      <c r="BE69" s="8">
        <v>729.46214267567564</v>
      </c>
      <c r="BF69" s="8">
        <v>-2.7272265923604855</v>
      </c>
      <c r="BG69" s="8">
        <v>2725.777161</v>
      </c>
      <c r="BH69" s="14">
        <v>37.339413164383558</v>
      </c>
      <c r="BI69" s="8">
        <v>1489.7647710000001</v>
      </c>
      <c r="BJ69" s="8">
        <v>1236.0123900000001</v>
      </c>
      <c r="BK69" s="8">
        <v>9.309358983215871</v>
      </c>
      <c r="BL69" s="8">
        <v>41.170960999999991</v>
      </c>
      <c r="BM69" s="8">
        <v>106.038208</v>
      </c>
      <c r="BN69" s="8">
        <v>110.726978</v>
      </c>
      <c r="BO69" s="8">
        <v>-2.1630641370612</v>
      </c>
      <c r="BP69" s="8">
        <v>96.534447</v>
      </c>
      <c r="BQ69" s="8">
        <v>35.580508999999999</v>
      </c>
      <c r="BR69" s="8">
        <v>77.256412999999995</v>
      </c>
      <c r="BS69" s="8">
        <v>-36.934633860360002</v>
      </c>
      <c r="BT69" s="8">
        <v>15.959605488664987</v>
      </c>
      <c r="BU69" s="8">
        <v>-77.222751171284642</v>
      </c>
      <c r="BV69" s="8">
        <v>93.664301463291167</v>
      </c>
      <c r="BW69" s="8">
        <v>-1039.3609458936294</v>
      </c>
      <c r="BX69" s="8">
        <v>-9.4860490201511372</v>
      </c>
      <c r="BY69" s="8">
        <v>-19.684407005037787</v>
      </c>
      <c r="BZ69" s="8">
        <v>10.305283394936708</v>
      </c>
      <c r="CA69" s="8">
        <v>319.74938860680282</v>
      </c>
      <c r="CB69" s="8">
        <v>0.91451058272785191</v>
      </c>
      <c r="CC69" s="8">
        <v>0.83150961340770257</v>
      </c>
      <c r="CD69" s="8">
        <v>0.8051443080995988</v>
      </c>
      <c r="CE69" s="8">
        <v>-1510.0038188243193</v>
      </c>
      <c r="CF69" s="8">
        <v>-1436.7672185098936</v>
      </c>
      <c r="CG69" s="8">
        <v>2.4853169583436299</v>
      </c>
      <c r="CH69" s="8">
        <v>3343.6478924620797</v>
      </c>
      <c r="CI69" s="8">
        <v>7.7145315874301348</v>
      </c>
      <c r="CJ69" s="8">
        <v>15671.088729401405</v>
      </c>
      <c r="CK69" s="8">
        <v>45.803395787151779</v>
      </c>
      <c r="CL69" s="8">
        <v>0.10567851489630321</v>
      </c>
      <c r="CM69" s="8">
        <v>214.67244834796443</v>
      </c>
      <c r="CN69" s="8">
        <v>58.859305040463653</v>
      </c>
      <c r="CO69" s="35"/>
    </row>
    <row r="70" spans="1:99" s="8" customFormat="1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6"/>
      <c r="K70" s="8">
        <v>0.34824517398125004</v>
      </c>
      <c r="L70" s="8">
        <v>0.32936034372181544</v>
      </c>
      <c r="M70" s="8">
        <v>2.5420562432452236</v>
      </c>
      <c r="N70" s="8">
        <v>331866.29261600022</v>
      </c>
      <c r="O70" s="8">
        <v>164391.14714700001</v>
      </c>
      <c r="P70" s="8">
        <v>164386.63872000002</v>
      </c>
      <c r="Q70" s="8">
        <v>1252.3727923622641</v>
      </c>
      <c r="R70" s="14">
        <v>19.267273728650217</v>
      </c>
      <c r="S70" s="8">
        <v>627.47149267175575</v>
      </c>
      <c r="T70" s="8">
        <v>632.09478299245268</v>
      </c>
      <c r="U70" s="8">
        <v>-0.3670541526891008</v>
      </c>
      <c r="V70" s="8">
        <v>1.5731474107529995</v>
      </c>
      <c r="W70" s="8">
        <v>1970.1670156021996</v>
      </c>
      <c r="X70" s="14">
        <v>30.310261778495377</v>
      </c>
      <c r="Y70" s="8">
        <v>1626.045494</v>
      </c>
      <c r="Z70" s="14">
        <v>25.016084523076923</v>
      </c>
      <c r="AA70" s="8">
        <v>823.50933999999995</v>
      </c>
      <c r="AB70" s="8">
        <v>802.59024799999997</v>
      </c>
      <c r="AC70" s="8">
        <v>1.2864582313638699</v>
      </c>
      <c r="AD70" s="8">
        <v>-4101.1666066302287</v>
      </c>
      <c r="AE70" s="8">
        <v>1.3141327320047171</v>
      </c>
      <c r="AF70" s="8">
        <v>1.2428692215917563</v>
      </c>
      <c r="AG70" s="8">
        <v>9.5926650688499002</v>
      </c>
      <c r="AH70" s="8">
        <v>3240.4928584944623</v>
      </c>
      <c r="AI70" s="14">
        <v>49.853736284530193</v>
      </c>
      <c r="AJ70" s="8">
        <v>2.4353636169424533</v>
      </c>
      <c r="AK70" s="8">
        <v>1330.599191</v>
      </c>
      <c r="AL70" s="8">
        <v>0</v>
      </c>
      <c r="AM70" s="8">
        <v>0.23400000000000001</v>
      </c>
      <c r="AN70" s="8">
        <v>0.23400000000000001</v>
      </c>
      <c r="AO70" s="8">
        <v>0.23400000000000001</v>
      </c>
      <c r="AP70" s="8">
        <v>0</v>
      </c>
      <c r="AQ70" s="8">
        <v>0.26500000000000001</v>
      </c>
      <c r="AR70" s="8">
        <v>0.26200000000000001</v>
      </c>
      <c r="AS70" s="8">
        <v>0.26500000000000001</v>
      </c>
      <c r="AT70" s="8">
        <v>-0.56925996204933638</v>
      </c>
      <c r="AU70" s="14">
        <f t="shared" si="1"/>
        <v>0.499</v>
      </c>
      <c r="AV70" s="8">
        <v>0.53300000000000003</v>
      </c>
      <c r="AW70" s="8">
        <v>2190.8612619999999</v>
      </c>
      <c r="AX70" s="14">
        <v>33.705557876923073</v>
      </c>
      <c r="AY70" s="8">
        <v>1152.245817</v>
      </c>
      <c r="AZ70" s="8">
        <v>1581.6465000000001</v>
      </c>
      <c r="BA70" s="8">
        <v>-15.706568994319323</v>
      </c>
      <c r="BB70" s="8">
        <v>1424.526401974359</v>
      </c>
      <c r="BC70" s="14">
        <v>21.915790799605524</v>
      </c>
      <c r="BD70" s="8">
        <v>684.25449944871787</v>
      </c>
      <c r="BE70" s="8">
        <v>740.27190252564105</v>
      </c>
      <c r="BF70" s="8">
        <v>-3.9323527453955522</v>
      </c>
      <c r="BG70" s="8">
        <v>3473.3825609999994</v>
      </c>
      <c r="BH70" s="14">
        <v>53.436654784615378</v>
      </c>
      <c r="BI70" s="8">
        <v>1361.2925990000001</v>
      </c>
      <c r="BJ70" s="8">
        <v>2296.7913060000001</v>
      </c>
      <c r="BK70" s="8">
        <v>-25.5734622631626</v>
      </c>
      <c r="BL70" s="8">
        <v>35.887077000000005</v>
      </c>
      <c r="BM70" s="8">
        <v>84.830569999999994</v>
      </c>
      <c r="BN70" s="8">
        <v>64.632812999999999</v>
      </c>
      <c r="BO70" s="8">
        <v>13.513515213288057</v>
      </c>
      <c r="BP70" s="8">
        <v>159.23765600000002</v>
      </c>
      <c r="BQ70" s="8">
        <v>70.042927000000006</v>
      </c>
      <c r="BR70" s="8">
        <v>89.194728999999995</v>
      </c>
      <c r="BS70" s="8">
        <v>-12.027181560622815</v>
      </c>
      <c r="BT70" s="8">
        <v>-19.841095483018869</v>
      </c>
      <c r="BU70" s="8">
        <v>-70.360031503816799</v>
      </c>
      <c r="BV70" s="8">
        <v>49.684706701886789</v>
      </c>
      <c r="BW70" s="8">
        <v>580.61839103247166</v>
      </c>
      <c r="BX70" s="8">
        <v>65.92253073962263</v>
      </c>
      <c r="BY70" s="8">
        <v>28.438333656488545</v>
      </c>
      <c r="BZ70" s="8">
        <v>38.038605203773585</v>
      </c>
      <c r="CA70" s="8">
        <v>-14.44150665160033</v>
      </c>
      <c r="CB70" s="8">
        <v>0.8928574989272543</v>
      </c>
      <c r="CC70" s="8">
        <v>0.84170460565836769</v>
      </c>
      <c r="CD70" s="8">
        <v>0.83916281816547977</v>
      </c>
      <c r="CE70" s="8">
        <v>-2090.2235272180546</v>
      </c>
      <c r="CF70" s="8">
        <v>-2010.9430794121758</v>
      </c>
      <c r="CG70" s="8">
        <v>1.9331194123571698</v>
      </c>
      <c r="CH70" s="8">
        <v>1752.918916315391</v>
      </c>
      <c r="CI70" s="8">
        <v>3874.6830285513283</v>
      </c>
      <c r="CJ70" s="8">
        <v>6009.4917025485574</v>
      </c>
      <c r="CK70" s="8">
        <v>26.967983327929094</v>
      </c>
      <c r="CL70" s="8">
        <v>59.610508131558895</v>
      </c>
      <c r="CM70" s="8">
        <v>92.453718500747044</v>
      </c>
      <c r="CN70" s="8">
        <v>60.050868935396785</v>
      </c>
      <c r="CO70" s="35"/>
    </row>
    <row r="71" spans="1:99" s="8" customFormat="1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6"/>
      <c r="K71" s="8">
        <v>0.39827257312499992</v>
      </c>
      <c r="L71" s="8">
        <v>0.27064136135246769</v>
      </c>
      <c r="M71" s="8">
        <v>2.304340146275158</v>
      </c>
      <c r="N71" s="8">
        <v>324755.60096300038</v>
      </c>
      <c r="O71" s="8">
        <v>167870.58876399993</v>
      </c>
      <c r="P71" s="8">
        <v>167863.77202199993</v>
      </c>
      <c r="Q71" s="8">
        <v>1135.5829946538463</v>
      </c>
      <c r="R71" s="14">
        <v>17.743484291466348</v>
      </c>
      <c r="S71" s="8">
        <v>586.97882788811194</v>
      </c>
      <c r="T71" s="8">
        <v>552.53164685915488</v>
      </c>
      <c r="U71" s="8">
        <v>3.022980638821871</v>
      </c>
      <c r="V71" s="8">
        <v>1.3787780804561363</v>
      </c>
      <c r="W71" s="8">
        <v>1565.7169415674609</v>
      </c>
      <c r="X71" s="14">
        <v>24.464327211991577</v>
      </c>
      <c r="Y71" s="8">
        <v>1544.965899</v>
      </c>
      <c r="Z71" s="14">
        <v>24.140092171875001</v>
      </c>
      <c r="AA71" s="8">
        <v>768.99341800000002</v>
      </c>
      <c r="AB71" s="8">
        <v>775.97248100000002</v>
      </c>
      <c r="AC71" s="8">
        <v>-0.45172925852391238</v>
      </c>
      <c r="AD71" s="8">
        <v>-4854.4307622556325</v>
      </c>
      <c r="AE71" s="8">
        <v>1.3925614444930068</v>
      </c>
      <c r="AF71" s="8">
        <v>0.94629846626736958</v>
      </c>
      <c r="AG71" s="8">
        <v>8.057133378584469</v>
      </c>
      <c r="AH71" s="8">
        <v>2778.3396760971546</v>
      </c>
      <c r="AI71" s="14">
        <v>43.41155743901804</v>
      </c>
      <c r="AJ71" s="8">
        <v>2.2007840142448902</v>
      </c>
      <c r="AK71" s="8">
        <v>1262.4317780000001</v>
      </c>
      <c r="AL71" s="8">
        <v>3.0000000000000001E-3</v>
      </c>
      <c r="AM71" s="8">
        <v>0.27100000000000002</v>
      </c>
      <c r="AN71" s="8">
        <v>0.26800000000000002</v>
      </c>
      <c r="AO71" s="8">
        <v>0.27100000000000002</v>
      </c>
      <c r="AP71" s="8">
        <v>-0.55658627087198553</v>
      </c>
      <c r="AQ71" s="8">
        <v>0.28599999999999998</v>
      </c>
      <c r="AR71" s="8">
        <v>0.28599999999999998</v>
      </c>
      <c r="AS71" s="8">
        <v>0.28399999999999997</v>
      </c>
      <c r="AT71" s="8">
        <v>0.35087719298245651</v>
      </c>
      <c r="AU71" s="14">
        <f t="shared" si="1"/>
        <v>0.55699999999999994</v>
      </c>
      <c r="AV71" s="8">
        <v>0.56999999999999995</v>
      </c>
      <c r="AW71" s="8">
        <v>1728.6031480000001</v>
      </c>
      <c r="AX71" s="14">
        <v>27.009424187500002</v>
      </c>
      <c r="AY71" s="8">
        <v>921.75698699999998</v>
      </c>
      <c r="AZ71" s="8">
        <v>828.08990500000004</v>
      </c>
      <c r="BA71" s="8">
        <v>5.3528730101033286</v>
      </c>
      <c r="BB71" s="8">
        <v>1295.3858309520297</v>
      </c>
      <c r="BC71" s="14">
        <v>20.240403608625464</v>
      </c>
      <c r="BD71" s="8">
        <v>659.14122789925386</v>
      </c>
      <c r="BE71" s="8">
        <v>643.71019421402218</v>
      </c>
      <c r="BF71" s="8">
        <v>1.1844047159423552</v>
      </c>
      <c r="BG71" s="8">
        <v>3525.2656690000003</v>
      </c>
      <c r="BH71" s="14">
        <v>55.082276078125005</v>
      </c>
      <c r="BI71" s="8">
        <v>1732.3722399999999</v>
      </c>
      <c r="BJ71" s="8">
        <v>1865.5331120000001</v>
      </c>
      <c r="BK71" s="8">
        <v>-3.7010665643546972</v>
      </c>
      <c r="BL71" s="8">
        <v>30.134328999999997</v>
      </c>
      <c r="BM71" s="8">
        <v>88.256970999999993</v>
      </c>
      <c r="BN71" s="8">
        <v>82.540287000000006</v>
      </c>
      <c r="BO71" s="8">
        <v>3.3470584170619335</v>
      </c>
      <c r="BP71" s="8">
        <v>133.864226</v>
      </c>
      <c r="BQ71" s="8">
        <v>70.097026999999997</v>
      </c>
      <c r="BR71" s="8">
        <v>63.947533</v>
      </c>
      <c r="BS71" s="8">
        <v>4.5876490623714963</v>
      </c>
      <c r="BT71" s="8">
        <v>-9.9185360139858902E-2</v>
      </c>
      <c r="BU71" s="8">
        <v>-67.369776569930067</v>
      </c>
      <c r="BV71" s="8">
        <v>67.720896644366192</v>
      </c>
      <c r="BW71" s="8">
        <v>-38474.209551032603</v>
      </c>
      <c r="BX71" s="8">
        <v>-93.180933101398594</v>
      </c>
      <c r="BY71" s="8">
        <v>-48.619384961538472</v>
      </c>
      <c r="BZ71" s="8">
        <v>-44.677689542253518</v>
      </c>
      <c r="CA71" s="8">
        <v>4.2248864074775971</v>
      </c>
      <c r="CB71" s="8">
        <v>0.90403629834655419</v>
      </c>
      <c r="CC71" s="8">
        <v>0.82923983475034557</v>
      </c>
      <c r="CD71" s="8">
        <v>0.84119878130126702</v>
      </c>
      <c r="CE71" s="8">
        <v>-1999.4995326862581</v>
      </c>
      <c r="CF71" s="8">
        <v>-2854.9312295693744</v>
      </c>
      <c r="CG71" s="8">
        <v>-17.62166850816585</v>
      </c>
      <c r="CH71" s="8">
        <v>2295.7539951129761</v>
      </c>
      <c r="CI71" s="8">
        <v>1182.8567020061432</v>
      </c>
      <c r="CJ71" s="8">
        <v>3655.0935876123553</v>
      </c>
      <c r="CK71" s="8">
        <v>35.871156173640252</v>
      </c>
      <c r="CL71" s="8">
        <v>18.482135968845988</v>
      </c>
      <c r="CM71" s="8">
        <v>57.110837306443052</v>
      </c>
      <c r="CN71" s="8">
        <v>35.712644322917782</v>
      </c>
      <c r="CO71" s="35"/>
    </row>
    <row r="72" spans="1:99" s="8" customFormat="1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6"/>
      <c r="K72" s="8">
        <v>0.28715832529999996</v>
      </c>
      <c r="L72" s="8">
        <v>0.30493640258330745</v>
      </c>
      <c r="M72" s="8">
        <v>2.4459869620839134</v>
      </c>
      <c r="N72" s="8">
        <v>359646.78885600017</v>
      </c>
      <c r="O72" s="8">
        <v>185355.3880890001</v>
      </c>
      <c r="P72" s="8">
        <v>185351.99775200011</v>
      </c>
      <c r="Q72" s="8">
        <v>985.34177091506831</v>
      </c>
      <c r="R72" s="14">
        <v>16.422362848584473</v>
      </c>
      <c r="S72" s="8">
        <v>509.22721508791204</v>
      </c>
      <c r="T72" s="8">
        <v>477.51878984931511</v>
      </c>
      <c r="U72" s="8">
        <v>3.2134333536637012</v>
      </c>
      <c r="V72" s="8">
        <v>1.3094035878453301</v>
      </c>
      <c r="W72" s="8">
        <v>1290.2100500900617</v>
      </c>
      <c r="X72" s="14">
        <v>21.503500834834362</v>
      </c>
      <c r="Y72" s="8">
        <v>1311.249051</v>
      </c>
      <c r="Z72" s="14">
        <v>21.85415085</v>
      </c>
      <c r="AA72" s="8">
        <v>660.77316099999996</v>
      </c>
      <c r="AB72" s="8">
        <v>666.72426599999994</v>
      </c>
      <c r="AC72" s="8">
        <v>-0.44829503085733557</v>
      </c>
      <c r="AD72" s="8">
        <v>-2459.1650613806869</v>
      </c>
      <c r="AE72" s="8">
        <v>0.78673513780821913</v>
      </c>
      <c r="AF72" s="8">
        <v>0.83544219885837656</v>
      </c>
      <c r="AG72" s="8">
        <v>6.7013341426956536</v>
      </c>
      <c r="AH72" s="8">
        <v>2921.7557563215232</v>
      </c>
      <c r="AI72" s="14">
        <v>48.695929272025388</v>
      </c>
      <c r="AJ72" s="8">
        <v>2.2999637672065729</v>
      </c>
      <c r="AK72" s="8">
        <v>1270.348602</v>
      </c>
      <c r="AL72" s="8">
        <v>6.0000000000000001E-3</v>
      </c>
      <c r="AM72" s="8">
        <v>0.24099999999999999</v>
      </c>
      <c r="AN72" s="8">
        <v>0.23499999999999999</v>
      </c>
      <c r="AO72" s="8">
        <v>0.24099999999999999</v>
      </c>
      <c r="AP72" s="8">
        <v>-1.2605042016806736</v>
      </c>
      <c r="AQ72" s="8">
        <v>0.36499999999999999</v>
      </c>
      <c r="AR72" s="8">
        <v>0.36399999999999999</v>
      </c>
      <c r="AS72" s="8">
        <v>0.36499999999999999</v>
      </c>
      <c r="AT72" s="8">
        <v>-0.13717421124828544</v>
      </c>
      <c r="AU72" s="14">
        <f t="shared" si="1"/>
        <v>0.60599999999999998</v>
      </c>
      <c r="AV72" s="8">
        <v>0.48399999999999999</v>
      </c>
      <c r="AW72" s="8">
        <v>2418.3925719999997</v>
      </c>
      <c r="AX72" s="14">
        <v>40.306542866666661</v>
      </c>
      <c r="AY72" s="8">
        <v>1042.204105</v>
      </c>
      <c r="AZ72" s="8">
        <v>1379.7410890000001</v>
      </c>
      <c r="BA72" s="8">
        <v>-13.936607022991126</v>
      </c>
      <c r="BB72" s="8">
        <v>1291.6809695435686</v>
      </c>
      <c r="BC72" s="14">
        <v>21.528016159059476</v>
      </c>
      <c r="BD72" s="8">
        <v>645.46252540851071</v>
      </c>
      <c r="BE72" s="8">
        <v>662.32815874273865</v>
      </c>
      <c r="BF72" s="8">
        <v>-1.2896278845397695</v>
      </c>
      <c r="BG72" s="8">
        <v>2219.0299150000001</v>
      </c>
      <c r="BH72" s="14">
        <v>36.983831916666666</v>
      </c>
      <c r="BI72" s="8">
        <v>1028.4263800000001</v>
      </c>
      <c r="BJ72" s="8">
        <v>1342.3751830000001</v>
      </c>
      <c r="BK72" s="8">
        <v>-13.242306226706329</v>
      </c>
      <c r="BL72" s="8">
        <v>22.686406999999996</v>
      </c>
      <c r="BM72" s="8">
        <v>126.326134</v>
      </c>
      <c r="BN72" s="8">
        <v>122.286579</v>
      </c>
      <c r="BO72" s="8">
        <v>1.624838469141356</v>
      </c>
      <c r="BP72" s="8">
        <v>201.41850399999998</v>
      </c>
      <c r="BQ72" s="8">
        <v>78.013828000000004</v>
      </c>
      <c r="BR72" s="8">
        <v>124.288326</v>
      </c>
      <c r="BS72" s="8">
        <v>-22.87395219726627</v>
      </c>
      <c r="BT72" s="8">
        <v>-10.069529328767128</v>
      </c>
      <c r="BU72" s="8">
        <v>-77.897103175824157</v>
      </c>
      <c r="BV72" s="8">
        <v>67.613712460273973</v>
      </c>
      <c r="BW72" s="8">
        <v>1415.0081394462798</v>
      </c>
      <c r="BX72" s="8">
        <v>10.337416221917804</v>
      </c>
      <c r="BY72" s="8">
        <v>-10.150748986263737</v>
      </c>
      <c r="BZ72" s="8">
        <v>20.470434049315067</v>
      </c>
      <c r="CA72" s="8">
        <v>-296.72594510868453</v>
      </c>
      <c r="CB72" s="8">
        <v>0.8540369735275416</v>
      </c>
      <c r="CC72" s="8">
        <v>0.76379971986623074</v>
      </c>
      <c r="CD72" s="8">
        <v>0.73001737784343179</v>
      </c>
      <c r="CE72" s="8">
        <v>-1300.6226492275903</v>
      </c>
      <c r="CF72" s="8">
        <v>-1158.5424121530957</v>
      </c>
      <c r="CG72" s="8">
        <v>5.7775803383740465</v>
      </c>
      <c r="CH72" s="8">
        <v>2762.8436659254598</v>
      </c>
      <c r="CI72" s="8">
        <v>4559.8921945211741</v>
      </c>
      <c r="CJ72" s="8">
        <v>9733.5356679456654</v>
      </c>
      <c r="CK72" s="8">
        <v>46.047394432090996</v>
      </c>
      <c r="CL72" s="8">
        <v>75.998203242019571</v>
      </c>
      <c r="CM72" s="8">
        <v>162.22559446576108</v>
      </c>
      <c r="CN72" s="8">
        <v>59.626111810601444</v>
      </c>
      <c r="CO72" s="35"/>
    </row>
    <row r="73" spans="1:99" s="8" customFormat="1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6"/>
      <c r="K73" s="8">
        <v>0.32260078423124994</v>
      </c>
      <c r="L73" s="8">
        <v>0.42595556489672154</v>
      </c>
      <c r="M73" s="8">
        <v>2.8908905519361463</v>
      </c>
      <c r="N73" s="8">
        <v>263269.38011199998</v>
      </c>
      <c r="O73" s="8">
        <v>130980.95915399992</v>
      </c>
      <c r="P73" s="8">
        <v>130976.48679399992</v>
      </c>
      <c r="Q73" s="8">
        <v>1061.6028035564516</v>
      </c>
      <c r="R73" s="14">
        <v>21.317325372619511</v>
      </c>
      <c r="S73" s="8">
        <v>528.16211783064512</v>
      </c>
      <c r="T73" s="8">
        <v>549.07609005394193</v>
      </c>
      <c r="U73" s="8">
        <v>-1.9414435981031861</v>
      </c>
      <c r="V73" s="8">
        <v>1.8119414533439862</v>
      </c>
      <c r="W73" s="8">
        <v>1923.5621267501272</v>
      </c>
      <c r="X73" s="14">
        <v>38.625745517070825</v>
      </c>
      <c r="Y73" s="8">
        <v>1392.3105700000001</v>
      </c>
      <c r="Z73" s="14">
        <v>27.958043574297193</v>
      </c>
      <c r="AA73" s="8">
        <v>668.90634899999998</v>
      </c>
      <c r="AB73" s="8">
        <v>723.40422100000001</v>
      </c>
      <c r="AC73" s="8">
        <v>-3.9142037110297903</v>
      </c>
      <c r="AD73" s="8">
        <v>-2822.3219895147836</v>
      </c>
      <c r="AE73" s="8">
        <v>1.3008096138356853</v>
      </c>
      <c r="AF73" s="8">
        <v>1.7175627616803288</v>
      </c>
      <c r="AG73" s="8">
        <v>11.656816741678009</v>
      </c>
      <c r="AH73" s="8">
        <v>2853.5936202535627</v>
      </c>
      <c r="AI73" s="14">
        <v>57.301076711918931</v>
      </c>
      <c r="AJ73" s="8">
        <v>2.7307603913986513</v>
      </c>
      <c r="AK73" s="8">
        <v>1044.9813280000001</v>
      </c>
      <c r="AL73" s="8">
        <v>4.0000000000000001E-3</v>
      </c>
      <c r="AM73" s="8">
        <v>0.16700000000000001</v>
      </c>
      <c r="AN73" s="8">
        <v>0.16300000000000001</v>
      </c>
      <c r="AO73" s="8">
        <v>0.16700000000000001</v>
      </c>
      <c r="AP73" s="8">
        <v>-1.2121212121212133</v>
      </c>
      <c r="AQ73" s="8">
        <v>0.248</v>
      </c>
      <c r="AR73" s="8">
        <v>0.248</v>
      </c>
      <c r="AS73" s="8">
        <v>0.24099999999999999</v>
      </c>
      <c r="AT73" s="8">
        <v>1.4314928425357885</v>
      </c>
      <c r="AU73" s="14">
        <f t="shared" si="1"/>
        <v>0.41500000000000004</v>
      </c>
      <c r="AV73" s="8">
        <v>0.51300000000000001</v>
      </c>
      <c r="AW73" s="8">
        <v>2809.994553</v>
      </c>
      <c r="AX73" s="14">
        <v>56.425593433734946</v>
      </c>
      <c r="AY73" s="8">
        <v>1213.163712</v>
      </c>
      <c r="AZ73" s="8">
        <v>1600.5638280000001</v>
      </c>
      <c r="BA73" s="8">
        <v>-13.768217088993628</v>
      </c>
      <c r="BB73" s="8">
        <v>1326.6829812634728</v>
      </c>
      <c r="BC73" s="14">
        <v>26.640220507298654</v>
      </c>
      <c r="BD73" s="8">
        <v>647.10691134355829</v>
      </c>
      <c r="BE73" s="8">
        <v>695.13211348502989</v>
      </c>
      <c r="BF73" s="8">
        <v>-3.5779917923042572</v>
      </c>
      <c r="BG73" s="8">
        <v>4117.6729240000004</v>
      </c>
      <c r="BH73" s="14">
        <v>82.684195261044195</v>
      </c>
      <c r="BI73" s="8">
        <v>1956.8377989999999</v>
      </c>
      <c r="BJ73" s="8">
        <v>2205.5766749999998</v>
      </c>
      <c r="BK73" s="8">
        <v>-5.9758315168687819</v>
      </c>
      <c r="BL73" s="8">
        <v>40.846350000000001</v>
      </c>
      <c r="BM73" s="8">
        <v>147.786247</v>
      </c>
      <c r="BN73" s="8">
        <v>145.80253999999999</v>
      </c>
      <c r="BO73" s="8">
        <v>0.67567532815890874</v>
      </c>
      <c r="BP73" s="8">
        <v>116.51579700000001</v>
      </c>
      <c r="BQ73" s="8">
        <v>51.215733999999998</v>
      </c>
      <c r="BR73" s="8">
        <v>67.788712000000004</v>
      </c>
      <c r="BS73" s="8">
        <v>-13.926351961673772</v>
      </c>
      <c r="BT73" s="8">
        <v>6.5362016895161297</v>
      </c>
      <c r="BU73" s="8">
        <v>119.03084432661288</v>
      </c>
      <c r="BV73" s="8">
        <v>-115.80716874688795</v>
      </c>
      <c r="BW73" s="8">
        <v>7284.7905214314214</v>
      </c>
      <c r="BX73" s="8">
        <v>35.317638286290318</v>
      </c>
      <c r="BY73" s="8">
        <v>13.41148062096774</v>
      </c>
      <c r="BZ73" s="8">
        <v>23.02321030705394</v>
      </c>
      <c r="CA73" s="8">
        <v>-26.380708718168052</v>
      </c>
      <c r="CB73" s="8">
        <v>0.89845459284807161</v>
      </c>
      <c r="CC73" s="8">
        <v>0.77071082956422365</v>
      </c>
      <c r="CD73" s="8">
        <v>0.77204665534173822</v>
      </c>
      <c r="CE73" s="8">
        <v>-1089.531158715004</v>
      </c>
      <c r="CF73" s="8">
        <v>-1732.7908307997786</v>
      </c>
      <c r="CG73" s="8">
        <v>-22.791859840037766</v>
      </c>
      <c r="CH73" s="8">
        <v>4620.7123725366127</v>
      </c>
      <c r="CI73" s="8">
        <v>6534.3502777582435</v>
      </c>
      <c r="CJ73" s="8">
        <v>13574.610961124707</v>
      </c>
      <c r="CK73" s="8">
        <v>92.785389006759303</v>
      </c>
      <c r="CL73" s="8">
        <v>131.211852967033</v>
      </c>
      <c r="CM73" s="8">
        <v>272.58254942017487</v>
      </c>
      <c r="CN73" s="8">
        <v>73.65661448668294</v>
      </c>
      <c r="CO73" s="35"/>
    </row>
    <row r="74" spans="1:99" s="8" customFormat="1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6"/>
      <c r="K74" s="8">
        <v>0.26619661092500002</v>
      </c>
      <c r="L74" s="8">
        <v>0.17663620502241573</v>
      </c>
      <c r="M74" s="8">
        <v>1.8616128336847586</v>
      </c>
      <c r="N74" s="8">
        <v>283296.19295400009</v>
      </c>
      <c r="O74" s="8">
        <v>149973.44854300003</v>
      </c>
      <c r="P74" s="8">
        <v>149970.85168900003</v>
      </c>
      <c r="Q74" s="8">
        <v>1156.3470590653062</v>
      </c>
      <c r="R74" s="14">
        <v>17.258911329332928</v>
      </c>
      <c r="S74" s="8">
        <v>612.14609357142854</v>
      </c>
      <c r="T74" s="8">
        <v>575.03070748706898</v>
      </c>
      <c r="U74" s="8">
        <v>3.1263570894636037</v>
      </c>
      <c r="V74" s="8">
        <v>1.2333723128728065</v>
      </c>
      <c r="W74" s="8">
        <v>1426.2064467230446</v>
      </c>
      <c r="X74" s="14">
        <v>21.286663383926037</v>
      </c>
      <c r="Y74" s="8">
        <v>1526.210853</v>
      </c>
      <c r="Z74" s="14">
        <v>22.779266462686568</v>
      </c>
      <c r="AA74" s="8">
        <v>829.460464</v>
      </c>
      <c r="AB74" s="8">
        <v>696.75038900000004</v>
      </c>
      <c r="AC74" s="8">
        <v>8.6953958385984542</v>
      </c>
      <c r="AD74" s="8">
        <v>-3529.9379992207773</v>
      </c>
      <c r="AE74" s="8">
        <v>1.0865167792857144</v>
      </c>
      <c r="AF74" s="8">
        <v>0.7209641021323091</v>
      </c>
      <c r="AG74" s="8">
        <v>7.5984197293255455</v>
      </c>
      <c r="AH74" s="8">
        <v>2356.2986711779804</v>
      </c>
      <c r="AI74" s="14">
        <v>35.168636883253441</v>
      </c>
      <c r="AJ74" s="8">
        <v>1.8617686915560405</v>
      </c>
      <c r="AK74" s="8">
        <v>1265.6237489999999</v>
      </c>
      <c r="AL74" s="8">
        <v>-7.0000000000000001E-3</v>
      </c>
      <c r="AM74" s="8">
        <v>0.22500000000000001</v>
      </c>
      <c r="AN74" s="8">
        <v>0.22500000000000001</v>
      </c>
      <c r="AO74" s="8">
        <v>0.218</v>
      </c>
      <c r="AP74" s="8">
        <v>1.5801354401805883</v>
      </c>
      <c r="AQ74" s="8">
        <v>0.245</v>
      </c>
      <c r="AR74" s="8">
        <v>0.245</v>
      </c>
      <c r="AS74" s="8">
        <v>0.23200000000000001</v>
      </c>
      <c r="AT74" s="8">
        <v>2.7253668763102694</v>
      </c>
      <c r="AU74" s="14">
        <f t="shared" si="1"/>
        <v>0.47</v>
      </c>
      <c r="AV74" s="8">
        <v>0.46600000000000003</v>
      </c>
      <c r="AW74" s="8">
        <v>2325.7894900000001</v>
      </c>
      <c r="AX74" s="14">
        <v>34.713275970149255</v>
      </c>
      <c r="AY74" s="8">
        <v>1381.652679</v>
      </c>
      <c r="AZ74" s="8">
        <v>0.93775299999999995</v>
      </c>
      <c r="BA74" s="8">
        <v>99.864348403070693</v>
      </c>
      <c r="BB74" s="8">
        <v>1497.5431911422222</v>
      </c>
      <c r="BC74" s="14">
        <v>22.35139091257048</v>
      </c>
      <c r="BD74" s="8">
        <v>820.73150561777766</v>
      </c>
      <c r="BE74" s="8">
        <v>698.75470198165135</v>
      </c>
      <c r="BF74" s="8">
        <v>8.0275031800935004</v>
      </c>
      <c r="BG74" s="8">
        <v>2487.1190340000003</v>
      </c>
      <c r="BH74" s="14">
        <v>37.121179611940306</v>
      </c>
      <c r="BI74" s="8">
        <v>1273.937332</v>
      </c>
      <c r="BJ74" s="8">
        <v>1215.417938</v>
      </c>
      <c r="BK74" s="8">
        <v>2.3507851492808385</v>
      </c>
      <c r="BL74" s="8">
        <v>29.521182</v>
      </c>
      <c r="BM74" s="8">
        <v>140.80720500000001</v>
      </c>
      <c r="BN74" s="8">
        <v>143.56635700000001</v>
      </c>
      <c r="BO74" s="8">
        <v>-0.97025615904477103</v>
      </c>
      <c r="BP74" s="8">
        <v>102.43146899999999</v>
      </c>
      <c r="BQ74" s="8">
        <v>68.023152999999994</v>
      </c>
      <c r="BR74" s="8">
        <v>36.536295000000003</v>
      </c>
      <c r="BS74" s="8">
        <v>30.113833424216232</v>
      </c>
      <c r="BT74" s="8">
        <v>7.7855570612244911</v>
      </c>
      <c r="BU74" s="8">
        <v>108.32223554693877</v>
      </c>
      <c r="BV74" s="8">
        <v>-106.28586373275861</v>
      </c>
      <c r="BW74" s="8">
        <v>10538.748267152705</v>
      </c>
      <c r="BX74" s="8">
        <v>21.766613714285715</v>
      </c>
      <c r="BY74" s="8">
        <v>24.719136734693876</v>
      </c>
      <c r="BZ74" s="8">
        <v>-1.8852998965517243</v>
      </c>
      <c r="CA74" s="8">
        <v>116.51321159834582</v>
      </c>
      <c r="CB74" s="8">
        <v>0.9204224126983318</v>
      </c>
      <c r="CC74" s="8">
        <v>0.7988710353831866</v>
      </c>
      <c r="CD74" s="8">
        <v>0.79460337869775377</v>
      </c>
      <c r="CE74" s="8">
        <v>-2484.5915502802445</v>
      </c>
      <c r="CF74" s="8">
        <v>-1045.346448940531</v>
      </c>
      <c r="CG74" s="8">
        <v>40.772532029101448</v>
      </c>
      <c r="CH74" s="8">
        <v>5607.1305288072062</v>
      </c>
      <c r="CI74" s="8">
        <v>2.0928395101153798</v>
      </c>
      <c r="CJ74" s="8">
        <v>6911.0479930967131</v>
      </c>
      <c r="CK74" s="8">
        <v>83.688515355331432</v>
      </c>
      <c r="CL74" s="8">
        <v>3.1236410598737014E-2</v>
      </c>
      <c r="CM74" s="8">
        <v>103.14997004621959</v>
      </c>
      <c r="CN74" s="8">
        <v>37.941676957186701</v>
      </c>
      <c r="CO74" s="35"/>
    </row>
    <row r="75" spans="1:99" s="8" customFormat="1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6"/>
      <c r="R75" s="14"/>
      <c r="X75" s="14"/>
      <c r="Z75" s="14"/>
      <c r="AI75" s="14"/>
      <c r="AU75" s="14">
        <f t="shared" si="1"/>
        <v>0</v>
      </c>
      <c r="AX75" s="14"/>
      <c r="BC75" s="14"/>
      <c r="BH75" s="14"/>
      <c r="CO75" s="35"/>
    </row>
    <row r="76" spans="1:99" s="8" customFormat="1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6" t="s">
        <v>199</v>
      </c>
      <c r="K76" s="8">
        <v>0.26505536203125002</v>
      </c>
      <c r="L76" s="8">
        <v>0.20883688723647734</v>
      </c>
      <c r="M76" s="8">
        <v>2.0241985395656439</v>
      </c>
      <c r="N76" s="8">
        <v>249292.11884599994</v>
      </c>
      <c r="O76" s="8">
        <v>132950.36623399996</v>
      </c>
      <c r="P76" s="8">
        <v>132948.09398699997</v>
      </c>
      <c r="Q76" s="8">
        <v>1204.3318811980675</v>
      </c>
      <c r="R76" s="14">
        <v>19.424707761259153</v>
      </c>
      <c r="S76" s="8">
        <v>642.27378167632844</v>
      </c>
      <c r="T76" s="8">
        <v>619.16534710106362</v>
      </c>
      <c r="U76" s="8">
        <v>1.831910398852294</v>
      </c>
      <c r="V76" s="8">
        <v>1.3774312177259342</v>
      </c>
      <c r="W76" s="8">
        <v>1658.8843296648195</v>
      </c>
      <c r="X76" s="14">
        <v>26.756198865561604</v>
      </c>
      <c r="Y76" s="8">
        <v>1583.7203749999999</v>
      </c>
      <c r="Z76" s="14">
        <v>25.543877016129031</v>
      </c>
      <c r="AA76" s="8">
        <v>819.54193899999996</v>
      </c>
      <c r="AB76" s="8">
        <v>764.17843600000003</v>
      </c>
      <c r="AC76" s="8">
        <v>3.4957877586186847</v>
      </c>
      <c r="AD76" s="8">
        <v>-1390.0026246069754</v>
      </c>
      <c r="AE76" s="8">
        <v>1.2804606861413046</v>
      </c>
      <c r="AF76" s="8">
        <v>1.0088738513839486</v>
      </c>
      <c r="AG76" s="8">
        <v>9.7787369061142222</v>
      </c>
      <c r="AH76" s="8">
        <v>2526.0071940300068</v>
      </c>
      <c r="AI76" s="14">
        <v>40.74205151661301</v>
      </c>
      <c r="AJ76" s="8">
        <v>1.9247981816030793</v>
      </c>
      <c r="AK76" s="8">
        <v>1312.349117</v>
      </c>
      <c r="AL76" s="8">
        <v>-7.0000000000000001E-3</v>
      </c>
      <c r="AM76" s="8">
        <v>0.19500000000000001</v>
      </c>
      <c r="AN76" s="8">
        <v>0.19500000000000001</v>
      </c>
      <c r="AO76" s="8">
        <v>0.188</v>
      </c>
      <c r="AP76" s="8">
        <v>1.8276762402088789</v>
      </c>
      <c r="AQ76" s="8">
        <v>0.20699999999999999</v>
      </c>
      <c r="AR76" s="8">
        <v>0.20699999999999999</v>
      </c>
      <c r="AS76" s="8">
        <v>0.188</v>
      </c>
      <c r="AT76" s="8">
        <v>4.8101265822784782</v>
      </c>
      <c r="AU76" s="14">
        <f t="shared" si="1"/>
        <v>0.40200000000000002</v>
      </c>
      <c r="AV76" s="8">
        <v>0.46500000000000002</v>
      </c>
      <c r="AW76" s="8">
        <v>2318.089058</v>
      </c>
      <c r="AX76" s="14">
        <v>37.38853319354839</v>
      </c>
      <c r="AY76" s="8">
        <v>1827.067223</v>
      </c>
      <c r="AZ76" s="8">
        <v>1055.3867869999999</v>
      </c>
      <c r="BA76" s="8">
        <v>26.7716478154668</v>
      </c>
      <c r="BB76" s="8">
        <v>1502.6406141641025</v>
      </c>
      <c r="BC76" s="14">
        <v>24.236138938130686</v>
      </c>
      <c r="BD76" s="8">
        <v>852.63599819487172</v>
      </c>
      <c r="BE76" s="8">
        <v>674.3428397819149</v>
      </c>
      <c r="BF76" s="8">
        <v>11.676203623698632</v>
      </c>
      <c r="BG76" s="8">
        <v>2071.9469879999997</v>
      </c>
      <c r="BH76" s="14">
        <v>33.418499806451607</v>
      </c>
      <c r="BI76" s="8">
        <v>1616.2531739999999</v>
      </c>
      <c r="BJ76" s="8">
        <v>521.53487900000005</v>
      </c>
      <c r="BK76" s="8">
        <v>51.207990121553912</v>
      </c>
      <c r="BL76" s="8">
        <v>86.128996999999998</v>
      </c>
      <c r="BM76" s="8">
        <v>52.369892</v>
      </c>
      <c r="BN76" s="8">
        <v>123.639107</v>
      </c>
      <c r="BO76" s="8">
        <v>-40.491801785657564</v>
      </c>
      <c r="BP76" s="8">
        <v>117.724056</v>
      </c>
      <c r="BQ76" s="8">
        <v>61.170343000000003</v>
      </c>
      <c r="BR76" s="8">
        <v>56.679951000000003</v>
      </c>
      <c r="BS76" s="8">
        <v>3.8102509952160148</v>
      </c>
      <c r="BT76" s="8">
        <v>-57.911119342995178</v>
      </c>
      <c r="BU76" s="8">
        <v>37.458366536231878</v>
      </c>
      <c r="BV76" s="8">
        <v>-105.08175284042555</v>
      </c>
      <c r="BW76" s="8">
        <v>-210.78524334090881</v>
      </c>
      <c r="BX76" s="8">
        <v>71.469681217391297</v>
      </c>
      <c r="BY76" s="8">
        <v>44.45082851207728</v>
      </c>
      <c r="BZ76" s="8">
        <v>30.781623489361699</v>
      </c>
      <c r="CA76" s="8">
        <v>18.169293515056676</v>
      </c>
      <c r="CB76" s="8">
        <v>0.8859610185478769</v>
      </c>
      <c r="CC76" s="8">
        <v>0.87831700340681884</v>
      </c>
      <c r="CD76" s="8">
        <v>0.80908466232521314</v>
      </c>
      <c r="CE76" s="8">
        <v>-836.09971581681702</v>
      </c>
      <c r="CF76" s="8">
        <v>-553.90290879015777</v>
      </c>
      <c r="CG76" s="8">
        <v>20.3018902289088</v>
      </c>
      <c r="CH76" s="8">
        <v>10574.60322397135</v>
      </c>
      <c r="CI76" s="8">
        <v>2270.0549744424325</v>
      </c>
      <c r="CJ76" s="8">
        <v>14200.310421595264</v>
      </c>
      <c r="CK76" s="8">
        <v>170.55811651566694</v>
      </c>
      <c r="CL76" s="8">
        <v>36.613789910361817</v>
      </c>
      <c r="CM76" s="8">
        <v>229.03726486443975</v>
      </c>
      <c r="CN76" s="8">
        <v>47.718254101693802</v>
      </c>
      <c r="CO76" s="35"/>
    </row>
    <row r="77" spans="1:99" s="8" customFormat="1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6"/>
      <c r="AU77" s="14">
        <f t="shared" si="1"/>
        <v>0</v>
      </c>
      <c r="CO77" s="35"/>
    </row>
    <row r="78" spans="1:99" s="8" customFormat="1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6"/>
      <c r="K78" s="8">
        <v>0.30523320708124996</v>
      </c>
      <c r="L78" s="8">
        <v>0.21525301436115057</v>
      </c>
      <c r="M78" s="8">
        <v>2.0550581845207629</v>
      </c>
      <c r="N78" s="8">
        <v>493921.47957699979</v>
      </c>
      <c r="O78" s="8">
        <v>232252.22992099993</v>
      </c>
      <c r="P78" s="8">
        <v>232242.38351699992</v>
      </c>
      <c r="Q78" s="8">
        <v>1751.5677664503551</v>
      </c>
      <c r="R78" s="8">
        <v>17.005512295634514</v>
      </c>
      <c r="S78" s="8">
        <v>857.07366590774905</v>
      </c>
      <c r="T78" s="8">
        <v>928.35726233687933</v>
      </c>
      <c r="U78" s="8">
        <v>-3.9925149330315315</v>
      </c>
      <c r="V78" s="8">
        <v>1.2866370124371003</v>
      </c>
      <c r="W78" s="8">
        <v>2253.6319181068093</v>
      </c>
      <c r="X78" s="8">
        <v>21.879921535017566</v>
      </c>
      <c r="Y78" s="8">
        <v>2131.1516649999999</v>
      </c>
      <c r="Z78" s="8">
        <v>20.690792864077668</v>
      </c>
      <c r="AA78" s="8">
        <v>1057.9656030000001</v>
      </c>
      <c r="AB78" s="8">
        <v>1155.3656619999999</v>
      </c>
      <c r="AC78" s="8">
        <v>-4.400609187617464</v>
      </c>
      <c r="AD78" s="8">
        <v>-3859.594920328032</v>
      </c>
      <c r="AE78" s="8">
        <v>1.0823872591533688</v>
      </c>
      <c r="AF78" s="8">
        <v>0.76330856156436377</v>
      </c>
      <c r="AG78" s="8">
        <v>7.2874403706410043</v>
      </c>
      <c r="AH78" s="8">
        <v>3963.9102866179878</v>
      </c>
      <c r="AI78" s="8">
        <v>38.48456588949503</v>
      </c>
      <c r="AJ78" s="8">
        <v>1.9746801727429073</v>
      </c>
      <c r="AK78" s="8">
        <v>2007.368252</v>
      </c>
      <c r="AL78" s="8">
        <v>8.9999999999999993E-3</v>
      </c>
      <c r="AM78" s="8">
        <v>0.28299999999999997</v>
      </c>
      <c r="AN78" s="8">
        <v>0.27400000000000002</v>
      </c>
      <c r="AO78" s="8">
        <v>0.28299999999999997</v>
      </c>
      <c r="AP78" s="8">
        <v>-1.6157989228007097</v>
      </c>
      <c r="AQ78" s="8">
        <v>0.28199999999999997</v>
      </c>
      <c r="AR78" s="8">
        <v>0.27100000000000002</v>
      </c>
      <c r="AS78" s="8">
        <v>0.28199999999999997</v>
      </c>
      <c r="AT78" s="8">
        <v>-1.9891500904159052</v>
      </c>
      <c r="AU78" s="14">
        <f t="shared" si="1"/>
        <v>0.56499999999999995</v>
      </c>
      <c r="AV78" s="8">
        <v>0.499</v>
      </c>
      <c r="AW78" s="8">
        <v>4094.8602899999996</v>
      </c>
      <c r="AX78" s="8">
        <v>39.755925145631068</v>
      </c>
      <c r="AY78" s="8">
        <v>2244.2409819999998</v>
      </c>
      <c r="AZ78" s="8">
        <v>1995.5562130000001</v>
      </c>
      <c r="BA78" s="8">
        <v>5.8654873703221959</v>
      </c>
      <c r="BB78" s="8">
        <v>2033.2022776996466</v>
      </c>
      <c r="BC78" s="8">
        <v>19.739827938831521</v>
      </c>
      <c r="BD78" s="8">
        <v>1047.3295228649636</v>
      </c>
      <c r="BE78" s="8">
        <v>1019.5514975724384</v>
      </c>
      <c r="BF78" s="8">
        <v>1.3439586032217117</v>
      </c>
      <c r="BG78" s="8">
        <v>5629.4927480000006</v>
      </c>
      <c r="BH78" s="8">
        <v>54.655269398058259</v>
      </c>
      <c r="BI78" s="8">
        <v>2271.8505970000001</v>
      </c>
      <c r="BJ78" s="8">
        <v>3371.9791260000002</v>
      </c>
      <c r="BK78" s="8">
        <v>-19.492588951022114</v>
      </c>
      <c r="BL78" s="8">
        <v>73.649668000000005</v>
      </c>
      <c r="BM78" s="8">
        <v>172.70883900000001</v>
      </c>
      <c r="BN78" s="8">
        <v>129.680408</v>
      </c>
      <c r="BO78" s="8">
        <v>14.229484489572478</v>
      </c>
      <c r="BP78" s="8">
        <v>195.10669899999999</v>
      </c>
      <c r="BQ78" s="8">
        <v>119.22085199999999</v>
      </c>
      <c r="BR78" s="8">
        <v>139.74321699999999</v>
      </c>
      <c r="BS78" s="8">
        <v>-7.9247924545084265</v>
      </c>
      <c r="BT78" s="8">
        <v>-37.512801400709229</v>
      </c>
      <c r="BU78" s="8">
        <v>-147.0868598339483</v>
      </c>
      <c r="BV78" s="8">
        <v>103.76263838652483</v>
      </c>
      <c r="BW78" s="8">
        <v>579.00520734087274</v>
      </c>
      <c r="BX78" s="8">
        <v>-1.00272545390071</v>
      </c>
      <c r="BY78" s="8">
        <v>29.096292084870846</v>
      </c>
      <c r="BZ78" s="8">
        <v>-27.992857397163124</v>
      </c>
      <c r="CA78" s="8">
        <v>5173.7678829574525</v>
      </c>
      <c r="CB78" s="8">
        <v>0.88801388910889734</v>
      </c>
      <c r="CC78" s="8">
        <v>0.7837390112421565</v>
      </c>
      <c r="CD78" s="8">
        <v>0.81090282790707147</v>
      </c>
      <c r="CE78" s="8">
        <v>-1301.0965027477673</v>
      </c>
      <c r="CF78" s="8">
        <v>-2558.4984175802642</v>
      </c>
      <c r="CG78" s="8">
        <v>-32.578598033951941</v>
      </c>
      <c r="CH78" s="8">
        <v>6317.7434692827574</v>
      </c>
      <c r="CI78" s="8">
        <v>4167.0607349847151</v>
      </c>
      <c r="CJ78" s="8">
        <v>11974.086269051148</v>
      </c>
      <c r="CK78" s="8">
        <v>61.337315235754929</v>
      </c>
      <c r="CL78" s="8">
        <v>40.45690033965743</v>
      </c>
      <c r="CM78" s="8">
        <v>116.2532647480694</v>
      </c>
      <c r="CN78" s="8">
        <v>61.524572575832615</v>
      </c>
      <c r="CO78" s="35"/>
      <c r="CU78" s="15"/>
    </row>
    <row r="79" spans="1:99" s="8" customFormat="1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6"/>
      <c r="K79" s="8">
        <v>0.42526660308124997</v>
      </c>
      <c r="L79" s="8">
        <v>0.38275846277370684</v>
      </c>
      <c r="M79" s="8">
        <v>2.7403870236921151</v>
      </c>
      <c r="N79" s="8">
        <v>292251.01229100011</v>
      </c>
      <c r="O79" s="8">
        <v>141579.18993800005</v>
      </c>
      <c r="P79" s="8">
        <v>141576.25044300006</v>
      </c>
      <c r="Q79" s="8">
        <v>1922.7414007171051</v>
      </c>
      <c r="R79" s="8">
        <v>27.467734295958643</v>
      </c>
      <c r="S79" s="8">
        <v>950.23148891275173</v>
      </c>
      <c r="T79" s="8">
        <v>991.33649685526291</v>
      </c>
      <c r="U79" s="8">
        <v>-2.1171037143080782</v>
      </c>
      <c r="V79" s="8">
        <v>1.8444725723008375</v>
      </c>
      <c r="W79" s="8">
        <v>3546.4437772499941</v>
      </c>
      <c r="X79" s="8">
        <v>50.663482532142773</v>
      </c>
      <c r="Y79" s="8">
        <v>2866.0252620000001</v>
      </c>
      <c r="Z79" s="8">
        <v>40.94321802857143</v>
      </c>
      <c r="AA79" s="8">
        <v>1396.332075</v>
      </c>
      <c r="AB79" s="8">
        <v>1470.7572170000001</v>
      </c>
      <c r="AC79" s="8">
        <v>-2.5958431852006667</v>
      </c>
      <c r="AD79" s="8">
        <v>-9877.6241697469377</v>
      </c>
      <c r="AE79" s="8">
        <v>2.7978065992187497</v>
      </c>
      <c r="AF79" s="8">
        <v>2.5181477814059661</v>
      </c>
      <c r="AG79" s="8">
        <v>18.028861997974442</v>
      </c>
      <c r="AH79" s="8">
        <v>4721.4685173870657</v>
      </c>
      <c r="AI79" s="8">
        <v>67.449550248386657</v>
      </c>
      <c r="AJ79" s="8">
        <v>2.4014960091791551</v>
      </c>
      <c r="AK79" s="8">
        <v>1966.0530349999999</v>
      </c>
      <c r="AL79" s="8">
        <v>-5.0000000000000001E-3</v>
      </c>
      <c r="AM79" s="8">
        <v>0.123</v>
      </c>
      <c r="AN79" s="8">
        <v>0.123</v>
      </c>
      <c r="AO79" s="8">
        <v>0.11799999999999999</v>
      </c>
      <c r="AP79" s="8">
        <v>2.0746887966804999</v>
      </c>
      <c r="AQ79" s="8">
        <v>0.152</v>
      </c>
      <c r="AR79" s="8">
        <v>0.14899999999999999</v>
      </c>
      <c r="AS79" s="8">
        <v>0.152</v>
      </c>
      <c r="AT79" s="8">
        <v>-0.99667774086378835</v>
      </c>
      <c r="AU79" s="14">
        <f t="shared" si="1"/>
        <v>0.27500000000000002</v>
      </c>
      <c r="AV79" s="8">
        <v>0.58899999999999997</v>
      </c>
      <c r="AW79" s="8">
        <v>4070.6049929999999</v>
      </c>
      <c r="AX79" s="8">
        <v>58.151499899999997</v>
      </c>
      <c r="AY79" s="8">
        <v>2127.0760519999999</v>
      </c>
      <c r="AZ79" s="8">
        <v>1.2262919999999999</v>
      </c>
      <c r="BA79" s="8">
        <v>99.884763365181001</v>
      </c>
      <c r="BB79" s="8">
        <v>2304.4742089999995</v>
      </c>
      <c r="BC79" s="8">
        <v>32.921060128571419</v>
      </c>
      <c r="BD79" s="8">
        <v>1173.6112287804879</v>
      </c>
      <c r="BE79" s="8">
        <v>1179.218449822034</v>
      </c>
      <c r="BF79" s="8">
        <v>-0.23831818735288135</v>
      </c>
      <c r="BG79" s="8">
        <v>3720.516533</v>
      </c>
      <c r="BH79" s="8">
        <v>53.150236185714284</v>
      </c>
      <c r="BI79" s="8">
        <v>1876.8403020000001</v>
      </c>
      <c r="BJ79" s="8">
        <v>1853.52269</v>
      </c>
      <c r="BK79" s="8">
        <v>0.62507622046450029</v>
      </c>
      <c r="BL79" s="8">
        <v>48.294273000000004</v>
      </c>
      <c r="BM79" s="8">
        <v>229.96586600000001</v>
      </c>
      <c r="BN79" s="8">
        <v>191.98687000000001</v>
      </c>
      <c r="BO79" s="8">
        <v>9.0007701715672717</v>
      </c>
      <c r="BP79" s="8">
        <v>137.41686099999998</v>
      </c>
      <c r="BQ79" s="8">
        <v>60.196522000000002</v>
      </c>
      <c r="BR79" s="8">
        <v>80.105735999999993</v>
      </c>
      <c r="BS79" s="8">
        <v>-14.19023063762808</v>
      </c>
      <c r="BT79" s="8">
        <v>-9.6086451381578915</v>
      </c>
      <c r="BU79" s="8">
        <v>-131.39929499328861</v>
      </c>
      <c r="BV79" s="8">
        <v>119.17825986184212</v>
      </c>
      <c r="BW79" s="8">
        <v>2050.3791385916124</v>
      </c>
      <c r="BX79" s="8">
        <v>70.702581467105261</v>
      </c>
      <c r="BY79" s="8">
        <v>29.929785020134233</v>
      </c>
      <c r="BZ79" s="8">
        <v>41.547412263157895</v>
      </c>
      <c r="CA79" s="8">
        <v>-16.253613298487984</v>
      </c>
      <c r="CB79" s="8">
        <v>0.93914574855042621</v>
      </c>
      <c r="CC79" s="8">
        <v>0.82794939777990839</v>
      </c>
      <c r="CD79" s="8">
        <v>0.84388063595081197</v>
      </c>
      <c r="CE79" s="8">
        <v>-4985.1472531509735</v>
      </c>
      <c r="CF79" s="8">
        <v>-4892.4769165959651</v>
      </c>
      <c r="CG79" s="8">
        <v>0.93818447596779286</v>
      </c>
      <c r="CH79" s="8">
        <v>6936.0822078499132</v>
      </c>
      <c r="CI79" s="8">
        <v>4.166188536919142</v>
      </c>
      <c r="CJ79" s="8">
        <v>21295.307065499372</v>
      </c>
      <c r="CK79" s="8">
        <v>99.086888683570194</v>
      </c>
      <c r="CL79" s="8">
        <v>5.9516979098844888E-2</v>
      </c>
      <c r="CM79" s="8">
        <v>304.21867236427676</v>
      </c>
      <c r="CN79" s="8">
        <v>51.914746103688081</v>
      </c>
      <c r="CO79" s="35"/>
      <c r="CU79" s="15"/>
    </row>
    <row r="80" spans="1:99" s="8" customFormat="1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6"/>
      <c r="K80" s="8">
        <v>0.33530039598125</v>
      </c>
      <c r="L80" s="8">
        <v>0.22386949475752599</v>
      </c>
      <c r="M80" s="8">
        <v>2.0957861262883339</v>
      </c>
      <c r="N80" s="8">
        <v>631766.2840890002</v>
      </c>
      <c r="O80" s="8">
        <v>276542.35259299999</v>
      </c>
      <c r="P80" s="8">
        <v>276537.44742400001</v>
      </c>
      <c r="Q80" s="8">
        <v>1641.0081583012986</v>
      </c>
      <c r="R80" s="8">
        <v>15.194519984271283</v>
      </c>
      <c r="S80" s="8">
        <v>727.75831433947394</v>
      </c>
      <c r="T80" s="8">
        <v>922.8792456987012</v>
      </c>
      <c r="U80" s="8">
        <v>-11.820943378673304</v>
      </c>
      <c r="V80" s="8">
        <v>0.94647164943645101</v>
      </c>
      <c r="W80" s="8">
        <v>1553.1676983261029</v>
      </c>
      <c r="X80" s="8">
        <v>14.381182391908361</v>
      </c>
      <c r="Y80" s="8">
        <v>2422.792786</v>
      </c>
      <c r="Z80" s="8">
        <v>22.433266537037039</v>
      </c>
      <c r="AA80" s="8">
        <v>1198.2678530000001</v>
      </c>
      <c r="AB80" s="8">
        <v>1224.7413329999999</v>
      </c>
      <c r="AC80" s="8">
        <v>-1.0925868607086608</v>
      </c>
      <c r="AD80" s="8">
        <v>-4601.4583500615181</v>
      </c>
      <c r="AE80" s="8">
        <v>0.87091011943181817</v>
      </c>
      <c r="AF80" s="8">
        <v>0.5814792071624052</v>
      </c>
      <c r="AG80" s="8">
        <v>5.4436003280216463</v>
      </c>
      <c r="AH80" s="8">
        <v>4384.7002113012159</v>
      </c>
      <c r="AI80" s="8">
        <v>40.599076030566813</v>
      </c>
      <c r="AJ80" s="8">
        <v>1.9588089447311523</v>
      </c>
      <c r="AK80" s="8">
        <v>2238.4522099999999</v>
      </c>
      <c r="AL80" s="8">
        <v>5.0000000000000001E-3</v>
      </c>
      <c r="AM80" s="8">
        <v>0.53</v>
      </c>
      <c r="AN80" s="8">
        <v>0.52500000000000002</v>
      </c>
      <c r="AO80" s="8">
        <v>0.53</v>
      </c>
      <c r="AP80" s="8">
        <v>-0.47393364928909992</v>
      </c>
      <c r="AQ80" s="8">
        <v>0.38500000000000001</v>
      </c>
      <c r="AR80" s="8">
        <v>0.38</v>
      </c>
      <c r="AS80" s="8">
        <v>0.38500000000000001</v>
      </c>
      <c r="AT80" s="8">
        <v>-0.65359477124183063</v>
      </c>
      <c r="AU80" s="14">
        <f t="shared" si="1"/>
        <v>0.91500000000000004</v>
      </c>
      <c r="AV80" s="8">
        <v>0.52300000000000002</v>
      </c>
      <c r="AW80" s="8">
        <v>3473.4907990000002</v>
      </c>
      <c r="AX80" s="8">
        <v>32.161951842592593</v>
      </c>
      <c r="AY80" s="8">
        <v>10.621855</v>
      </c>
      <c r="AZ80" s="8">
        <v>1.298427</v>
      </c>
      <c r="BA80" s="8">
        <v>78.214827468007883</v>
      </c>
      <c r="BB80" s="8">
        <v>1631.8718912094344</v>
      </c>
      <c r="BC80" s="8">
        <v>15.109924918605874</v>
      </c>
      <c r="BD80" s="8">
        <v>723.80480622857146</v>
      </c>
      <c r="BE80" s="8">
        <v>915.14497792264126</v>
      </c>
      <c r="BF80" s="8">
        <v>-11.674559742119369</v>
      </c>
      <c r="BG80" s="8">
        <v>3269.926269</v>
      </c>
      <c r="BH80" s="8">
        <v>30.277095083333332</v>
      </c>
      <c r="BI80" s="8">
        <v>1853.450531</v>
      </c>
      <c r="BJ80" s="8">
        <v>1516.652969</v>
      </c>
      <c r="BK80" s="8">
        <v>9.9936860099400491</v>
      </c>
      <c r="BL80" s="8">
        <v>78.915512000000007</v>
      </c>
      <c r="BM80" s="8">
        <v>188.975235</v>
      </c>
      <c r="BN80" s="8">
        <v>151.320854</v>
      </c>
      <c r="BO80" s="8">
        <v>11.065181827581922</v>
      </c>
      <c r="BP80" s="8">
        <v>381.61132899999996</v>
      </c>
      <c r="BQ80" s="8">
        <v>192.81642199999999</v>
      </c>
      <c r="BR80" s="8">
        <v>190.61631</v>
      </c>
      <c r="BS80" s="8">
        <v>0.57379347572235695</v>
      </c>
      <c r="BT80" s="8">
        <v>-11.775356262337667</v>
      </c>
      <c r="BU80" s="8">
        <v>98.792456631578958</v>
      </c>
      <c r="BV80" s="8">
        <v>-109.3534625922078</v>
      </c>
      <c r="BW80" s="8">
        <v>-1970.8910306437594</v>
      </c>
      <c r="BX80" s="8">
        <v>-60.832526371428571</v>
      </c>
      <c r="BY80" s="8">
        <v>-37.652012418421037</v>
      </c>
      <c r="BZ80" s="8">
        <v>-23.240954612987011</v>
      </c>
      <c r="CA80" s="8">
        <v>23.666210578967078</v>
      </c>
      <c r="CB80" s="8">
        <v>0.84027894906706435</v>
      </c>
      <c r="CC80" s="8">
        <v>0.75836881169114956</v>
      </c>
      <c r="CD80" s="8">
        <v>0.78174388385698257</v>
      </c>
      <c r="CE80" s="8">
        <v>-2633.3041925768975</v>
      </c>
      <c r="CF80" s="8">
        <v>-1968.1541574846228</v>
      </c>
      <c r="CG80" s="8">
        <v>14.455200601421977</v>
      </c>
      <c r="CH80" s="8">
        <v>3.2669637887803331</v>
      </c>
      <c r="CI80" s="8">
        <v>0.47977385875479472</v>
      </c>
      <c r="CJ80" s="8">
        <v>5002.9991691110308</v>
      </c>
      <c r="CK80" s="8">
        <v>3.0249664710929009E-2</v>
      </c>
      <c r="CL80" s="8">
        <v>4.4423505440258767E-3</v>
      </c>
      <c r="CM80" s="8">
        <v>46.32406638065769</v>
      </c>
      <c r="CN80" s="8">
        <v>58.07144986768683</v>
      </c>
      <c r="CO80" s="35"/>
      <c r="CU80" s="15"/>
    </row>
    <row r="81" spans="1:99" s="8" customFormat="1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6"/>
      <c r="K81" s="8">
        <v>0.39548258119999996</v>
      </c>
      <c r="L81" s="8">
        <v>0.31114944134750561</v>
      </c>
      <c r="M81" s="8">
        <v>2.4707796419830848</v>
      </c>
      <c r="N81" s="8">
        <v>371202.66358400014</v>
      </c>
      <c r="O81" s="8">
        <v>189255.30381099993</v>
      </c>
      <c r="P81" s="8">
        <v>189249.87566399993</v>
      </c>
      <c r="Q81" s="8">
        <v>1527.6416800370373</v>
      </c>
      <c r="R81" s="8">
        <v>19.83950233814334</v>
      </c>
      <c r="S81" s="8">
        <v>778.87449689300411</v>
      </c>
      <c r="T81" s="8">
        <v>758.17253347500014</v>
      </c>
      <c r="U81" s="8">
        <v>1.3468659715016948</v>
      </c>
      <c r="V81" s="8">
        <v>1.5764301089387902</v>
      </c>
      <c r="W81" s="8">
        <v>2408.2203400802232</v>
      </c>
      <c r="X81" s="8">
        <v>31.275588832210691</v>
      </c>
      <c r="Y81" s="8">
        <v>1976.4584810000001</v>
      </c>
      <c r="Z81" s="8">
        <v>25.668291961038964</v>
      </c>
      <c r="AA81" s="8">
        <v>1015.947052</v>
      </c>
      <c r="AB81" s="8">
        <v>960.79994999999997</v>
      </c>
      <c r="AC81" s="8">
        <v>2.7897905975931265</v>
      </c>
      <c r="AD81" s="8">
        <v>-3705.290480915869</v>
      </c>
      <c r="AE81" s="8">
        <v>1.6275003341563785</v>
      </c>
      <c r="AF81" s="8">
        <v>1.2804503759156609</v>
      </c>
      <c r="AG81" s="8">
        <v>10.167817456720513</v>
      </c>
      <c r="AH81" s="8">
        <v>3657.1514226536656</v>
      </c>
      <c r="AI81" s="8">
        <v>47.49547302147618</v>
      </c>
      <c r="AJ81" s="8">
        <v>2.3268882861318554</v>
      </c>
      <c r="AK81" s="8">
        <v>1571.691879</v>
      </c>
      <c r="AL81" s="8">
        <v>1.2999999999999999E-2</v>
      </c>
      <c r="AM81" s="8">
        <v>0.23899999999999999</v>
      </c>
      <c r="AN81" s="8">
        <v>0.22600000000000001</v>
      </c>
      <c r="AO81" s="8">
        <v>0.23899999999999999</v>
      </c>
      <c r="AP81" s="8">
        <v>-2.7956989247311794</v>
      </c>
      <c r="AQ81" s="8">
        <v>0.24299999999999999</v>
      </c>
      <c r="AR81" s="8">
        <v>0.24299999999999999</v>
      </c>
      <c r="AS81" s="8">
        <v>0.24</v>
      </c>
      <c r="AT81" s="8">
        <v>0.62111801242236087</v>
      </c>
      <c r="AU81" s="14">
        <f t="shared" si="1"/>
        <v>0.48199999999999998</v>
      </c>
      <c r="AV81" s="8">
        <v>0.56799999999999995</v>
      </c>
      <c r="AW81" s="8">
        <v>2065.9777990000002</v>
      </c>
      <c r="AX81" s="8">
        <v>26.830880506493511</v>
      </c>
      <c r="AY81" s="8">
        <v>1191.0183179999999</v>
      </c>
      <c r="AZ81" s="8">
        <v>1122.327896</v>
      </c>
      <c r="BA81" s="8">
        <v>2.9693100662709493</v>
      </c>
      <c r="BB81" s="8">
        <v>1662.7067206150627</v>
      </c>
      <c r="BC81" s="8">
        <v>21.593593774221596</v>
      </c>
      <c r="BD81" s="8">
        <v>898.38737448230097</v>
      </c>
      <c r="BE81" s="8">
        <v>813.46622159832634</v>
      </c>
      <c r="BF81" s="8">
        <v>4.960771942086974</v>
      </c>
      <c r="BG81" s="8">
        <v>2182.655937</v>
      </c>
      <c r="BH81" s="8">
        <v>28.346181000000001</v>
      </c>
      <c r="BI81" s="8">
        <v>1029.923164</v>
      </c>
      <c r="BJ81" s="8">
        <v>1181.171906</v>
      </c>
      <c r="BK81" s="8">
        <v>-6.8404449927157582</v>
      </c>
      <c r="BL81" s="8">
        <v>17.132021999999999</v>
      </c>
      <c r="BM81" s="8">
        <v>91.214500000000001</v>
      </c>
      <c r="BN81" s="8">
        <v>93.396581999999995</v>
      </c>
      <c r="BO81" s="8">
        <v>-1.1819886305633558</v>
      </c>
      <c r="BP81" s="8">
        <v>106.344784</v>
      </c>
      <c r="BQ81" s="8">
        <v>43.172699999999999</v>
      </c>
      <c r="BR81" s="8">
        <v>63.839333000000003</v>
      </c>
      <c r="BS81" s="8">
        <v>-19.312438443254322</v>
      </c>
      <c r="BT81" s="8">
        <v>-1.2187968971193419</v>
      </c>
      <c r="BU81" s="8">
        <v>51.648988934156385</v>
      </c>
      <c r="BV81" s="8">
        <v>-53.548545375000003</v>
      </c>
      <c r="BW81" s="8">
        <v>-5538.0051914875867</v>
      </c>
      <c r="BX81" s="8">
        <v>60.429401860082315</v>
      </c>
      <c r="BY81" s="8">
        <v>21.311837123456787</v>
      </c>
      <c r="BZ81" s="8">
        <v>39.715487958333334</v>
      </c>
      <c r="CA81" s="8">
        <v>-30.156410772078868</v>
      </c>
      <c r="CB81" s="8">
        <v>0.94119970897941285</v>
      </c>
      <c r="CC81" s="8">
        <v>0.88317552070943628</v>
      </c>
      <c r="CD81" s="8">
        <v>0.85936415823297418</v>
      </c>
      <c r="CE81" s="8">
        <v>-2095.7239428844523</v>
      </c>
      <c r="CF81" s="8">
        <v>-1609.5665380314176</v>
      </c>
      <c r="CG81" s="8">
        <v>13.120628662097952</v>
      </c>
      <c r="CH81" s="8">
        <v>2874.5129728581205</v>
      </c>
      <c r="CI81" s="8">
        <v>1653.1124912447801</v>
      </c>
      <c r="CJ81" s="8">
        <v>5063.420894363172</v>
      </c>
      <c r="CK81" s="8">
        <v>37.331337309845722</v>
      </c>
      <c r="CL81" s="8">
        <v>21.468993392789351</v>
      </c>
      <c r="CM81" s="8">
        <v>65.758712913807429</v>
      </c>
      <c r="CN81" s="8">
        <v>22.612210074383295</v>
      </c>
      <c r="CO81" s="35"/>
      <c r="CU81" s="15"/>
    </row>
    <row r="82" spans="1:99" s="8" customFormat="1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6"/>
      <c r="K82" s="8">
        <v>0.38855050548124992</v>
      </c>
      <c r="L82" s="8">
        <v>1.2061507986264859</v>
      </c>
      <c r="M82" s="8">
        <v>4.8646355124563705</v>
      </c>
      <c r="N82" s="8">
        <v>646668.20587499975</v>
      </c>
      <c r="O82" s="8">
        <v>307520.35228599992</v>
      </c>
      <c r="P82" s="8">
        <v>307506.66470099991</v>
      </c>
      <c r="Q82" s="8">
        <v>2066.1133262044718</v>
      </c>
      <c r="R82" s="8">
        <v>25.196503978103316</v>
      </c>
      <c r="S82" s="8">
        <v>982.53871230351422</v>
      </c>
      <c r="T82" s="8">
        <v>1090.6212207652734</v>
      </c>
      <c r="U82" s="8">
        <v>-5.2134187400472491</v>
      </c>
      <c r="V82" s="8">
        <v>3.0261536332976253</v>
      </c>
      <c r="W82" s="8">
        <v>6252.3763488983041</v>
      </c>
      <c r="X82" s="8">
        <v>76.248492059735412</v>
      </c>
      <c r="Y82" s="8">
        <v>2766.8940419999999</v>
      </c>
      <c r="Z82" s="8">
        <v>33.74261026829268</v>
      </c>
      <c r="AA82" s="8">
        <v>1308.3997340000001</v>
      </c>
      <c r="AB82" s="8">
        <v>1468.8997340000001</v>
      </c>
      <c r="AC82" s="8">
        <v>-5.7789950939492991</v>
      </c>
      <c r="AD82" s="8">
        <v>-2756.7016423786686</v>
      </c>
      <c r="AE82" s="8">
        <v>1.2413754168730029</v>
      </c>
      <c r="AF82" s="8">
        <v>3.8535169285191242</v>
      </c>
      <c r="AG82" s="8">
        <v>15.541966493470833</v>
      </c>
      <c r="AH82" s="8">
        <v>8606.8713469516006</v>
      </c>
      <c r="AI82" s="8">
        <v>104.96184569453172</v>
      </c>
      <c r="AJ82" s="8">
        <v>4.5082484267938643</v>
      </c>
      <c r="AK82" s="8">
        <v>1909.138657</v>
      </c>
      <c r="AL82" s="8">
        <v>-1.2999999999999999E-2</v>
      </c>
      <c r="AM82" s="8">
        <v>0.17799999999999999</v>
      </c>
      <c r="AN82" s="8">
        <v>0.17799999999999999</v>
      </c>
      <c r="AO82" s="8">
        <v>0.16500000000000001</v>
      </c>
      <c r="AP82" s="8">
        <v>3.7900874635568469</v>
      </c>
      <c r="AQ82" s="8">
        <v>0.313</v>
      </c>
      <c r="AR82" s="8">
        <v>0.313</v>
      </c>
      <c r="AS82" s="8">
        <v>0.311</v>
      </c>
      <c r="AT82" s="8">
        <v>0.32051282051282082</v>
      </c>
      <c r="AU82" s="14">
        <f t="shared" si="1"/>
        <v>0.49099999999999999</v>
      </c>
      <c r="AV82" s="8">
        <v>0.56299999999999994</v>
      </c>
      <c r="AW82" s="8">
        <v>3235.0671840000005</v>
      </c>
      <c r="AX82" s="8">
        <v>39.452038829268297</v>
      </c>
      <c r="AY82" s="8">
        <v>1658.0913390000001</v>
      </c>
      <c r="AZ82" s="8">
        <v>1718.7748260000001</v>
      </c>
      <c r="BA82" s="8">
        <v>-1.7970355955756394</v>
      </c>
      <c r="BB82" s="8">
        <v>2106.4990529887641</v>
      </c>
      <c r="BC82" s="8">
        <v>25.689012841326392</v>
      </c>
      <c r="BD82" s="8">
        <v>1018.5446150674157</v>
      </c>
      <c r="BE82" s="8">
        <v>1174.6041298424241</v>
      </c>
      <c r="BF82" s="8">
        <v>-7.1157743010916441</v>
      </c>
      <c r="BG82" s="8">
        <v>7287.6023559999994</v>
      </c>
      <c r="BH82" s="8">
        <v>88.873199463414622</v>
      </c>
      <c r="BI82" s="8">
        <v>3315.263031</v>
      </c>
      <c r="BJ82" s="8">
        <v>4074.3739009999999</v>
      </c>
      <c r="BK82" s="8">
        <v>-10.272640956320261</v>
      </c>
      <c r="BL82" s="8">
        <v>28.150617999999994</v>
      </c>
      <c r="BM82" s="8">
        <v>188.56047100000001</v>
      </c>
      <c r="BN82" s="8">
        <v>182.69950900000001</v>
      </c>
      <c r="BO82" s="8">
        <v>1.5786678650362478</v>
      </c>
      <c r="BP82" s="8">
        <v>82.973096999999996</v>
      </c>
      <c r="BQ82" s="8">
        <v>50.296016999999999</v>
      </c>
      <c r="BR82" s="8">
        <v>54.191296000000001</v>
      </c>
      <c r="BS82" s="8">
        <v>-3.7279923161580415</v>
      </c>
      <c r="BT82" s="8">
        <v>8.1332605271565495</v>
      </c>
      <c r="BU82" s="8">
        <v>147.03983711821084</v>
      </c>
      <c r="BV82" s="8">
        <v>-139.82474255627011</v>
      </c>
      <c r="BW82" s="8">
        <v>3975.8949409710794</v>
      </c>
      <c r="BX82" s="8">
        <v>16.699733325878597</v>
      </c>
      <c r="BY82" s="8">
        <v>26.507708968051119</v>
      </c>
      <c r="BZ82" s="8">
        <v>-9.6516296463022506</v>
      </c>
      <c r="CA82" s="8">
        <v>214.51808528035409</v>
      </c>
      <c r="CB82" s="8">
        <v>0.96138880146596672</v>
      </c>
      <c r="CC82" s="8">
        <v>0.84562576992500216</v>
      </c>
      <c r="CD82" s="8">
        <v>0.86112550188086134</v>
      </c>
      <c r="CE82" s="8">
        <v>-818.21536995215558</v>
      </c>
      <c r="CF82" s="8">
        <v>-1938.4862724265117</v>
      </c>
      <c r="CG82" s="8">
        <v>-40.638090290674739</v>
      </c>
      <c r="CH82" s="8">
        <v>3647.358576134106</v>
      </c>
      <c r="CI82" s="8">
        <v>3918.5983844104926</v>
      </c>
      <c r="CJ82" s="8">
        <v>10669.17719952591</v>
      </c>
      <c r="CK82" s="8">
        <v>44.479982635781781</v>
      </c>
      <c r="CL82" s="8">
        <v>47.787785175737717</v>
      </c>
      <c r="CM82" s="8">
        <v>130.11191706738913</v>
      </c>
      <c r="CN82" s="8">
        <v>37.979265008055556</v>
      </c>
      <c r="CO82" s="35"/>
      <c r="CU82" s="15"/>
    </row>
    <row r="83" spans="1:99" s="8" customFormat="1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6"/>
      <c r="K83" s="8">
        <v>0.38717144532500009</v>
      </c>
      <c r="L83" s="8">
        <v>0.38301360540716001</v>
      </c>
      <c r="M83" s="8">
        <v>2.7413002276453557</v>
      </c>
      <c r="N83" s="8">
        <v>519713.86753000011</v>
      </c>
      <c r="O83" s="8">
        <v>256910.00920100001</v>
      </c>
      <c r="P83" s="8">
        <v>256903.967909</v>
      </c>
      <c r="Q83" s="8">
        <v>1849.5621994163698</v>
      </c>
      <c r="R83" s="8">
        <v>19.469075783330208</v>
      </c>
      <c r="S83" s="8">
        <v>927.48780103610102</v>
      </c>
      <c r="T83" s="8">
        <v>935.364801530249</v>
      </c>
      <c r="U83" s="8">
        <v>-0.42284614914224916</v>
      </c>
      <c r="V83" s="8">
        <v>1.6154890365405183</v>
      </c>
      <c r="W83" s="8">
        <v>2987.9474555569132</v>
      </c>
      <c r="X83" s="8">
        <v>31.452078479546454</v>
      </c>
      <c r="Y83" s="8">
        <v>2412.116822</v>
      </c>
      <c r="Z83" s="8">
        <v>25.390703389473682</v>
      </c>
      <c r="AA83" s="8">
        <v>1202.5598749999999</v>
      </c>
      <c r="AB83" s="8">
        <v>1211.6308059999999</v>
      </c>
      <c r="AC83" s="8">
        <v>-0.37573382547573397</v>
      </c>
      <c r="AD83" s="8">
        <v>-4980.907116404559</v>
      </c>
      <c r="AE83" s="8">
        <v>1.3778343250000002</v>
      </c>
      <c r="AF83" s="8">
        <v>1.363037741662491</v>
      </c>
      <c r="AG83" s="8">
        <v>9.7555168243606953</v>
      </c>
      <c r="AH83" s="8">
        <v>5545.8295293237734</v>
      </c>
      <c r="AI83" s="8">
        <v>58.377152940250248</v>
      </c>
      <c r="AJ83" s="8">
        <v>2.497244919384233</v>
      </c>
      <c r="AK83" s="8">
        <v>2220.7791820000002</v>
      </c>
      <c r="AL83" s="8">
        <v>-4.0000000000000001E-3</v>
      </c>
      <c r="AM83" s="8">
        <v>0.23499999999999999</v>
      </c>
      <c r="AN83" s="8">
        <v>0.23499999999999999</v>
      </c>
      <c r="AO83" s="8">
        <v>0.23100000000000001</v>
      </c>
      <c r="AP83" s="8">
        <v>0.85836909871244116</v>
      </c>
      <c r="AQ83" s="8">
        <v>0.28100000000000003</v>
      </c>
      <c r="AR83" s="8">
        <v>0.27700000000000002</v>
      </c>
      <c r="AS83" s="8">
        <v>0.28100000000000003</v>
      </c>
      <c r="AT83" s="8">
        <v>-0.71684587813620138</v>
      </c>
      <c r="AU83" s="14">
        <f t="shared" si="1"/>
        <v>0.51600000000000001</v>
      </c>
      <c r="AV83" s="8">
        <v>0.56200000000000006</v>
      </c>
      <c r="AW83" s="8">
        <v>2912.624397</v>
      </c>
      <c r="AX83" s="8">
        <v>30.65920417894737</v>
      </c>
      <c r="AY83" s="8">
        <v>1757.5833439999999</v>
      </c>
      <c r="AZ83" s="8">
        <v>1516.851341</v>
      </c>
      <c r="BA83" s="8">
        <v>7.3518645555148661</v>
      </c>
      <c r="BB83" s="8">
        <v>2066.6073810127659</v>
      </c>
      <c r="BC83" s="8">
        <v>21.753761905397536</v>
      </c>
      <c r="BD83" s="8">
        <v>1006.8960476553192</v>
      </c>
      <c r="BE83" s="8">
        <v>1078.1261095974028</v>
      </c>
      <c r="BF83" s="8">
        <v>-3.4162736206092941</v>
      </c>
      <c r="BG83" s="8">
        <v>4386.8080129999998</v>
      </c>
      <c r="BH83" s="8">
        <v>46.176926452631577</v>
      </c>
      <c r="BI83" s="8">
        <v>2756.668854</v>
      </c>
      <c r="BJ83" s="8">
        <v>1661.012817</v>
      </c>
      <c r="BK83" s="8">
        <v>24.801606783767738</v>
      </c>
      <c r="BL83" s="8">
        <v>50.909162999999999</v>
      </c>
      <c r="BM83" s="8">
        <v>193.51974100000001</v>
      </c>
      <c r="BN83" s="8">
        <v>184.16023999999999</v>
      </c>
      <c r="BO83" s="8">
        <v>2.4781565004368136</v>
      </c>
      <c r="BP83" s="8">
        <v>294.34621200000004</v>
      </c>
      <c r="BQ83" s="8">
        <v>130.61815999999999</v>
      </c>
      <c r="BR83" s="8">
        <v>164.90023199999999</v>
      </c>
      <c r="BS83" s="8">
        <v>-11.600655975415568</v>
      </c>
      <c r="BT83" s="8">
        <v>3.257940387900355</v>
      </c>
      <c r="BU83" s="8">
        <v>-143.43934322743686</v>
      </c>
      <c r="BV83" s="8">
        <v>144.60557697864766</v>
      </c>
      <c r="BW83" s="8">
        <v>-24698.729556320341</v>
      </c>
      <c r="BX83" s="8">
        <v>59.886868476868322</v>
      </c>
      <c r="BY83" s="8">
        <v>23.855733057761732</v>
      </c>
      <c r="BZ83" s="8">
        <v>36.637052946619207</v>
      </c>
      <c r="CA83" s="8">
        <v>-21.128667950475684</v>
      </c>
      <c r="CB83" s="8">
        <v>0.87478825840935259</v>
      </c>
      <c r="CC83" s="8">
        <v>0.78768692396392137</v>
      </c>
      <c r="CD83" s="8">
        <v>0.77634239588542131</v>
      </c>
      <c r="CE83" s="8">
        <v>-703.76923786738178</v>
      </c>
      <c r="CF83" s="8">
        <v>-4277.137878537178</v>
      </c>
      <c r="CG83" s="8">
        <v>-71.741322557510614</v>
      </c>
      <c r="CH83" s="8">
        <v>1645.3832427902323</v>
      </c>
      <c r="CI83" s="8">
        <v>3949.4960160167793</v>
      </c>
      <c r="CJ83" s="8">
        <v>8025.0138679935635</v>
      </c>
      <c r="CK83" s="8">
        <v>17.319823608318234</v>
      </c>
      <c r="CL83" s="8">
        <v>41.573642273860834</v>
      </c>
      <c r="CM83" s="8">
        <v>84.47383018940593</v>
      </c>
      <c r="CN83" s="8">
        <v>29.598166550000233</v>
      </c>
      <c r="CO83" s="35"/>
      <c r="CU83" s="15"/>
    </row>
    <row r="84" spans="1:99" s="8" customFormat="1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6"/>
      <c r="K84" s="8">
        <v>0.37894856930000009</v>
      </c>
      <c r="L84" s="8">
        <v>0.39489736800070879</v>
      </c>
      <c r="M84" s="8">
        <v>2.7835025346088527</v>
      </c>
      <c r="N84" s="8">
        <v>389380.31786800025</v>
      </c>
      <c r="O84" s="8">
        <v>186252.96195400011</v>
      </c>
      <c r="P84" s="8">
        <v>186252.7455490001</v>
      </c>
      <c r="Q84" s="8">
        <v>2082.3203061550803</v>
      </c>
      <c r="R84" s="8">
        <v>24.49788595476565</v>
      </c>
      <c r="S84" s="8">
        <v>996.04477972192512</v>
      </c>
      <c r="T84" s="8">
        <v>1098.0490693297297</v>
      </c>
      <c r="U84" s="8">
        <v>-4.8710467133074742</v>
      </c>
      <c r="V84" s="8">
        <v>1.8178497582136535</v>
      </c>
      <c r="W84" s="8">
        <v>3785.3454650673934</v>
      </c>
      <c r="X84" s="8">
        <v>44.53347605961639</v>
      </c>
      <c r="Y84" s="8">
        <v>2691.6573859999999</v>
      </c>
      <c r="Z84" s="8">
        <v>31.666557482352939</v>
      </c>
      <c r="AA84" s="8">
        <v>1273.937332</v>
      </c>
      <c r="AB84" s="8">
        <v>1442.1557539999999</v>
      </c>
      <c r="AC84" s="8">
        <v>-6.1933967899360844</v>
      </c>
      <c r="AD84" s="8">
        <v>2043.3382596445708</v>
      </c>
      <c r="AE84" s="8">
        <v>2.0264629374331555</v>
      </c>
      <c r="AF84" s="8">
        <v>2.1117506310198331</v>
      </c>
      <c r="AG84" s="8">
        <v>14.88504029202595</v>
      </c>
      <c r="AH84" s="8">
        <v>5764.4041127209166</v>
      </c>
      <c r="AI84" s="8">
        <v>67.816518973187257</v>
      </c>
      <c r="AJ84" s="8">
        <v>2.4688049665965242</v>
      </c>
      <c r="AK84" s="8">
        <v>2334.8965150000004</v>
      </c>
      <c r="AL84" s="8">
        <v>-3.0000000000000001E-3</v>
      </c>
      <c r="AM84" s="8">
        <v>0.159</v>
      </c>
      <c r="AN84" s="8">
        <v>0.159</v>
      </c>
      <c r="AO84" s="8">
        <v>0.156</v>
      </c>
      <c r="AP84" s="8">
        <v>0.95238095238095322</v>
      </c>
      <c r="AQ84" s="8">
        <v>0.187</v>
      </c>
      <c r="AR84" s="8">
        <v>0.187</v>
      </c>
      <c r="AS84" s="8">
        <v>0.185</v>
      </c>
      <c r="AT84" s="8">
        <v>0.53763440860215106</v>
      </c>
      <c r="AU84" s="14">
        <f t="shared" si="1"/>
        <v>0.34599999999999997</v>
      </c>
      <c r="AV84" s="8">
        <v>0.55600000000000005</v>
      </c>
      <c r="AW84" s="8">
        <v>3230.612838</v>
      </c>
      <c r="AX84" s="8">
        <v>38.007209858823529</v>
      </c>
      <c r="AY84" s="8">
        <v>1718.702667</v>
      </c>
      <c r="AZ84" s="8">
        <v>1.4607300000000001</v>
      </c>
      <c r="BA84" s="8">
        <v>99.83016380856057</v>
      </c>
      <c r="BB84" s="8">
        <v>2345.3094229685535</v>
      </c>
      <c r="BC84" s="8">
        <v>27.591875564335922</v>
      </c>
      <c r="BD84" s="8">
        <v>1123.1910261823898</v>
      </c>
      <c r="BE84" s="8">
        <v>1245.7577760833333</v>
      </c>
      <c r="BF84" s="8">
        <v>-5.1738876662812423</v>
      </c>
      <c r="BG84" s="8">
        <v>3053.6480160000001</v>
      </c>
      <c r="BH84" s="8">
        <v>35.92527077647059</v>
      </c>
      <c r="BI84" s="8">
        <v>1644.2595209999999</v>
      </c>
      <c r="BJ84" s="8">
        <v>1430.9748099999999</v>
      </c>
      <c r="BK84" s="8">
        <v>6.9355596368698329</v>
      </c>
      <c r="BL84" s="8">
        <v>55.399551999999986</v>
      </c>
      <c r="BM84" s="8">
        <v>147.858383</v>
      </c>
      <c r="BN84" s="8">
        <v>171.951424</v>
      </c>
      <c r="BO84" s="8">
        <v>-7.5335529032103761</v>
      </c>
      <c r="BP84" s="8">
        <v>241.02052699999999</v>
      </c>
      <c r="BQ84" s="8">
        <v>122.82759299999999</v>
      </c>
      <c r="BR84" s="8">
        <v>118.19293399999999</v>
      </c>
      <c r="BS84" s="8">
        <v>1.9229312364751405</v>
      </c>
      <c r="BT84" s="8">
        <v>-27.353761978609629</v>
      </c>
      <c r="BU84" s="8">
        <v>93.578171786096263</v>
      </c>
      <c r="BV84" s="8">
        <v>-122.25704729729732</v>
      </c>
      <c r="BW84" s="8">
        <v>-752.59303315116108</v>
      </c>
      <c r="BX84" s="8">
        <v>51.856075999999995</v>
      </c>
      <c r="BY84" s="8">
        <v>24.81689151336899</v>
      </c>
      <c r="BZ84" s="8">
        <v>27.567302929729738</v>
      </c>
      <c r="CA84" s="8">
        <v>-5.250460459687563</v>
      </c>
      <c r="CB84" s="8">
        <v>0.90079906479265259</v>
      </c>
      <c r="CC84" s="8">
        <v>0.82475599416501877</v>
      </c>
      <c r="CD84" s="8">
        <v>0.8325091847595516</v>
      </c>
      <c r="CE84" s="8">
        <v>1706.9329304853097</v>
      </c>
      <c r="CF84" s="8">
        <v>336.40532915926076</v>
      </c>
      <c r="CG84" s="8">
        <v>67.072967231790898</v>
      </c>
      <c r="CH84" s="8">
        <v>8035.8151190723811</v>
      </c>
      <c r="CI84" s="8">
        <v>5.9681641280952951</v>
      </c>
      <c r="CJ84" s="8">
        <v>15868.20882884317</v>
      </c>
      <c r="CK84" s="8">
        <v>94.539001400851546</v>
      </c>
      <c r="CL84" s="8">
        <v>7.0213695624650532E-2</v>
      </c>
      <c r="CM84" s="8">
        <v>186.68480975109611</v>
      </c>
      <c r="CN84" s="8">
        <v>21.189777399132598</v>
      </c>
      <c r="CO84" s="35"/>
      <c r="CU84" s="15"/>
    </row>
    <row r="85" spans="1:99" s="8" customFormat="1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6"/>
      <c r="K85" s="8">
        <v>0.49117709773125001</v>
      </c>
      <c r="L85" s="8">
        <v>0.48052365595207913</v>
      </c>
      <c r="M85" s="8">
        <v>3.0704843477503339</v>
      </c>
      <c r="N85" s="8">
        <v>467035.18359500036</v>
      </c>
      <c r="O85" s="8">
        <v>233002.81044899998</v>
      </c>
      <c r="P85" s="8">
        <v>233002.48584299997</v>
      </c>
      <c r="Q85" s="8">
        <v>1914.0968767254094</v>
      </c>
      <c r="R85" s="8">
        <v>22.256940427039645</v>
      </c>
      <c r="S85" s="8">
        <v>962.83069667355369</v>
      </c>
      <c r="T85" s="8">
        <v>959.1790771762295</v>
      </c>
      <c r="U85" s="8">
        <v>0.18998964245691641</v>
      </c>
      <c r="V85" s="8">
        <v>1.9321551450419685</v>
      </c>
      <c r="W85" s="8">
        <v>3698.3321284737622</v>
      </c>
      <c r="X85" s="8">
        <v>43.003861958997234</v>
      </c>
      <c r="Y85" s="8">
        <v>2490.058548</v>
      </c>
      <c r="Z85" s="8">
        <v>28.954169162790699</v>
      </c>
      <c r="AA85" s="8">
        <v>1244.1275479999999</v>
      </c>
      <c r="AB85" s="8">
        <v>1250.4934539999999</v>
      </c>
      <c r="AC85" s="8">
        <v>-0.25518529647975746</v>
      </c>
      <c r="AD85" s="8">
        <v>-4710.5827057418046</v>
      </c>
      <c r="AE85" s="8">
        <v>2.0130208923411885</v>
      </c>
      <c r="AF85" s="8">
        <v>1.9693592457052425</v>
      </c>
      <c r="AG85" s="8">
        <v>12.583952244878418</v>
      </c>
      <c r="AH85" s="8">
        <v>5639.3265571008997</v>
      </c>
      <c r="AI85" s="8">
        <v>65.57356461745232</v>
      </c>
      <c r="AJ85" s="8">
        <v>2.8435446761934458</v>
      </c>
      <c r="AK85" s="8">
        <v>1983.2030789999999</v>
      </c>
      <c r="AL85" s="8">
        <v>5.0000000000000001E-3</v>
      </c>
      <c r="AM85" s="8">
        <v>0.23899999999999999</v>
      </c>
      <c r="AN85" s="8">
        <v>0.23400000000000001</v>
      </c>
      <c r="AO85" s="8">
        <v>0.23899999999999999</v>
      </c>
      <c r="AP85" s="8">
        <v>-1.0570824524312847</v>
      </c>
      <c r="AQ85" s="8">
        <v>0.24399999999999999</v>
      </c>
      <c r="AR85" s="8">
        <v>0.24199999999999999</v>
      </c>
      <c r="AS85" s="8">
        <v>0.24399999999999999</v>
      </c>
      <c r="AT85" s="8">
        <v>-0.41152263374485637</v>
      </c>
      <c r="AU85" s="14">
        <f t="shared" si="1"/>
        <v>0.48299999999999998</v>
      </c>
      <c r="AV85" s="8">
        <v>0.63300000000000001</v>
      </c>
      <c r="AW85" s="8">
        <v>2831.9235840000001</v>
      </c>
      <c r="AX85" s="8">
        <v>32.929344</v>
      </c>
      <c r="AY85" s="8">
        <v>1162.8496399999999</v>
      </c>
      <c r="AZ85" s="8">
        <v>1686.5124820000001</v>
      </c>
      <c r="BA85" s="8">
        <v>-18.378248168486046</v>
      </c>
      <c r="BB85" s="8">
        <v>1855.8146257405861</v>
      </c>
      <c r="BC85" s="8">
        <v>21.579239834192862</v>
      </c>
      <c r="BD85" s="8">
        <v>873.96842881196562</v>
      </c>
      <c r="BE85" s="8">
        <v>1000.2157719790795</v>
      </c>
      <c r="BF85" s="8">
        <v>-6.7361224747187656</v>
      </c>
      <c r="BG85" s="8">
        <v>3462.6526359999998</v>
      </c>
      <c r="BH85" s="8">
        <v>40.263402744186045</v>
      </c>
      <c r="BI85" s="8">
        <v>1764.652554</v>
      </c>
      <c r="BJ85" s="8">
        <v>1747.051678</v>
      </c>
      <c r="BK85" s="8">
        <v>0.50120610499067708</v>
      </c>
      <c r="BL85" s="8">
        <v>67.031302000000011</v>
      </c>
      <c r="BM85" s="8">
        <v>170.52675600000001</v>
      </c>
      <c r="BN85" s="8">
        <v>196.008385</v>
      </c>
      <c r="BO85" s="8">
        <v>-6.9520289188315498</v>
      </c>
      <c r="BP85" s="8">
        <v>140.21209099999999</v>
      </c>
      <c r="BQ85" s="8">
        <v>87.860232999999994</v>
      </c>
      <c r="BR85" s="8">
        <v>66.237814</v>
      </c>
      <c r="BS85" s="8">
        <v>14.031598336869248</v>
      </c>
      <c r="BT85" s="8">
        <v>20.065458106557372</v>
      </c>
      <c r="BU85" s="8">
        <v>-139.95440220247937</v>
      </c>
      <c r="BV85" s="8">
        <v>158.85975906147539</v>
      </c>
      <c r="BW85" s="8">
        <v>-1580.5793220018779</v>
      </c>
      <c r="BX85" s="8">
        <v>35.296773401639342</v>
      </c>
      <c r="BY85" s="8">
        <v>28.917798181818188</v>
      </c>
      <c r="BZ85" s="8">
        <v>6.7211783524590158</v>
      </c>
      <c r="CA85" s="8">
        <v>62.28186661873044</v>
      </c>
      <c r="CB85" s="8">
        <v>0.92316640942201444</v>
      </c>
      <c r="CC85" s="8">
        <v>0.82803029013222784</v>
      </c>
      <c r="CD85" s="8">
        <v>0.82664155165105591</v>
      </c>
      <c r="CE85" s="8">
        <v>-2012.7694883801264</v>
      </c>
      <c r="CF85" s="8">
        <v>-2697.8132173616791</v>
      </c>
      <c r="CG85" s="8">
        <v>-14.542653675235165</v>
      </c>
      <c r="CH85" s="8">
        <v>1603.8876057762257</v>
      </c>
      <c r="CI85" s="8">
        <v>2543.849306639836</v>
      </c>
      <c r="CJ85" s="8">
        <v>6687.1342751148086</v>
      </c>
      <c r="CK85" s="8">
        <v>18.649855881118903</v>
      </c>
      <c r="CL85" s="8">
        <v>29.579643100463208</v>
      </c>
      <c r="CM85" s="8">
        <v>77.757375292032663</v>
      </c>
      <c r="CN85" s="8">
        <v>53.397650577283372</v>
      </c>
      <c r="CO85" s="35"/>
      <c r="CU85" s="15"/>
    </row>
    <row r="86" spans="1:99" s="8" customFormat="1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6"/>
      <c r="K86" s="8">
        <v>0.41664655773124992</v>
      </c>
      <c r="L86" s="8">
        <v>0.36597554997112242</v>
      </c>
      <c r="M86" s="8">
        <v>2.6796343576005706</v>
      </c>
      <c r="N86" s="8">
        <v>414495.34234099986</v>
      </c>
      <c r="O86" s="8">
        <v>206628.02388899995</v>
      </c>
      <c r="P86" s="8">
        <v>206622.16293299996</v>
      </c>
      <c r="Q86" s="8">
        <v>1973.8210074095239</v>
      </c>
      <c r="R86" s="8">
        <v>22.429784175108225</v>
      </c>
      <c r="S86" s="8">
        <v>983.9487245142858</v>
      </c>
      <c r="T86" s="8">
        <v>989.87228289523819</v>
      </c>
      <c r="U86" s="8">
        <v>-0.30010615748418668</v>
      </c>
      <c r="V86" s="8">
        <v>1.6784467530983795</v>
      </c>
      <c r="W86" s="8">
        <v>3312.9534610838878</v>
      </c>
      <c r="X86" s="8">
        <v>37.647198421407815</v>
      </c>
      <c r="Y86" s="8">
        <v>2385.066276</v>
      </c>
      <c r="Z86" s="8">
        <v>27.103025863636365</v>
      </c>
      <c r="AA86" s="8">
        <v>1185.9328</v>
      </c>
      <c r="AB86" s="8">
        <v>1250.2229460000001</v>
      </c>
      <c r="AC86" s="8">
        <v>-2.6389998301857358</v>
      </c>
      <c r="AD86" s="8">
        <v>423.38906170881796</v>
      </c>
      <c r="AE86" s="8">
        <v>1.9840312272916665</v>
      </c>
      <c r="AF86" s="8">
        <v>1.7427407141482021</v>
      </c>
      <c r="AG86" s="8">
        <v>12.760163607621765</v>
      </c>
      <c r="AH86" s="8">
        <v>5105.0834192442362</v>
      </c>
      <c r="AI86" s="8">
        <v>58.012311582320869</v>
      </c>
      <c r="AJ86" s="8">
        <v>2.4541234968412242</v>
      </c>
      <c r="AK86" s="8">
        <v>2080.2064060000002</v>
      </c>
      <c r="AL86" s="8">
        <v>-2E-3</v>
      </c>
      <c r="AM86" s="8">
        <v>0.155</v>
      </c>
      <c r="AN86" s="8">
        <v>0.155</v>
      </c>
      <c r="AO86" s="8">
        <v>0.153</v>
      </c>
      <c r="AP86" s="8">
        <v>0.6493506493506499</v>
      </c>
      <c r="AQ86" s="8">
        <v>0.21</v>
      </c>
      <c r="AR86" s="8">
        <v>0.21</v>
      </c>
      <c r="AS86" s="8">
        <v>0.21</v>
      </c>
      <c r="AT86" s="8">
        <v>0</v>
      </c>
      <c r="AU86" s="14">
        <f t="shared" si="1"/>
        <v>0.36499999999999999</v>
      </c>
      <c r="AV86" s="8">
        <v>0.58299999999999996</v>
      </c>
      <c r="AW86" s="8">
        <v>4384.211174</v>
      </c>
      <c r="AX86" s="8">
        <v>49.820581522727274</v>
      </c>
      <c r="AY86" s="8">
        <v>2544.1597139999999</v>
      </c>
      <c r="AZ86" s="8">
        <v>2708.24836</v>
      </c>
      <c r="BA86" s="8">
        <v>-3.1240650705008446</v>
      </c>
      <c r="BB86" s="8">
        <v>2458.1343220193548</v>
      </c>
      <c r="BC86" s="8">
        <v>27.933344568401761</v>
      </c>
      <c r="BD86" s="8">
        <v>1270.9634815870968</v>
      </c>
      <c r="BE86" s="8">
        <v>1202.7360889934637</v>
      </c>
      <c r="BF86" s="8">
        <v>2.7581115105914265</v>
      </c>
      <c r="BG86" s="8">
        <v>6135.5187679999999</v>
      </c>
      <c r="BH86" s="8">
        <v>69.721804181818186</v>
      </c>
      <c r="BI86" s="8">
        <v>3114.6019240000001</v>
      </c>
      <c r="BJ86" s="8">
        <v>3345.4515379999998</v>
      </c>
      <c r="BK86" s="8">
        <v>-3.5734938628283404</v>
      </c>
      <c r="BL86" s="8">
        <v>64.091801000000004</v>
      </c>
      <c r="BM86" s="8">
        <v>169.46276900000001</v>
      </c>
      <c r="BN86" s="8">
        <v>133.052708</v>
      </c>
      <c r="BO86" s="8">
        <v>12.035768007995177</v>
      </c>
      <c r="BP86" s="8">
        <v>166.198667</v>
      </c>
      <c r="BQ86" s="8">
        <v>100.213324</v>
      </c>
      <c r="BR86" s="8">
        <v>80.250010000000003</v>
      </c>
      <c r="BS86" s="8">
        <v>11.062254895501376</v>
      </c>
      <c r="BT86" s="8">
        <v>-21.794768347619051</v>
      </c>
      <c r="BU86" s="8">
        <v>-115.20783695714287</v>
      </c>
      <c r="BV86" s="8">
        <v>93.413068609523833</v>
      </c>
      <c r="BW86" s="8">
        <v>957.20634529918004</v>
      </c>
      <c r="BX86" s="8">
        <v>53.296996261904773</v>
      </c>
      <c r="BY86" s="8">
        <v>41.269027333333327</v>
      </c>
      <c r="BZ86" s="8">
        <v>12.027968928571431</v>
      </c>
      <c r="CA86" s="8">
        <v>54.86436470278646</v>
      </c>
      <c r="CB86" s="8">
        <v>0.91194682387849413</v>
      </c>
      <c r="CC86" s="8">
        <v>0.81473313724801488</v>
      </c>
      <c r="CD86" s="8">
        <v>0.8542542004921071</v>
      </c>
      <c r="CE86" s="8">
        <v>1346.4413091866008</v>
      </c>
      <c r="CF86" s="8">
        <v>-923.05224747778266</v>
      </c>
      <c r="CG86" s="8">
        <v>536.0302761494595</v>
      </c>
      <c r="CH86" s="8">
        <v>8800.6873238962908</v>
      </c>
      <c r="CI86" s="8">
        <v>8494.0671876547749</v>
      </c>
      <c r="CJ86" s="8">
        <v>19870.205986300549</v>
      </c>
      <c r="CK86" s="8">
        <v>100.00781049882148</v>
      </c>
      <c r="CL86" s="8">
        <v>96.523490768804265</v>
      </c>
      <c r="CM86" s="8">
        <v>225.79779529886989</v>
      </c>
      <c r="CN86" s="8">
        <v>55.740152766646808</v>
      </c>
      <c r="CO86" s="35"/>
      <c r="CU86" s="15"/>
    </row>
    <row r="87" spans="1:99" s="8" customFormat="1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6"/>
      <c r="K87" s="8">
        <v>4.4129925000000001E-5</v>
      </c>
      <c r="L87" s="8">
        <v>0.4282322023188439</v>
      </c>
      <c r="M87" s="8">
        <v>1.8986058389328699</v>
      </c>
      <c r="N87" s="8">
        <v>460714.29640099948</v>
      </c>
      <c r="O87" s="8">
        <v>228537.89843600013</v>
      </c>
      <c r="P87" s="8">
        <v>228536.20326700012</v>
      </c>
      <c r="Q87" s="8">
        <v>516.497242967489</v>
      </c>
      <c r="R87" s="8">
        <v>6.5379397843985947</v>
      </c>
      <c r="S87" s="8">
        <v>614.35185561827961</v>
      </c>
      <c r="T87" s="8">
        <v>260.28634991479805</v>
      </c>
      <c r="U87" s="8">
        <v>40.481367434399282</v>
      </c>
      <c r="V87" s="8">
        <v>0.2582837223458701</v>
      </c>
      <c r="W87" s="8">
        <v>133.40283049502233</v>
      </c>
      <c r="X87" s="8">
        <v>1.6886434239876245</v>
      </c>
      <c r="Y87" s="8">
        <v>1788.4931569999999</v>
      </c>
      <c r="Z87" s="8">
        <v>22.639153886075949</v>
      </c>
      <c r="AA87" s="8">
        <v>878.20555899999999</v>
      </c>
      <c r="AB87" s="8">
        <v>912.271255</v>
      </c>
      <c r="AC87" s="8">
        <v>-1.9026046991301615</v>
      </c>
      <c r="AD87" s="8">
        <v>-3449.9949993164059</v>
      </c>
      <c r="AE87" s="8">
        <v>4.9473010089686098E-5</v>
      </c>
      <c r="AF87" s="8">
        <v>0.48008094430363668</v>
      </c>
      <c r="AG87" s="8">
        <v>-3.2495581153955921</v>
      </c>
      <c r="AH87" s="8">
        <v>3484.9966891765657</v>
      </c>
      <c r="AI87" s="8">
        <v>44.113882141475514</v>
      </c>
      <c r="AJ87" s="8">
        <v>2.0899242254863388</v>
      </c>
      <c r="AK87" s="8">
        <v>1667.5229880000002</v>
      </c>
      <c r="AL87" s="8">
        <v>0.01</v>
      </c>
      <c r="AM87" s="8">
        <v>0.39400000000000002</v>
      </c>
      <c r="AN87" s="8">
        <v>0.38400000000000001</v>
      </c>
      <c r="AO87" s="8">
        <v>0.39400000000000002</v>
      </c>
      <c r="AP87" s="8">
        <v>-1.2853470437018006</v>
      </c>
      <c r="AQ87" s="8">
        <v>0.89200000000000002</v>
      </c>
      <c r="AR87" s="8">
        <v>0.372</v>
      </c>
      <c r="AS87" s="8">
        <v>0.89200000000000002</v>
      </c>
      <c r="AT87" s="8">
        <v>-41.139240506329116</v>
      </c>
      <c r="AU87" s="14">
        <f t="shared" si="1"/>
        <v>1.286</v>
      </c>
      <c r="AV87" s="8">
        <v>6.0000000000000001E-3</v>
      </c>
      <c r="AW87" s="8">
        <v>2133.8206399999999</v>
      </c>
      <c r="AX87" s="8">
        <v>27.010387848101264</v>
      </c>
      <c r="AY87" s="8">
        <v>1153.5442350000001</v>
      </c>
      <c r="AZ87" s="8">
        <v>1203.2632140000001</v>
      </c>
      <c r="BA87" s="8">
        <v>-2.1095902009769993</v>
      </c>
      <c r="BB87" s="8">
        <v>1337.2185899949241</v>
      </c>
      <c r="BC87" s="8">
        <v>16.926817594872457</v>
      </c>
      <c r="BD87" s="8">
        <v>640.85843538020833</v>
      </c>
      <c r="BE87" s="8">
        <v>712.64472934263961</v>
      </c>
      <c r="BF87" s="8">
        <v>-5.3037403852048399</v>
      </c>
      <c r="BG87" s="8">
        <v>2326.8174049999998</v>
      </c>
      <c r="BH87" s="8">
        <v>29.453384873417718</v>
      </c>
      <c r="BI87" s="8">
        <v>1225.6610639999999</v>
      </c>
      <c r="BJ87" s="8">
        <v>1240.971695</v>
      </c>
      <c r="BK87" s="8">
        <v>-0.62070978925160936</v>
      </c>
      <c r="BL87" s="8">
        <v>29.701522000000004</v>
      </c>
      <c r="BM87" s="8">
        <v>138.625122</v>
      </c>
      <c r="BN87" s="8">
        <v>140.26619299999999</v>
      </c>
      <c r="BO87" s="8">
        <v>-0.58842671382577205</v>
      </c>
      <c r="BP87" s="8">
        <v>220.19159000000002</v>
      </c>
      <c r="BQ87" s="8">
        <v>109.91545499999999</v>
      </c>
      <c r="BR87" s="8">
        <v>110.528603</v>
      </c>
      <c r="BS87" s="8">
        <v>-0.27814222146101558</v>
      </c>
      <c r="BT87" s="8">
        <v>-4.9145295605381056</v>
      </c>
      <c r="BU87" s="8">
        <v>-83.6198865376344</v>
      </c>
      <c r="BV87" s="8">
        <v>29.719654189461874</v>
      </c>
      <c r="BW87" s="8">
        <v>210.27653460744133</v>
      </c>
      <c r="BX87" s="8">
        <v>-2.7565092881165811</v>
      </c>
      <c r="BY87" s="8">
        <v>-8.625736583333337</v>
      </c>
      <c r="BZ87" s="8">
        <v>1.567012077354252</v>
      </c>
      <c r="CA87" s="8">
        <v>144.39929837258603</v>
      </c>
      <c r="CB87" s="8">
        <v>0.87740639946392796</v>
      </c>
      <c r="CC87" s="8">
        <v>0.77941741350688776</v>
      </c>
      <c r="CD87" s="8">
        <v>0.78436753803933357</v>
      </c>
      <c r="CE87" s="8">
        <v>-1431.0401371018161</v>
      </c>
      <c r="CF87" s="8">
        <v>-2018.9548622145908</v>
      </c>
      <c r="CG87" s="8">
        <v>-17.041031225531224</v>
      </c>
      <c r="CH87" s="8">
        <v>518.37746868007287</v>
      </c>
      <c r="CI87" s="8">
        <v>5461.836971979812</v>
      </c>
      <c r="CJ87" s="8">
        <v>3622.4686605037527</v>
      </c>
      <c r="CK87" s="8">
        <v>6.5617401098743402</v>
      </c>
      <c r="CL87" s="8">
        <v>69.137176860503956</v>
      </c>
      <c r="CM87" s="8">
        <v>45.854033677262692</v>
      </c>
      <c r="CN87" s="8">
        <v>41.366924963290252</v>
      </c>
      <c r="CO87" s="35"/>
      <c r="CU87" s="15"/>
    </row>
    <row r="88" spans="1:99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6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32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14">
        <f t="shared" si="1"/>
        <v>0</v>
      </c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</row>
    <row r="89" spans="1:99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6"/>
      <c r="K89" s="32">
        <v>0.24056815698125</v>
      </c>
      <c r="L89" s="32">
        <v>0.20503054681323174</v>
      </c>
      <c r="M89" s="32">
        <v>2.0056668039521437</v>
      </c>
      <c r="N89" s="32">
        <v>279974.69062499999</v>
      </c>
      <c r="O89" s="32">
        <v>137168.03626900009</v>
      </c>
      <c r="P89" s="32">
        <v>137163.4557070001</v>
      </c>
      <c r="Q89" s="32">
        <v>1111.0862469126987</v>
      </c>
      <c r="R89" s="32">
        <f>Q89/D89</f>
        <v>17.636289633534901</v>
      </c>
      <c r="S89" s="32">
        <v>566.84293030578522</v>
      </c>
      <c r="T89" s="32">
        <v>567.28095746031761</v>
      </c>
      <c r="U89" s="32">
        <v>-3.8622513753341303E-2</v>
      </c>
      <c r="V89" s="32">
        <v>1.3332183287363588</v>
      </c>
      <c r="W89" s="32">
        <v>1481.3205491909014</v>
      </c>
      <c r="X89" s="32">
        <f>W89/D89</f>
        <v>23.513024590331767</v>
      </c>
      <c r="Y89" s="32">
        <v>1596.6685750000001</v>
      </c>
      <c r="Z89" s="32">
        <f>Y89/D89</f>
        <v>25.343945634920637</v>
      </c>
      <c r="AA89" s="32">
        <v>786.21563700000002</v>
      </c>
      <c r="AB89" s="32">
        <v>810.45293800000002</v>
      </c>
      <c r="AC89" s="32">
        <v>-1.517991985280978</v>
      </c>
      <c r="AD89" s="32">
        <v>-5943.1719191251341</v>
      </c>
      <c r="AE89" s="32">
        <v>0.95463554357638891</v>
      </c>
      <c r="AF89" s="32">
        <v>0.81361328100488783</v>
      </c>
      <c r="AG89" s="32">
        <v>7.9589952537783484</v>
      </c>
      <c r="AH89" s="32">
        <v>2306.6619027788147</v>
      </c>
      <c r="AI89" s="32">
        <f>AH89/D89</f>
        <v>36.613680996489123</v>
      </c>
      <c r="AJ89" s="32">
        <v>1.9848291127303392</v>
      </c>
      <c r="AK89" s="32">
        <v>1162.1463469999999</v>
      </c>
      <c r="AL89" s="32">
        <v>0</v>
      </c>
      <c r="AM89" s="32">
        <v>0.218</v>
      </c>
      <c r="AN89" s="32">
        <v>0.218</v>
      </c>
      <c r="AO89" s="32">
        <v>0.218</v>
      </c>
      <c r="AP89" s="32">
        <v>0</v>
      </c>
      <c r="AQ89" s="32">
        <v>0.252</v>
      </c>
      <c r="AR89" s="32">
        <v>0.24199999999999999</v>
      </c>
      <c r="AS89" s="32">
        <v>0.252</v>
      </c>
      <c r="AT89" s="32">
        <v>-2.0242914979757103</v>
      </c>
      <c r="AU89" s="14">
        <f t="shared" si="1"/>
        <v>0.47</v>
      </c>
      <c r="AV89" s="32">
        <v>0.443</v>
      </c>
      <c r="AW89" s="32">
        <v>2697.3199420000001</v>
      </c>
      <c r="AX89" s="32">
        <f>AW89/D89</f>
        <v>42.814602253968253</v>
      </c>
      <c r="AY89" s="32">
        <v>1228.871063</v>
      </c>
      <c r="AZ89" s="32">
        <v>1609.400322</v>
      </c>
      <c r="BA89" s="32">
        <v>-13.407078019778574</v>
      </c>
      <c r="BB89" s="32">
        <v>1436.6380013899084</v>
      </c>
      <c r="BC89" s="32">
        <f>BB89/D89</f>
        <v>22.803777799839814</v>
      </c>
      <c r="BD89" s="32">
        <v>682.14002990366976</v>
      </c>
      <c r="BE89" s="32">
        <v>754.49797148623873</v>
      </c>
      <c r="BF89" s="32">
        <v>-5.0366161491318353</v>
      </c>
      <c r="BG89" s="32">
        <v>3915.947838</v>
      </c>
      <c r="BH89" s="32">
        <f>BG89/D89</f>
        <v>62.157902190476193</v>
      </c>
      <c r="BI89" s="32">
        <v>1529.384789</v>
      </c>
      <c r="BJ89" s="32">
        <v>2470.9968260000001</v>
      </c>
      <c r="BK89" s="32">
        <v>-23.538055306256076</v>
      </c>
      <c r="BL89" s="32">
        <v>26.275116000000004</v>
      </c>
      <c r="BM89" s="32">
        <v>105.5513</v>
      </c>
      <c r="BN89" s="32">
        <v>111.37618999999999</v>
      </c>
      <c r="BO89" s="32">
        <v>-2.6851783515311944</v>
      </c>
      <c r="BP89" s="32">
        <v>146.79439199999999</v>
      </c>
      <c r="BQ89" s="32">
        <v>64.524610999999993</v>
      </c>
      <c r="BR89" s="32">
        <v>82.450120999999996</v>
      </c>
      <c r="BS89" s="32">
        <v>-12.196320929505083</v>
      </c>
      <c r="BT89" s="32">
        <v>3.0726003849206349</v>
      </c>
      <c r="BU89" s="32">
        <v>-86.781190239669428</v>
      </c>
      <c r="BV89" s="32">
        <v>86.340534007936498</v>
      </c>
      <c r="BW89" s="32">
        <v>39287.252007485571</v>
      </c>
      <c r="BX89" s="32">
        <v>27.427840821428575</v>
      </c>
      <c r="BY89" s="32">
        <v>9.7272487520661155</v>
      </c>
      <c r="BZ89" s="32">
        <v>19.283402559523815</v>
      </c>
      <c r="CA89" s="32">
        <v>-32.940156030347225</v>
      </c>
      <c r="CB89" s="32">
        <v>0.90220614583451897</v>
      </c>
      <c r="CC89" s="32">
        <v>0.8221505655302519</v>
      </c>
      <c r="CD89" s="32">
        <v>0.80699958582933951</v>
      </c>
      <c r="CE89" s="32">
        <v>-2461.8955374299603</v>
      </c>
      <c r="CF89" s="32">
        <v>-3481.2763816951779</v>
      </c>
      <c r="CG89" s="32">
        <v>-17.152134552676294</v>
      </c>
      <c r="CH89" s="32">
        <v>2816.2819484594811</v>
      </c>
      <c r="CI89" s="32">
        <v>4603.6546402286367</v>
      </c>
      <c r="CJ89" s="32">
        <v>9085.6355383898681</v>
      </c>
      <c r="CK89" s="32">
        <v>44.702888070785413</v>
      </c>
      <c r="CL89" s="32">
        <v>73.073883178232322</v>
      </c>
      <c r="CM89" s="32">
        <v>144.21643711729951</v>
      </c>
      <c r="CN89" s="32">
        <v>63.250228919265517</v>
      </c>
    </row>
    <row r="90" spans="1:99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6"/>
      <c r="K90" s="32">
        <v>0.22560320908124998</v>
      </c>
      <c r="L90" s="32">
        <v>0.16177476528170309</v>
      </c>
      <c r="M90" s="32">
        <v>1.7815782033991701</v>
      </c>
      <c r="N90" s="32">
        <v>277944.05921400007</v>
      </c>
      <c r="O90" s="32">
        <v>141395.57081100007</v>
      </c>
      <c r="P90" s="32">
        <v>141390.97221500007</v>
      </c>
      <c r="Q90" s="32">
        <v>1167.8855249789915</v>
      </c>
      <c r="R90" s="32">
        <f t="shared" ref="R90:R100" si="2">Q90/D90</f>
        <v>17.174787132043992</v>
      </c>
      <c r="S90" s="32">
        <v>594.12070778151269</v>
      </c>
      <c r="T90" s="32">
        <v>576.20516915189876</v>
      </c>
      <c r="U90" s="32">
        <v>1.5308162438104649</v>
      </c>
      <c r="V90" s="32">
        <v>1.1665561920844505</v>
      </c>
      <c r="W90" s="32">
        <v>1362.4040908100417</v>
      </c>
      <c r="X90" s="32">
        <f t="shared" ref="X90:X99" si="3">W90/D90</f>
        <v>20.035354276618261</v>
      </c>
      <c r="Y90" s="32">
        <v>1460.0271299999999</v>
      </c>
      <c r="Z90" s="32">
        <f t="shared" ref="Z90:Z100" si="4">Y90/D90</f>
        <v>21.470987205882352</v>
      </c>
      <c r="AA90" s="32">
        <v>749.15634899999998</v>
      </c>
      <c r="AB90" s="32">
        <v>710.87078099999997</v>
      </c>
      <c r="AC90" s="32">
        <v>2.6222504509214164</v>
      </c>
      <c r="AD90" s="32">
        <v>-1474.7488564046364</v>
      </c>
      <c r="AE90" s="32">
        <v>0.94791264319852941</v>
      </c>
      <c r="AF90" s="32">
        <v>0.67972590454497106</v>
      </c>
      <c r="AG90" s="32">
        <v>7.4856227033578575</v>
      </c>
      <c r="AH90" s="32">
        <v>2078.7500805223567</v>
      </c>
      <c r="AI90" s="32">
        <f t="shared" ref="AI90:AI100" si="5">AH90/D90</f>
        <v>30.569854125328774</v>
      </c>
      <c r="AJ90" s="32">
        <v>1.7458046252775761</v>
      </c>
      <c r="AK90" s="32">
        <v>1190.7117499999999</v>
      </c>
      <c r="AL90" s="32">
        <v>-5.0000000000000001E-3</v>
      </c>
      <c r="AM90" s="32">
        <v>0.255</v>
      </c>
      <c r="AN90" s="32">
        <v>0.255</v>
      </c>
      <c r="AO90" s="32">
        <v>0.25</v>
      </c>
      <c r="AP90" s="32">
        <v>0.99009900990099098</v>
      </c>
      <c r="AQ90" s="32">
        <v>0.23799999999999999</v>
      </c>
      <c r="AR90" s="32">
        <v>0.23799999999999999</v>
      </c>
      <c r="AS90" s="32">
        <v>0.23699999999999999</v>
      </c>
      <c r="AT90" s="32">
        <v>0.21052631578947389</v>
      </c>
      <c r="AU90" s="14">
        <f t="shared" si="1"/>
        <v>0.49299999999999999</v>
      </c>
      <c r="AV90" s="32">
        <v>0.42899999999999999</v>
      </c>
      <c r="AW90" s="32">
        <v>2682.099514</v>
      </c>
      <c r="AX90" s="32">
        <f t="shared" ref="AX90:AX100" si="6">AW90/D90</f>
        <v>39.442639911764708</v>
      </c>
      <c r="AY90" s="32">
        <v>1477.0509569999999</v>
      </c>
      <c r="AZ90" s="32">
        <v>1.0098879999999999</v>
      </c>
      <c r="BA90" s="32">
        <v>99.863349603852058</v>
      </c>
      <c r="BB90" s="32">
        <v>1417.8282650509805</v>
      </c>
      <c r="BC90" s="32">
        <f t="shared" ref="BC90:BC100" si="7">BB90/D90</f>
        <v>20.850415662514418</v>
      </c>
      <c r="BD90" s="32">
        <v>723.88631938431377</v>
      </c>
      <c r="BE90" s="32">
        <v>708.03098549200001</v>
      </c>
      <c r="BF90" s="32">
        <v>1.1072799971282772</v>
      </c>
      <c r="BG90" s="32">
        <v>2203.19632</v>
      </c>
      <c r="BH90" s="32">
        <f t="shared" ref="BH90:BH100" si="8">BG90/D90</f>
        <v>32.399945882352938</v>
      </c>
      <c r="BI90" s="32">
        <v>943.09088099999997</v>
      </c>
      <c r="BJ90" s="32">
        <v>1305.2978969999999</v>
      </c>
      <c r="BK90" s="32">
        <v>-16.109625681470998</v>
      </c>
      <c r="BL90" s="32">
        <v>32.749217999999985</v>
      </c>
      <c r="BM90" s="32">
        <v>132.00675200000001</v>
      </c>
      <c r="BN90" s="32">
        <v>111.231922</v>
      </c>
      <c r="BO90" s="32">
        <v>8.5409238828526117</v>
      </c>
      <c r="BP90" s="32">
        <v>80.213937999999999</v>
      </c>
      <c r="BQ90" s="32">
        <v>40.575845000000001</v>
      </c>
      <c r="BR90" s="32">
        <v>43.028430999999998</v>
      </c>
      <c r="BS90" s="32">
        <v>-2.9335652640541934</v>
      </c>
      <c r="BT90" s="32">
        <v>12.885615903361346</v>
      </c>
      <c r="BU90" s="32">
        <v>101.41021570588234</v>
      </c>
      <c r="BV90" s="32">
        <v>-88.901925902953579</v>
      </c>
      <c r="BW90" s="32">
        <v>1521.4881059461482</v>
      </c>
      <c r="BX90" s="32">
        <v>-9.4163996596638668</v>
      </c>
      <c r="BY90" s="32">
        <v>-13.329260033613444</v>
      </c>
      <c r="BZ90" s="32">
        <v>4.0748574725738402</v>
      </c>
      <c r="CA90" s="32">
        <v>188.06311257149559</v>
      </c>
      <c r="CB90" s="32">
        <v>0.92818572561737989</v>
      </c>
      <c r="CC90" s="32">
        <v>0.81276412616723692</v>
      </c>
      <c r="CD90" s="32">
        <v>0.82169136338121895</v>
      </c>
      <c r="CE90" s="32">
        <v>-812.3657156937727</v>
      </c>
      <c r="CF90" s="32">
        <v>-662.38314071086143</v>
      </c>
      <c r="CG90" s="32">
        <v>10.170041789254984</v>
      </c>
      <c r="CH90" s="32">
        <v>3258.7242784243126</v>
      </c>
      <c r="CI90" s="32">
        <v>2.5033987293732487</v>
      </c>
      <c r="CJ90" s="32">
        <v>8145.5318621670758</v>
      </c>
      <c r="CK90" s="32">
        <v>47.922415859181065</v>
      </c>
      <c r="CL90" s="32">
        <v>3.6814687196665419E-2</v>
      </c>
      <c r="CM90" s="32">
        <v>119.78723326716288</v>
      </c>
      <c r="CN90" s="32">
        <v>59.891613850089229</v>
      </c>
    </row>
    <row r="91" spans="1:99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6"/>
      <c r="K91" s="32">
        <v>0.29312199433124997</v>
      </c>
      <c r="L91" s="32">
        <v>0.23838058213687552</v>
      </c>
      <c r="M91" s="32">
        <v>2.1626435262256001</v>
      </c>
      <c r="N91" s="32">
        <v>271843.93998099992</v>
      </c>
      <c r="O91" s="32">
        <v>132030.124236</v>
      </c>
      <c r="P91" s="32">
        <v>132026.86013400002</v>
      </c>
      <c r="Q91" s="32">
        <v>1469.5264241405407</v>
      </c>
      <c r="R91" s="32">
        <f t="shared" si="2"/>
        <v>21.297484407833924</v>
      </c>
      <c r="S91" s="32">
        <v>745.98374608474592</v>
      </c>
      <c r="T91" s="32">
        <v>756.43846324324318</v>
      </c>
      <c r="U91" s="32">
        <v>-0.69585746893168587</v>
      </c>
      <c r="V91" s="32">
        <v>1.5513531763930974</v>
      </c>
      <c r="W91" s="32">
        <v>2279.7544858840179</v>
      </c>
      <c r="X91" s="32">
        <f t="shared" si="3"/>
        <v>33.039920085275618</v>
      </c>
      <c r="Y91" s="32">
        <v>2269.903022</v>
      </c>
      <c r="Z91" s="32">
        <f t="shared" si="4"/>
        <v>32.897145246376809</v>
      </c>
      <c r="AA91" s="32">
        <v>1136.772903</v>
      </c>
      <c r="AB91" s="32">
        <v>1133.1301189999999</v>
      </c>
      <c r="AC91" s="32">
        <v>0.16048192212152224</v>
      </c>
      <c r="AD91" s="32">
        <v>-6572.5183935338919</v>
      </c>
      <c r="AE91" s="32">
        <v>1.5844432126013512</v>
      </c>
      <c r="AF91" s="32">
        <v>1.2885436872263543</v>
      </c>
      <c r="AG91" s="32">
        <v>11.689965006624865</v>
      </c>
      <c r="AH91" s="32">
        <v>3127.3985603189599</v>
      </c>
      <c r="AI91" s="32">
        <f t="shared" si="5"/>
        <v>45.32461681621681</v>
      </c>
      <c r="AJ91" s="32">
        <v>1.9943372925875966</v>
      </c>
      <c r="AK91" s="32">
        <v>1568.1392370000001</v>
      </c>
      <c r="AL91" s="32">
        <v>-2E-3</v>
      </c>
      <c r="AM91" s="32">
        <v>0.16700000000000001</v>
      </c>
      <c r="AN91" s="32">
        <v>0.16700000000000001</v>
      </c>
      <c r="AO91" s="32">
        <v>0.16500000000000001</v>
      </c>
      <c r="AP91" s="32">
        <v>0.60240963855421736</v>
      </c>
      <c r="AQ91" s="32">
        <v>0.185</v>
      </c>
      <c r="AR91" s="32">
        <v>0.17699999999999999</v>
      </c>
      <c r="AS91" s="32">
        <v>0.185</v>
      </c>
      <c r="AT91" s="32">
        <v>-2.2099447513812174</v>
      </c>
      <c r="AU91" s="14">
        <f t="shared" si="1"/>
        <v>0.35199999999999998</v>
      </c>
      <c r="AV91" s="32">
        <v>0.48899999999999999</v>
      </c>
      <c r="AW91" s="32">
        <v>2397.3833159999999</v>
      </c>
      <c r="AX91" s="32">
        <f t="shared" si="6"/>
        <v>34.744685739130432</v>
      </c>
      <c r="AY91" s="32">
        <v>1351.6806180000001</v>
      </c>
      <c r="AZ91" s="32">
        <v>1056.3785929999999</v>
      </c>
      <c r="BA91" s="32">
        <v>12.263071591058157</v>
      </c>
      <c r="BB91" s="32">
        <v>1843.2948728862273</v>
      </c>
      <c r="BC91" s="32">
        <f t="shared" si="7"/>
        <v>26.714418447626482</v>
      </c>
      <c r="BD91" s="32">
        <v>987.13760740718556</v>
      </c>
      <c r="BE91" s="32">
        <v>866.55678834545449</v>
      </c>
      <c r="BF91" s="32">
        <v>6.5048920327977058</v>
      </c>
      <c r="BG91" s="32">
        <v>2606.1776129999998</v>
      </c>
      <c r="BH91" s="32">
        <f t="shared" si="8"/>
        <v>37.770690043478261</v>
      </c>
      <c r="BI91" s="32">
        <v>1063.14129</v>
      </c>
      <c r="BJ91" s="32">
        <v>1547.2561949999999</v>
      </c>
      <c r="BK91" s="32">
        <v>-18.545639420120722</v>
      </c>
      <c r="BL91" s="32">
        <v>78.41057600000002</v>
      </c>
      <c r="BM91" s="32">
        <v>228.91990699999999</v>
      </c>
      <c r="BN91" s="32">
        <v>164.269058</v>
      </c>
      <c r="BO91" s="32">
        <v>16.442691620300177</v>
      </c>
      <c r="BP91" s="32">
        <v>83.928885000000008</v>
      </c>
      <c r="BQ91" s="32">
        <v>67.969050999999993</v>
      </c>
      <c r="BR91" s="32">
        <v>48.294274999999999</v>
      </c>
      <c r="BS91" s="32">
        <v>16.922598618931644</v>
      </c>
      <c r="BT91" s="32">
        <v>-50.392715048648668</v>
      </c>
      <c r="BU91" s="32">
        <v>-154.43650966101691</v>
      </c>
      <c r="BV91" s="32">
        <v>97.125951913513504</v>
      </c>
      <c r="BW91" s="32">
        <v>438.9461060261433</v>
      </c>
      <c r="BX91" s="32">
        <v>-5.9211003081081088</v>
      </c>
      <c r="BY91" s="32">
        <v>-39.289135915254242</v>
      </c>
      <c r="BZ91" s="32">
        <v>33.261276259459457</v>
      </c>
      <c r="CA91" s="32">
        <v>1203.5849591316967</v>
      </c>
      <c r="CB91" s="32">
        <v>0.93325523169064717</v>
      </c>
      <c r="CC91" s="32">
        <v>0.79291563368163009</v>
      </c>
      <c r="CD91" s="32">
        <v>0.84204178694331633</v>
      </c>
      <c r="CE91" s="32">
        <v>-3477.8347132331128</v>
      </c>
      <c r="CF91" s="32">
        <v>-3094.6836803007795</v>
      </c>
      <c r="CG91" s="32">
        <v>5.8295924026516381</v>
      </c>
      <c r="CH91" s="32">
        <v>3298.0777315773084</v>
      </c>
      <c r="CI91" s="32">
        <v>2430.713015235297</v>
      </c>
      <c r="CJ91" s="32">
        <v>8526.4081384324745</v>
      </c>
      <c r="CK91" s="32">
        <v>47.798227993874036</v>
      </c>
      <c r="CL91" s="32">
        <v>35.227724858482567</v>
      </c>
      <c r="CM91" s="32">
        <v>123.57113244105035</v>
      </c>
      <c r="CN91" s="32">
        <v>18.042863154721314</v>
      </c>
    </row>
    <row r="92" spans="1:99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6"/>
      <c r="K92" s="32">
        <v>0.23302561729999996</v>
      </c>
      <c r="L92" s="32">
        <v>0.17828537062212668</v>
      </c>
      <c r="M92" s="32">
        <v>1.8702831260550168</v>
      </c>
      <c r="N92" s="32">
        <v>518155.95286699949</v>
      </c>
      <c r="O92" s="32">
        <v>251631.32546699993</v>
      </c>
      <c r="P92" s="32">
        <v>251629.05321899994</v>
      </c>
      <c r="Q92" s="32">
        <v>1257.6737363713592</v>
      </c>
      <c r="R92" s="32">
        <f t="shared" si="2"/>
        <v>14.291747004219991</v>
      </c>
      <c r="S92" s="32">
        <v>622.86235875990099</v>
      </c>
      <c r="T92" s="32">
        <v>646.97009215048536</v>
      </c>
      <c r="U92" s="32">
        <v>-1.8984971893969722</v>
      </c>
      <c r="V92" s="32">
        <v>1.2219900783128153</v>
      </c>
      <c r="W92" s="32">
        <v>1536.864827600408</v>
      </c>
      <c r="X92" s="32">
        <f t="shared" si="3"/>
        <v>17.464373040913728</v>
      </c>
      <c r="Y92" s="32">
        <v>1640.9052689999999</v>
      </c>
      <c r="Z92" s="32">
        <f t="shared" si="4"/>
        <v>18.646650784090909</v>
      </c>
      <c r="AA92" s="32">
        <v>797.84736999999996</v>
      </c>
      <c r="AB92" s="32">
        <v>843.05789900000002</v>
      </c>
      <c r="AC92" s="32">
        <v>-2.7552187109224322</v>
      </c>
      <c r="AD92" s="32">
        <v>-2322.757890731365</v>
      </c>
      <c r="AE92" s="32">
        <v>0.56559615849514555</v>
      </c>
      <c r="AF92" s="32">
        <v>0.43273148209254053</v>
      </c>
      <c r="AG92" s="32">
        <v>4.5395221506189731</v>
      </c>
      <c r="AH92" s="32">
        <v>2561.4896224888716</v>
      </c>
      <c r="AI92" s="32">
        <f t="shared" si="5"/>
        <v>29.107836619191723</v>
      </c>
      <c r="AJ92" s="32">
        <v>1.9029618664575754</v>
      </c>
      <c r="AK92" s="32">
        <v>1346.0540999999998</v>
      </c>
      <c r="AL92" s="32">
        <v>5.0000000000000001E-3</v>
      </c>
      <c r="AM92" s="32">
        <v>0.30599999999999999</v>
      </c>
      <c r="AN92" s="32">
        <v>0.30099999999999999</v>
      </c>
      <c r="AO92" s="32">
        <v>0.30599999999999999</v>
      </c>
      <c r="AP92" s="32">
        <v>-0.82372322899505845</v>
      </c>
      <c r="AQ92" s="32">
        <v>0.41199999999999998</v>
      </c>
      <c r="AR92" s="32">
        <v>0.40400000000000003</v>
      </c>
      <c r="AS92" s="32">
        <v>0.41199999999999998</v>
      </c>
      <c r="AT92" s="32">
        <v>-0.98039215686273906</v>
      </c>
      <c r="AU92" s="14">
        <f t="shared" si="1"/>
        <v>0.71799999999999997</v>
      </c>
      <c r="AV92" s="32">
        <v>0.436</v>
      </c>
      <c r="AW92" s="32">
        <v>3182.282455</v>
      </c>
      <c r="AX92" s="32">
        <f t="shared" si="6"/>
        <v>36.162300625</v>
      </c>
      <c r="AY92" s="32">
        <v>1713.43679</v>
      </c>
      <c r="AZ92" s="32">
        <v>1504.1556399999999</v>
      </c>
      <c r="BA92" s="32">
        <v>6.5042777963024987</v>
      </c>
      <c r="BB92" s="32">
        <v>1671.5368593888891</v>
      </c>
      <c r="BC92" s="32">
        <f t="shared" si="7"/>
        <v>18.994737038510102</v>
      </c>
      <c r="BD92" s="32">
        <v>818.0427861362125</v>
      </c>
      <c r="BE92" s="32">
        <v>866.92714477450966</v>
      </c>
      <c r="BF92" s="32">
        <v>-2.9012006529917884</v>
      </c>
      <c r="BG92" s="32">
        <v>2859.5332410000001</v>
      </c>
      <c r="BH92" s="32">
        <f t="shared" si="8"/>
        <v>32.494695920454546</v>
      </c>
      <c r="BI92" s="32">
        <v>1564.676802</v>
      </c>
      <c r="BJ92" s="32">
        <v>1295.5056300000001</v>
      </c>
      <c r="BK92" s="32">
        <v>9.4109791385502728</v>
      </c>
      <c r="BL92" s="32">
        <v>29.701519000000005</v>
      </c>
      <c r="BM92" s="32">
        <v>135.10855100000001</v>
      </c>
      <c r="BN92" s="32">
        <v>117.291246</v>
      </c>
      <c r="BO92" s="32">
        <v>7.059159797977177</v>
      </c>
      <c r="BP92" s="32">
        <v>167.55119200000001</v>
      </c>
      <c r="BQ92" s="32">
        <v>93.576920000000001</v>
      </c>
      <c r="BR92" s="32">
        <v>75.200569000000002</v>
      </c>
      <c r="BS92" s="32">
        <v>10.887915864182576</v>
      </c>
      <c r="BT92" s="32">
        <v>-13.836845220873787</v>
      </c>
      <c r="BU92" s="32">
        <v>-116.73135256683167</v>
      </c>
      <c r="BV92" s="32">
        <v>100.60818212621359</v>
      </c>
      <c r="BW92" s="32">
        <v>1347.9950205420862</v>
      </c>
      <c r="BX92" s="32">
        <v>55.528461368932035</v>
      </c>
      <c r="BY92" s="32">
        <v>33.13095952227723</v>
      </c>
      <c r="BZ92" s="32">
        <v>23.25363673300971</v>
      </c>
      <c r="CA92" s="32">
        <v>17.517768052371867</v>
      </c>
      <c r="CB92" s="32">
        <v>0.89269001187808672</v>
      </c>
      <c r="CC92" s="32">
        <v>0.7772253727633055</v>
      </c>
      <c r="CD92" s="32">
        <v>0.81411629746247027</v>
      </c>
      <c r="CE92" s="32">
        <v>-1156.0714992481169</v>
      </c>
      <c r="CF92" s="32">
        <v>-1166.6863914832493</v>
      </c>
      <c r="CG92" s="32">
        <v>-0.45699520718408115</v>
      </c>
      <c r="CH92" s="32">
        <v>7847.4617788707128</v>
      </c>
      <c r="CI92" s="32">
        <v>6164.2200323624083</v>
      </c>
      <c r="CJ92" s="32">
        <v>14612.157977319088</v>
      </c>
      <c r="CK92" s="32">
        <v>89.175702032621743</v>
      </c>
      <c r="CL92" s="32">
        <v>70.047954913209182</v>
      </c>
      <c r="CM92" s="32">
        <v>166.04724974226235</v>
      </c>
      <c r="CN92" s="32">
        <v>52.508456984218263</v>
      </c>
    </row>
    <row r="93" spans="1:99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6"/>
      <c r="K93" s="32">
        <v>0.35217641480000006</v>
      </c>
      <c r="L93" s="32">
        <v>0.22736628634697409</v>
      </c>
      <c r="M93" s="32">
        <v>2.1120905610621037</v>
      </c>
      <c r="N93" s="32">
        <v>378799.56214899983</v>
      </c>
      <c r="O93" s="32">
        <v>201959.18655299992</v>
      </c>
      <c r="P93" s="32">
        <v>201952.45997999993</v>
      </c>
      <c r="Q93" s="32">
        <v>1440.3852807452474</v>
      </c>
      <c r="R93" s="32">
        <f t="shared" si="2"/>
        <v>17.716916122327767</v>
      </c>
      <c r="S93" s="32">
        <v>767.94507960456281</v>
      </c>
      <c r="T93" s="32">
        <v>685.66609500387574</v>
      </c>
      <c r="U93" s="32">
        <v>5.6603159110173102</v>
      </c>
      <c r="V93" s="32">
        <v>1.381489580966722</v>
      </c>
      <c r="W93" s="32">
        <v>1989.8772579273862</v>
      </c>
      <c r="X93" s="32">
        <f t="shared" si="3"/>
        <v>24.475735029857148</v>
      </c>
      <c r="Y93" s="32">
        <v>1915.5406029999999</v>
      </c>
      <c r="Z93" s="32">
        <f t="shared" si="4"/>
        <v>23.561385030750309</v>
      </c>
      <c r="AA93" s="32">
        <v>985.00118999999995</v>
      </c>
      <c r="AB93" s="32">
        <v>930.53941299999997</v>
      </c>
      <c r="AC93" s="32">
        <v>2.8431544032376737</v>
      </c>
      <c r="AD93" s="32">
        <v>-2688.3780518523236</v>
      </c>
      <c r="AE93" s="32">
        <v>1.3390738205323196</v>
      </c>
      <c r="AF93" s="32">
        <v>0.86451059447518663</v>
      </c>
      <c r="AG93" s="32">
        <v>8.030762589589747</v>
      </c>
      <c r="AH93" s="32">
        <v>2976.3266190771533</v>
      </c>
      <c r="AI93" s="32">
        <f t="shared" si="5"/>
        <v>36.609183506484051</v>
      </c>
      <c r="AJ93" s="32">
        <v>2.03054129133234</v>
      </c>
      <c r="AK93" s="32">
        <v>1465.779904</v>
      </c>
      <c r="AL93" s="32">
        <v>-1.4999999999999999E-2</v>
      </c>
      <c r="AM93" s="32">
        <v>0.27700000000000002</v>
      </c>
      <c r="AN93" s="32">
        <v>0.27700000000000002</v>
      </c>
      <c r="AO93" s="32">
        <v>0.26200000000000001</v>
      </c>
      <c r="AP93" s="32">
        <v>2.7829313543599281</v>
      </c>
      <c r="AQ93" s="32">
        <v>0.26300000000000001</v>
      </c>
      <c r="AR93" s="32">
        <v>0.26300000000000001</v>
      </c>
      <c r="AS93" s="32">
        <v>0.25800000000000001</v>
      </c>
      <c r="AT93" s="32">
        <v>0.95969289827255355</v>
      </c>
      <c r="AU93" s="14">
        <f t="shared" si="1"/>
        <v>0.54</v>
      </c>
      <c r="AV93" s="32">
        <v>0.53600000000000003</v>
      </c>
      <c r="AW93" s="32">
        <v>2817.3162790000001</v>
      </c>
      <c r="AX93" s="32">
        <f t="shared" si="6"/>
        <v>34.653336765067657</v>
      </c>
      <c r="AY93" s="32">
        <v>2386.1302030000002</v>
      </c>
      <c r="AZ93" s="32">
        <v>1370.706203</v>
      </c>
      <c r="BA93" s="32">
        <v>27.028698890861424</v>
      </c>
      <c r="BB93" s="32">
        <v>1622.6309822924188</v>
      </c>
      <c r="BC93" s="32">
        <f t="shared" si="7"/>
        <v>19.958560667803429</v>
      </c>
      <c r="BD93" s="32">
        <v>924.03249012996378</v>
      </c>
      <c r="BE93" s="32">
        <v>739.13264059923665</v>
      </c>
      <c r="BF93" s="32">
        <v>11.117347647233283</v>
      </c>
      <c r="BG93" s="32">
        <v>4258.0293120000006</v>
      </c>
      <c r="BH93" s="32">
        <f t="shared" si="8"/>
        <v>52.374284280442815</v>
      </c>
      <c r="BI93" s="32">
        <v>2290.353165</v>
      </c>
      <c r="BJ93" s="32">
        <v>2183.1608120000001</v>
      </c>
      <c r="BK93" s="32">
        <v>2.3961555401663137</v>
      </c>
      <c r="BL93" s="32">
        <v>37.185507000000001</v>
      </c>
      <c r="BM93" s="32">
        <v>85.894558000000004</v>
      </c>
      <c r="BN93" s="32">
        <v>81.187759</v>
      </c>
      <c r="BO93" s="32">
        <v>2.8170539435361097</v>
      </c>
      <c r="BP93" s="32">
        <v>95.434391000000005</v>
      </c>
      <c r="BQ93" s="32">
        <v>79.690963999999994</v>
      </c>
      <c r="BR93" s="32">
        <v>47.699162000000001</v>
      </c>
      <c r="BS93" s="32">
        <v>25.11325092809783</v>
      </c>
      <c r="BT93" s="32">
        <v>15.058147266159693</v>
      </c>
      <c r="BU93" s="32">
        <v>58.542289011406844</v>
      </c>
      <c r="BV93" s="32">
        <v>-44.396825666666672</v>
      </c>
      <c r="BW93" s="32">
        <v>727.71822434752721</v>
      </c>
      <c r="BX93" s="32">
        <v>0.22065585171102731</v>
      </c>
      <c r="BY93" s="32">
        <v>15.337224079847907</v>
      </c>
      <c r="BZ93" s="32">
        <v>-14.914856139534882</v>
      </c>
      <c r="CA93" s="32">
        <v>7162.4944348196468</v>
      </c>
      <c r="CB93" s="32">
        <v>0.9352492649207671</v>
      </c>
      <c r="CC93" s="32">
        <v>0.85608601222921143</v>
      </c>
      <c r="CD93" s="32">
        <v>0.878342724865663</v>
      </c>
      <c r="CE93" s="32">
        <v>-948.94260071086376</v>
      </c>
      <c r="CF93" s="32">
        <v>-1739.4354511414615</v>
      </c>
      <c r="CG93" s="32">
        <v>-29.404080645798253</v>
      </c>
      <c r="CH93" s="32">
        <v>7394.5518790022088</v>
      </c>
      <c r="CI93" s="32">
        <v>1867.9737545023072</v>
      </c>
      <c r="CJ93" s="32">
        <v>16123.81351908443</v>
      </c>
      <c r="CK93" s="32">
        <v>90.953897650703681</v>
      </c>
      <c r="CL93" s="32">
        <v>22.976306943447813</v>
      </c>
      <c r="CM93" s="32">
        <v>198.32488953363384</v>
      </c>
      <c r="CN93" s="32">
        <v>52.931989571625934</v>
      </c>
    </row>
    <row r="94" spans="1:99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6"/>
      <c r="K94" s="32">
        <v>0.21933675973124997</v>
      </c>
      <c r="L94" s="32">
        <v>0.12761467366639959</v>
      </c>
      <c r="M94" s="32">
        <v>1.5823400068679172</v>
      </c>
      <c r="N94" s="32">
        <v>338192.89643600013</v>
      </c>
      <c r="O94" s="32">
        <v>167198.31017699998</v>
      </c>
      <c r="P94" s="32">
        <v>167196.54287399998</v>
      </c>
      <c r="Q94" s="32">
        <v>1374.8094371910565</v>
      </c>
      <c r="R94" s="32">
        <f t="shared" si="2"/>
        <v>16.117343929555176</v>
      </c>
      <c r="S94" s="32">
        <v>679.68684095121955</v>
      </c>
      <c r="T94" s="32">
        <v>737.3787876637931</v>
      </c>
      <c r="U94" s="32">
        <v>-4.0712261695994645</v>
      </c>
      <c r="V94" s="32">
        <v>1.1138740545299115</v>
      </c>
      <c r="W94" s="32">
        <v>1531.3645620099878</v>
      </c>
      <c r="X94" s="32">
        <f t="shared" si="3"/>
        <v>17.95269123106668</v>
      </c>
      <c r="Y94" s="32">
        <v>1758.9539340000001</v>
      </c>
      <c r="Z94" s="32">
        <f t="shared" si="4"/>
        <v>20.620796412661196</v>
      </c>
      <c r="AA94" s="32">
        <v>871.29865700000005</v>
      </c>
      <c r="AB94" s="32">
        <v>918.25843799999996</v>
      </c>
      <c r="AC94" s="32">
        <v>-2.6241007415301216</v>
      </c>
      <c r="AD94" s="32">
        <v>-1024.7795475734795</v>
      </c>
      <c r="AE94" s="32">
        <v>0.89161284443597555</v>
      </c>
      <c r="AF94" s="32">
        <v>0.5187588360422748</v>
      </c>
      <c r="AG94" s="32">
        <v>6.4322764506825907</v>
      </c>
      <c r="AH94" s="32">
        <v>2553.9509820210324</v>
      </c>
      <c r="AI94" s="32">
        <f t="shared" si="5"/>
        <v>29.940808698957003</v>
      </c>
      <c r="AJ94" s="32">
        <v>1.5878567771090326</v>
      </c>
      <c r="AK94" s="32">
        <v>1608.4265399999999</v>
      </c>
      <c r="AL94" s="32">
        <v>2.3E-2</v>
      </c>
      <c r="AM94" s="32">
        <v>0.23899999999999999</v>
      </c>
      <c r="AN94" s="32">
        <v>0.216</v>
      </c>
      <c r="AO94" s="32">
        <v>0.23899999999999999</v>
      </c>
      <c r="AP94" s="32">
        <v>-5.0549450549450539</v>
      </c>
      <c r="AQ94" s="32">
        <v>0.246</v>
      </c>
      <c r="AR94" s="32">
        <v>0.246</v>
      </c>
      <c r="AS94" s="32">
        <v>0.23200000000000001</v>
      </c>
      <c r="AT94" s="32">
        <v>2.9288702928870261</v>
      </c>
      <c r="AU94" s="14">
        <f t="shared" si="1"/>
        <v>0.48499999999999999</v>
      </c>
      <c r="AV94" s="32">
        <v>0.42299999999999999</v>
      </c>
      <c r="AW94" s="32">
        <v>3270.232872</v>
      </c>
      <c r="AX94" s="32">
        <f t="shared" si="6"/>
        <v>38.338017256740919</v>
      </c>
      <c r="AY94" s="32">
        <v>1719.00927</v>
      </c>
      <c r="AZ94" s="32">
        <v>3.0476969999999999</v>
      </c>
      <c r="BA94" s="32">
        <v>99.646039932661537</v>
      </c>
      <c r="BB94" s="32">
        <v>1840.6158279205017</v>
      </c>
      <c r="BC94" s="32">
        <f t="shared" si="7"/>
        <v>21.578145696606118</v>
      </c>
      <c r="BD94" s="32">
        <v>924.14787262499976</v>
      </c>
      <c r="BE94" s="32">
        <v>1005.6698734351464</v>
      </c>
      <c r="BF94" s="32">
        <v>-4.2243367787750614</v>
      </c>
      <c r="BG94" s="32">
        <v>3125.3860730000001</v>
      </c>
      <c r="BH94" s="32">
        <f t="shared" si="8"/>
        <v>36.639930515826499</v>
      </c>
      <c r="BI94" s="32">
        <v>1576.2183170000001</v>
      </c>
      <c r="BJ94" s="32">
        <v>1560.3847350000001</v>
      </c>
      <c r="BK94" s="32">
        <v>0.50480031223281407</v>
      </c>
      <c r="BL94" s="32">
        <v>21.67652099999998</v>
      </c>
      <c r="BM94" s="32">
        <v>170.92349999999999</v>
      </c>
      <c r="BN94" s="32">
        <v>163.710014</v>
      </c>
      <c r="BO94" s="32">
        <v>2.1556376448295578</v>
      </c>
      <c r="BP94" s="32">
        <v>109.84332000000001</v>
      </c>
      <c r="BQ94" s="32">
        <v>71.846295999999995</v>
      </c>
      <c r="BR94" s="32">
        <v>51.594442999999998</v>
      </c>
      <c r="BS94" s="32">
        <v>16.406133958741123</v>
      </c>
      <c r="BT94" s="32">
        <v>-1.5805153089430894</v>
      </c>
      <c r="BU94" s="32">
        <v>-114.59418008536588</v>
      </c>
      <c r="BV94" s="32">
        <v>119.77049232327585</v>
      </c>
      <c r="BW94" s="32">
        <v>-4527.6378556188256</v>
      </c>
      <c r="BX94" s="32">
        <v>11.815085166666664</v>
      </c>
      <c r="BY94" s="32">
        <v>24.285981735772356</v>
      </c>
      <c r="BZ94" s="32">
        <v>-12.424448512931027</v>
      </c>
      <c r="CA94" s="32">
        <v>309.49144228683207</v>
      </c>
      <c r="CB94" s="32">
        <v>0.93043022191619673</v>
      </c>
      <c r="CC94" s="32">
        <v>0.78208718203422634</v>
      </c>
      <c r="CD94" s="32">
        <v>0.81006395150222343</v>
      </c>
      <c r="CE94" s="32">
        <v>-268.2540538072459</v>
      </c>
      <c r="CF94" s="32">
        <v>-756.52549376623097</v>
      </c>
      <c r="CG94" s="32">
        <v>-47.646485638314893</v>
      </c>
      <c r="CH94" s="32">
        <v>3910.4180105585124</v>
      </c>
      <c r="CI94" s="32">
        <v>14.747807500236961</v>
      </c>
      <c r="CJ94" s="32">
        <v>9246.2860137150547</v>
      </c>
      <c r="CK94" s="32">
        <v>45.843118529408116</v>
      </c>
      <c r="CL94" s="32">
        <v>0.1728934056299761</v>
      </c>
      <c r="CM94" s="32">
        <v>108.39725690170053</v>
      </c>
      <c r="CN94" s="32">
        <v>47.879121771606982</v>
      </c>
    </row>
    <row r="95" spans="1:99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6"/>
      <c r="K95" s="32">
        <v>0.32765120898125</v>
      </c>
      <c r="L95" s="32">
        <v>0.29938639032182685</v>
      </c>
      <c r="M95" s="32">
        <v>2.423625585381175</v>
      </c>
      <c r="N95" s="32">
        <v>394458.06983499945</v>
      </c>
      <c r="O95" s="32">
        <v>176932.65406100004</v>
      </c>
      <c r="P95" s="32">
        <v>176929.49816200003</v>
      </c>
      <c r="Q95" s="32">
        <v>1418.9381165755397</v>
      </c>
      <c r="R95" s="32">
        <f t="shared" si="2"/>
        <v>18.403866622250838</v>
      </c>
      <c r="S95" s="32">
        <v>652.9113796789668</v>
      </c>
      <c r="T95" s="32">
        <v>782.57677548920856</v>
      </c>
      <c r="U95" s="32">
        <v>-9.0328433114135134</v>
      </c>
      <c r="V95" s="32">
        <v>1.5551033194034196</v>
      </c>
      <c r="W95" s="32">
        <v>2206.5953751146581</v>
      </c>
      <c r="X95" s="32">
        <f t="shared" si="3"/>
        <v>28.619914074120082</v>
      </c>
      <c r="Y95" s="32">
        <v>1903.6563719999999</v>
      </c>
      <c r="Z95" s="32">
        <f t="shared" si="4"/>
        <v>24.690744124513621</v>
      </c>
      <c r="AA95" s="32">
        <v>829.13583400000005</v>
      </c>
      <c r="AB95" s="32">
        <v>1074.520538</v>
      </c>
      <c r="AC95" s="32">
        <v>-12.890178480173727</v>
      </c>
      <c r="AD95" s="32">
        <v>-4442.4154910457655</v>
      </c>
      <c r="AE95" s="32">
        <v>1.1786014711555755</v>
      </c>
      <c r="AF95" s="32">
        <v>1.076929461589305</v>
      </c>
      <c r="AG95" s="32">
        <v>8.7180776452560238</v>
      </c>
      <c r="AH95" s="32">
        <v>3440.5030911103063</v>
      </c>
      <c r="AI95" s="32">
        <f t="shared" si="5"/>
        <v>44.623905202468308</v>
      </c>
      <c r="AJ95" s="32">
        <v>2.328566418300035</v>
      </c>
      <c r="AK95" s="32">
        <v>1477.5198439999999</v>
      </c>
      <c r="AL95" s="32">
        <v>1.2E-2</v>
      </c>
      <c r="AM95" s="32">
        <v>0.24099999999999999</v>
      </c>
      <c r="AN95" s="32">
        <v>0.22900000000000001</v>
      </c>
      <c r="AO95" s="32">
        <v>0.24099999999999999</v>
      </c>
      <c r="AP95" s="32">
        <v>-2.5531914893616987</v>
      </c>
      <c r="AQ95" s="32">
        <v>0.27800000000000002</v>
      </c>
      <c r="AR95" s="32">
        <v>0.27100000000000002</v>
      </c>
      <c r="AS95" s="32">
        <v>0.27800000000000002</v>
      </c>
      <c r="AT95" s="32">
        <v>-1.2750455373406202</v>
      </c>
      <c r="AU95" s="14">
        <f t="shared" si="1"/>
        <v>0.51900000000000002</v>
      </c>
      <c r="AV95" s="32">
        <v>0.51700000000000002</v>
      </c>
      <c r="AW95" s="32">
        <v>2117.1755149999999</v>
      </c>
      <c r="AX95" s="32">
        <f t="shared" si="6"/>
        <v>27.460123411154346</v>
      </c>
      <c r="AY95" s="32">
        <v>841.18235000000004</v>
      </c>
      <c r="AZ95" s="32">
        <v>1280.6098019999999</v>
      </c>
      <c r="BA95" s="32">
        <v>-20.710202532599428</v>
      </c>
      <c r="BB95" s="32">
        <v>1657.262121983402</v>
      </c>
      <c r="BC95" s="32">
        <f t="shared" si="7"/>
        <v>21.494969156723762</v>
      </c>
      <c r="BD95" s="32">
        <v>702.61851654585155</v>
      </c>
      <c r="BE95" s="32">
        <v>989.78305650622406</v>
      </c>
      <c r="BF95" s="32">
        <v>-16.967872432457046</v>
      </c>
      <c r="BG95" s="32">
        <v>2788.1196399999999</v>
      </c>
      <c r="BH95" s="32">
        <f t="shared" si="8"/>
        <v>36.162381841763946</v>
      </c>
      <c r="BI95" s="32">
        <v>1030.6805879999999</v>
      </c>
      <c r="BJ95" s="32">
        <v>1760.2883609999999</v>
      </c>
      <c r="BK95" s="32">
        <v>-26.141737379823493</v>
      </c>
      <c r="BL95" s="32">
        <v>23.461856999999995</v>
      </c>
      <c r="BM95" s="32">
        <v>111.935238</v>
      </c>
      <c r="BN95" s="32">
        <v>111.48439</v>
      </c>
      <c r="BO95" s="32">
        <v>0.20179426670605391</v>
      </c>
      <c r="BP95" s="32">
        <v>78.266299000000004</v>
      </c>
      <c r="BQ95" s="32">
        <v>48.835284999999999</v>
      </c>
      <c r="BR95" s="32">
        <v>42.902194000000001</v>
      </c>
      <c r="BS95" s="32">
        <v>6.4674668027448163</v>
      </c>
      <c r="BT95" s="32">
        <v>1.8710298669064755</v>
      </c>
      <c r="BU95" s="32">
        <v>-83.549509822878221</v>
      </c>
      <c r="BV95" s="32">
        <v>83.267409395683444</v>
      </c>
      <c r="BW95" s="32">
        <v>59133.876852792717</v>
      </c>
      <c r="BX95" s="32">
        <v>19.918232104316548</v>
      </c>
      <c r="BY95" s="32">
        <v>4.1828889741697424</v>
      </c>
      <c r="BZ95" s="32">
        <v>16.150484197841728</v>
      </c>
      <c r="CA95" s="32">
        <v>-58.856910373066725</v>
      </c>
      <c r="CB95" s="32">
        <v>0.94927249383864798</v>
      </c>
      <c r="CC95" s="32">
        <v>0.83759017015788295</v>
      </c>
      <c r="CD95" s="32">
        <v>0.87437082816418077</v>
      </c>
      <c r="CE95" s="32">
        <v>-1792.8730713328646</v>
      </c>
      <c r="CF95" s="32">
        <v>-2649.5424197129</v>
      </c>
      <c r="CG95" s="32">
        <v>-19.28386370223042</v>
      </c>
      <c r="CH95" s="32">
        <v>1551.5386964515751</v>
      </c>
      <c r="CI95" s="32">
        <v>4916.2099144398562</v>
      </c>
      <c r="CJ95" s="32">
        <v>5456.8305460901292</v>
      </c>
      <c r="CK95" s="32">
        <v>20.123718501317448</v>
      </c>
      <c r="CL95" s="32">
        <v>63.764071523214739</v>
      </c>
      <c r="CM95" s="32">
        <v>70.776012270948499</v>
      </c>
      <c r="CN95" s="32">
        <v>22.659091775865349</v>
      </c>
    </row>
    <row r="96" spans="1:99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6"/>
      <c r="K96" s="32">
        <v>0.30035930203125</v>
      </c>
      <c r="L96" s="32">
        <v>0.28849527841844796</v>
      </c>
      <c r="M96" s="32">
        <v>2.3791337420519154</v>
      </c>
      <c r="N96" s="32">
        <v>377069.57071999984</v>
      </c>
      <c r="O96" s="32">
        <v>183073.02419799997</v>
      </c>
      <c r="P96" s="32">
        <v>183070.62571499997</v>
      </c>
      <c r="Q96" s="32">
        <v>1391.4211258376386</v>
      </c>
      <c r="R96" s="32">
        <f t="shared" si="2"/>
        <v>18.478368205015119</v>
      </c>
      <c r="S96" s="32">
        <v>683.11603758955209</v>
      </c>
      <c r="T96" s="32">
        <v>715.91037959778623</v>
      </c>
      <c r="U96" s="32">
        <v>-2.3440831141820233</v>
      </c>
      <c r="V96" s="32">
        <v>1.4995313872996345</v>
      </c>
      <c r="W96" s="32">
        <v>2086.4796511453337</v>
      </c>
      <c r="X96" s="32">
        <f t="shared" si="3"/>
        <v>27.708893109499783</v>
      </c>
      <c r="Y96" s="32">
        <v>1723.229126</v>
      </c>
      <c r="Z96" s="32">
        <f t="shared" si="4"/>
        <v>22.884848950863216</v>
      </c>
      <c r="AA96" s="32">
        <v>840.02819799999997</v>
      </c>
      <c r="AB96" s="32">
        <v>888.66513099999997</v>
      </c>
      <c r="AC96" s="32">
        <v>-2.813508456594501</v>
      </c>
      <c r="AD96" s="32">
        <v>-2263.1618993711481</v>
      </c>
      <c r="AE96" s="32">
        <v>1.108336907864391</v>
      </c>
      <c r="AF96" s="32">
        <v>1.0645582229463024</v>
      </c>
      <c r="AG96" s="32">
        <v>8.7790912990845573</v>
      </c>
      <c r="AH96" s="32">
        <v>3509.5856765594849</v>
      </c>
      <c r="AI96" s="32">
        <f t="shared" si="5"/>
        <v>46.608043513406173</v>
      </c>
      <c r="AJ96" s="32">
        <v>2.2784883097783473</v>
      </c>
      <c r="AK96" s="32">
        <v>1540.3132249999999</v>
      </c>
      <c r="AL96" s="32">
        <v>8.0000000000000002E-3</v>
      </c>
      <c r="AM96" s="32">
        <v>0.219</v>
      </c>
      <c r="AN96" s="32">
        <v>0.21099999999999999</v>
      </c>
      <c r="AO96" s="32">
        <v>0.219</v>
      </c>
      <c r="AP96" s="32">
        <v>-1.8604651162790715</v>
      </c>
      <c r="AQ96" s="32">
        <v>0.27100000000000002</v>
      </c>
      <c r="AR96" s="32">
        <v>0.26800000000000002</v>
      </c>
      <c r="AS96" s="32">
        <v>0.27100000000000002</v>
      </c>
      <c r="AT96" s="32">
        <v>-0.55658627087198553</v>
      </c>
      <c r="AU96" s="14">
        <f t="shared" si="1"/>
        <v>0.49</v>
      </c>
      <c r="AV96" s="32">
        <v>0.495</v>
      </c>
      <c r="AW96" s="32">
        <v>3065.8748020000003</v>
      </c>
      <c r="AX96" s="32">
        <f t="shared" si="6"/>
        <v>40.715468818061098</v>
      </c>
      <c r="AY96" s="32">
        <v>1564.0455930000001</v>
      </c>
      <c r="AZ96" s="32">
        <v>1511.8740539999999</v>
      </c>
      <c r="BA96" s="32">
        <v>1.6961281498651635</v>
      </c>
      <c r="BB96" s="32">
        <v>1704.3438031826486</v>
      </c>
      <c r="BC96" s="32">
        <f t="shared" si="7"/>
        <v>22.634047851031191</v>
      </c>
      <c r="BD96" s="32">
        <v>821.86288528436035</v>
      </c>
      <c r="BE96" s="32">
        <v>912.68463164840182</v>
      </c>
      <c r="BF96" s="32">
        <v>-5.2360483340717892</v>
      </c>
      <c r="BG96" s="32">
        <v>4054.1763289999999</v>
      </c>
      <c r="BH96" s="32">
        <f t="shared" si="8"/>
        <v>53.840323094289509</v>
      </c>
      <c r="BI96" s="32">
        <v>2004.8616030000001</v>
      </c>
      <c r="BJ96" s="32">
        <v>2058.4037060000001</v>
      </c>
      <c r="BK96" s="32">
        <v>-1.3177112230748502</v>
      </c>
      <c r="BL96" s="32">
        <v>34.390289000000024</v>
      </c>
      <c r="BM96" s="32">
        <v>200.895523</v>
      </c>
      <c r="BN96" s="32">
        <v>215.37658300000001</v>
      </c>
      <c r="BO96" s="32">
        <v>-3.4787485856667062</v>
      </c>
      <c r="BP96" s="32">
        <v>104.829953</v>
      </c>
      <c r="BQ96" s="32">
        <v>54.822477999999997</v>
      </c>
      <c r="BR96" s="32">
        <v>51.341971000000001</v>
      </c>
      <c r="BS96" s="32">
        <v>3.2784110243910334</v>
      </c>
      <c r="BT96" s="32">
        <v>1.2822570701107014</v>
      </c>
      <c r="BU96" s="32">
        <v>-155.6406015634328</v>
      </c>
      <c r="BV96" s="32">
        <v>155.18978509225093</v>
      </c>
      <c r="BW96" s="32">
        <v>68948.320774706081</v>
      </c>
      <c r="BX96" s="32">
        <v>-13.429191162361624</v>
      </c>
      <c r="BY96" s="32">
        <v>-12.582280563432835</v>
      </c>
      <c r="BZ96" s="32">
        <v>-0.86202476383763915</v>
      </c>
      <c r="CA96" s="32">
        <v>87.176358423084835</v>
      </c>
      <c r="CB96" s="32">
        <v>0.92524884467087432</v>
      </c>
      <c r="CC96" s="32">
        <v>0.76662661368720841</v>
      </c>
      <c r="CD96" s="32">
        <v>0.76915153168360684</v>
      </c>
      <c r="CE96" s="32">
        <v>-1335.5313378127078</v>
      </c>
      <c r="CF96" s="32">
        <v>-927.63056155843697</v>
      </c>
      <c r="CG96" s="32">
        <v>18.023490779321289</v>
      </c>
      <c r="CH96" s="32">
        <v>4341.3734399568284</v>
      </c>
      <c r="CI96" s="32">
        <v>3539.8404404163875</v>
      </c>
      <c r="CJ96" s="32">
        <v>10535.970904360076</v>
      </c>
      <c r="CK96" s="32">
        <v>57.654361752414722</v>
      </c>
      <c r="CL96" s="32">
        <v>47.009833206060925</v>
      </c>
      <c r="CM96" s="32">
        <v>139.91993232881907</v>
      </c>
      <c r="CN96" s="32">
        <v>57.090841539197342</v>
      </c>
    </row>
    <row r="97" spans="1:92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6"/>
      <c r="K97" s="32">
        <v>0.30035930203125</v>
      </c>
      <c r="L97" s="32">
        <v>0.23882066174736782</v>
      </c>
      <c r="M97" s="32">
        <v>2.164638857519507</v>
      </c>
      <c r="N97" s="32">
        <v>370350.80530899978</v>
      </c>
      <c r="O97" s="32">
        <v>184366.74408299994</v>
      </c>
      <c r="P97" s="32">
        <v>184355.40087999994</v>
      </c>
      <c r="Q97" s="32">
        <v>1259.7675247517006</v>
      </c>
      <c r="R97" s="32">
        <f t="shared" si="2"/>
        <v>17.070020660592149</v>
      </c>
      <c r="S97" s="32">
        <v>627.12432884013606</v>
      </c>
      <c r="T97" s="32">
        <v>639.30497449828169</v>
      </c>
      <c r="U97" s="32">
        <v>-0.96181015600605524</v>
      </c>
      <c r="V97" s="32">
        <v>1.3236332554336852</v>
      </c>
      <c r="W97" s="32">
        <v>1667.4701898767291</v>
      </c>
      <c r="X97" s="32">
        <f t="shared" si="3"/>
        <v>22.594447017299853</v>
      </c>
      <c r="Y97" s="32">
        <v>1551.385941</v>
      </c>
      <c r="Z97" s="32">
        <f t="shared" si="4"/>
        <v>21.021489715447156</v>
      </c>
      <c r="AA97" s="32">
        <v>781.03996299999994</v>
      </c>
      <c r="AB97" s="32">
        <v>839.59541300000001</v>
      </c>
      <c r="AC97" s="32">
        <v>-3.613116859421194</v>
      </c>
      <c r="AD97" s="32">
        <v>-2985.7496951332973</v>
      </c>
      <c r="AE97" s="32">
        <v>1.0216302790178573</v>
      </c>
      <c r="AF97" s="32">
        <v>0.8123151760114552</v>
      </c>
      <c r="AG97" s="32">
        <v>7.3627172024473033</v>
      </c>
      <c r="AH97" s="32">
        <v>3052.0457239068783</v>
      </c>
      <c r="AI97" s="32">
        <f t="shared" si="5"/>
        <v>41.355633115269356</v>
      </c>
      <c r="AJ97" s="32">
        <v>2.0772922059870069</v>
      </c>
      <c r="AK97" s="32">
        <v>1469.2423699999999</v>
      </c>
      <c r="AL97" s="32">
        <v>-1.0999999999999999E-2</v>
      </c>
      <c r="AM97" s="32">
        <v>0.33100000000000002</v>
      </c>
      <c r="AN97" s="32">
        <v>0.33100000000000002</v>
      </c>
      <c r="AO97" s="32">
        <v>0.32</v>
      </c>
      <c r="AP97" s="32">
        <v>1.689708141321046</v>
      </c>
      <c r="AQ97" s="32">
        <v>0.29399999999999998</v>
      </c>
      <c r="AR97" s="32">
        <v>0.29399999999999998</v>
      </c>
      <c r="AS97" s="32">
        <v>0.29099999999999998</v>
      </c>
      <c r="AT97" s="32">
        <v>0.51282051282051333</v>
      </c>
      <c r="AU97" s="14">
        <f t="shared" si="1"/>
        <v>0.625</v>
      </c>
      <c r="AV97" s="32">
        <v>0.495</v>
      </c>
      <c r="AW97" s="32">
        <v>2484.846783</v>
      </c>
      <c r="AX97" s="32">
        <f t="shared" si="6"/>
        <v>33.670010609756098</v>
      </c>
      <c r="AY97" s="32">
        <v>1673.3478849999999</v>
      </c>
      <c r="AZ97" s="32">
        <v>1311.1228329999999</v>
      </c>
      <c r="BA97" s="32">
        <v>12.136994670959277</v>
      </c>
      <c r="BB97" s="32">
        <v>1351.072812344411</v>
      </c>
      <c r="BC97" s="32">
        <f t="shared" si="7"/>
        <v>18.307219679463564</v>
      </c>
      <c r="BD97" s="32">
        <v>679.55070436858011</v>
      </c>
      <c r="BE97" s="32">
        <v>695.05336726874998</v>
      </c>
      <c r="BF97" s="32">
        <v>-1.1277911378295429</v>
      </c>
      <c r="BG97" s="32">
        <v>4722.0727929999994</v>
      </c>
      <c r="BH97" s="32">
        <f t="shared" si="8"/>
        <v>63.984726192411919</v>
      </c>
      <c r="BI97" s="32">
        <v>2244.8542109999999</v>
      </c>
      <c r="BJ97" s="32">
        <v>2481.8712460000002</v>
      </c>
      <c r="BK97" s="32">
        <v>-5.0144024051363534</v>
      </c>
      <c r="BL97" s="32">
        <v>32.334440000000001</v>
      </c>
      <c r="BM97" s="32">
        <v>111.845066</v>
      </c>
      <c r="BN97" s="32">
        <v>119.112652</v>
      </c>
      <c r="BO97" s="32">
        <v>-3.1467170973693093</v>
      </c>
      <c r="BP97" s="32">
        <v>136.92995500000001</v>
      </c>
      <c r="BQ97" s="32">
        <v>74.479219000000001</v>
      </c>
      <c r="BR97" s="32">
        <v>62.667140000000003</v>
      </c>
      <c r="BS97" s="32">
        <v>8.6127543495339864</v>
      </c>
      <c r="BT97" s="32">
        <v>7.9259378503401372</v>
      </c>
      <c r="BU97" s="32">
        <v>-89.435176122448979</v>
      </c>
      <c r="BV97" s="32">
        <v>98.361242450171829</v>
      </c>
      <c r="BW97" s="32">
        <v>-2103.9101848185569</v>
      </c>
      <c r="BX97" s="32">
        <v>-1.3785973571428589</v>
      </c>
      <c r="BY97" s="32">
        <v>6.0208666938775472</v>
      </c>
      <c r="BZ97" s="32">
        <v>-7.2229034261168366</v>
      </c>
      <c r="CA97" s="32">
        <v>-1101.7774885566432</v>
      </c>
      <c r="CB97" s="32">
        <v>0.90162766283271156</v>
      </c>
      <c r="CC97" s="32">
        <v>0.80738973413042658</v>
      </c>
      <c r="CD97" s="32">
        <v>0.822024471408624</v>
      </c>
      <c r="CE97" s="32">
        <v>-590.76540277512254</v>
      </c>
      <c r="CF97" s="32">
        <v>-2394.9842923581768</v>
      </c>
      <c r="CG97" s="32">
        <v>-60.427667212823899</v>
      </c>
      <c r="CH97" s="32">
        <v>9210.8652394709334</v>
      </c>
      <c r="CI97" s="32">
        <v>1441.872993902824</v>
      </c>
      <c r="CJ97" s="32">
        <v>13129.6813216995</v>
      </c>
      <c r="CK97" s="32">
        <v>124.80847207955195</v>
      </c>
      <c r="CL97" s="32">
        <v>19.537574443127696</v>
      </c>
      <c r="CM97" s="32">
        <v>177.90896099863821</v>
      </c>
      <c r="CN97" s="32">
        <v>54.260499167364564</v>
      </c>
    </row>
    <row r="98" spans="1:92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6"/>
      <c r="K98" s="32">
        <v>0.34563660508124999</v>
      </c>
      <c r="L98" s="32">
        <v>0.27089169403985608</v>
      </c>
      <c r="M98" s="32">
        <v>2.3054056122647868</v>
      </c>
      <c r="N98" s="32">
        <v>333901.61317999999</v>
      </c>
      <c r="O98" s="32">
        <v>179238.49821999978</v>
      </c>
      <c r="P98" s="32">
        <v>179236.26203999977</v>
      </c>
      <c r="Q98" s="32">
        <v>1497.3453594035875</v>
      </c>
      <c r="R98" s="32">
        <f t="shared" si="2"/>
        <v>19.964604792047833</v>
      </c>
      <c r="S98" s="32">
        <v>803.78135016143506</v>
      </c>
      <c r="T98" s="32">
        <v>719.44586106511622</v>
      </c>
      <c r="U98" s="32">
        <v>5.5366322551715186</v>
      </c>
      <c r="V98" s="32">
        <v>1.4937437906617634</v>
      </c>
      <c r="W98" s="32">
        <v>2236.6503330853152</v>
      </c>
      <c r="X98" s="32">
        <f t="shared" si="3"/>
        <v>29.822004441137537</v>
      </c>
      <c r="Y98" s="32">
        <v>1825.011399</v>
      </c>
      <c r="Z98" s="32">
        <f t="shared" si="4"/>
        <v>24.333485320000001</v>
      </c>
      <c r="AA98" s="32">
        <v>985.37991299999999</v>
      </c>
      <c r="AB98" s="32">
        <v>867.02467300000001</v>
      </c>
      <c r="AC98" s="32">
        <v>6.3892759116717048</v>
      </c>
      <c r="AD98" s="32">
        <v>588.25480299386038</v>
      </c>
      <c r="AE98" s="32">
        <v>1.5499399330997756</v>
      </c>
      <c r="AF98" s="32">
        <v>1.2147609598199824</v>
      </c>
      <c r="AG98" s="32">
        <v>10.338141759034919</v>
      </c>
      <c r="AH98" s="32">
        <v>3604.9170630246363</v>
      </c>
      <c r="AI98" s="32">
        <f t="shared" si="5"/>
        <v>48.06556084032848</v>
      </c>
      <c r="AJ98" s="32">
        <v>2.1667838378875919</v>
      </c>
      <c r="AK98" s="32">
        <v>1663.717903</v>
      </c>
      <c r="AL98" s="32">
        <v>-2.4E-2</v>
      </c>
      <c r="AM98" s="32">
        <v>0.23899999999999999</v>
      </c>
      <c r="AN98" s="32">
        <v>0.23899999999999999</v>
      </c>
      <c r="AO98" s="32">
        <v>0.215</v>
      </c>
      <c r="AP98" s="32">
        <v>5.2863436123348002</v>
      </c>
      <c r="AQ98" s="32">
        <v>0.223</v>
      </c>
      <c r="AR98" s="32">
        <v>0.223</v>
      </c>
      <c r="AS98" s="32">
        <v>0.215</v>
      </c>
      <c r="AT98" s="32">
        <v>1.8264840182648419</v>
      </c>
      <c r="AU98" s="14">
        <f t="shared" si="1"/>
        <v>0.46199999999999997</v>
      </c>
      <c r="AV98" s="32">
        <v>0.53100000000000003</v>
      </c>
      <c r="AW98" s="32">
        <v>2143.5408090000001</v>
      </c>
      <c r="AX98" s="32">
        <f t="shared" si="6"/>
        <v>28.580544120000003</v>
      </c>
      <c r="AY98" s="32">
        <v>1835.7414510000001</v>
      </c>
      <c r="AZ98" s="32">
        <v>1091.742737</v>
      </c>
      <c r="BA98" s="32">
        <v>25.414269257190604</v>
      </c>
      <c r="BB98" s="32">
        <v>1621.535461866109</v>
      </c>
      <c r="BC98" s="32">
        <f t="shared" si="7"/>
        <v>21.620472824881453</v>
      </c>
      <c r="BD98" s="32">
        <v>1011.4284381338911</v>
      </c>
      <c r="BE98" s="32">
        <v>678.1750037348836</v>
      </c>
      <c r="BF98" s="32">
        <v>19.723766307578938</v>
      </c>
      <c r="BG98" s="32">
        <v>3208.0886490000003</v>
      </c>
      <c r="BH98" s="32">
        <f t="shared" si="8"/>
        <v>42.774515320000006</v>
      </c>
      <c r="BI98" s="32">
        <v>2021.84935</v>
      </c>
      <c r="BJ98" s="32">
        <v>1329.354877</v>
      </c>
      <c r="BK98" s="32">
        <v>20.664048684968432</v>
      </c>
      <c r="BL98" s="32">
        <v>44.976075000000009</v>
      </c>
      <c r="BM98" s="32">
        <v>99.041129999999995</v>
      </c>
      <c r="BN98" s="32">
        <v>131.84444400000001</v>
      </c>
      <c r="BO98" s="32">
        <v>-14.207606578313122</v>
      </c>
      <c r="BP98" s="32">
        <v>111.195852</v>
      </c>
      <c r="BQ98" s="32">
        <v>64.037702999999993</v>
      </c>
      <c r="BR98" s="32">
        <v>65.660734000000005</v>
      </c>
      <c r="BS98" s="32">
        <v>-1.2513882491891644</v>
      </c>
      <c r="BT98" s="32">
        <v>29.022545977578478</v>
      </c>
      <c r="BU98" s="32">
        <v>-79.505853385650212</v>
      </c>
      <c r="BV98" s="32">
        <v>112.56104558139536</v>
      </c>
      <c r="BW98" s="32">
        <v>-581.04910668699233</v>
      </c>
      <c r="BX98" s="32">
        <v>4.3861540313901344</v>
      </c>
      <c r="BY98" s="32">
        <v>-16.106609286995514</v>
      </c>
      <c r="BZ98" s="32">
        <v>21.433357158139529</v>
      </c>
      <c r="CA98" s="32">
        <v>-704.74457123259072</v>
      </c>
      <c r="CB98" s="32">
        <v>0.92117239987310484</v>
      </c>
      <c r="CC98" s="32">
        <v>0.85800201046141888</v>
      </c>
      <c r="CD98" s="32">
        <v>0.81446722436720098</v>
      </c>
      <c r="CE98" s="32">
        <v>-301.56017825017096</v>
      </c>
      <c r="CF98" s="32">
        <v>889.81498124402947</v>
      </c>
      <c r="CG98" s="32">
        <v>-202.52706028592149</v>
      </c>
      <c r="CH98" s="32">
        <v>8878.8302845712642</v>
      </c>
      <c r="CI98" s="32">
        <v>1129.7679781664453</v>
      </c>
      <c r="CJ98" s="32">
        <v>9815.2405286634694</v>
      </c>
      <c r="CK98" s="32">
        <v>118.38440379428353</v>
      </c>
      <c r="CL98" s="32">
        <v>15.063573042219272</v>
      </c>
      <c r="CM98" s="32">
        <v>130.86987371551294</v>
      </c>
      <c r="CN98" s="32">
        <v>20.500913215877105</v>
      </c>
    </row>
    <row r="99" spans="1:92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6"/>
      <c r="K99" s="32">
        <v>0.28125594783124996</v>
      </c>
      <c r="L99" s="32">
        <v>0.20430346570071331</v>
      </c>
      <c r="M99" s="32">
        <v>2.0021073889899101</v>
      </c>
      <c r="N99" s="32">
        <v>377847.4362720002</v>
      </c>
      <c r="O99" s="32">
        <v>178292.43178000016</v>
      </c>
      <c r="P99" s="32">
        <v>178290.52020700017</v>
      </c>
      <c r="Q99" s="32">
        <v>1567.8506922572615</v>
      </c>
      <c r="R99" s="32">
        <f t="shared" si="2"/>
        <v>18.021272324796108</v>
      </c>
      <c r="S99" s="32">
        <v>765.21726930042905</v>
      </c>
      <c r="T99" s="32">
        <v>828.11399482157674</v>
      </c>
      <c r="U99" s="32">
        <v>-3.9474983600354125</v>
      </c>
      <c r="V99" s="32">
        <v>1.2973708261866557</v>
      </c>
      <c r="W99" s="32">
        <v>2034.0837479511233</v>
      </c>
      <c r="X99" s="32">
        <f t="shared" si="3"/>
        <v>23.380272964955441</v>
      </c>
      <c r="Y99" s="32">
        <v>1968.776134</v>
      </c>
      <c r="Z99" s="32">
        <f t="shared" si="4"/>
        <v>22.629610735632184</v>
      </c>
      <c r="AA99" s="32">
        <v>952.43233099999998</v>
      </c>
      <c r="AB99" s="32">
        <v>1019.643951</v>
      </c>
      <c r="AC99" s="32">
        <v>-3.4081653236981655</v>
      </c>
      <c r="AD99" s="32">
        <v>3285.5106342993759</v>
      </c>
      <c r="AE99" s="32">
        <v>1.1670371279304979</v>
      </c>
      <c r="AF99" s="32">
        <v>0.84773222282453664</v>
      </c>
      <c r="AG99" s="32">
        <v>8.3074995393772202</v>
      </c>
      <c r="AH99" s="32">
        <v>3527.597478505465</v>
      </c>
      <c r="AI99" s="32">
        <f t="shared" si="5"/>
        <v>40.547097454085808</v>
      </c>
      <c r="AJ99" s="32">
        <v>1.9316201311297796</v>
      </c>
      <c r="AK99" s="32">
        <v>1826.2376859999999</v>
      </c>
      <c r="AL99" s="32">
        <v>1.4999999999999999E-2</v>
      </c>
      <c r="AM99" s="32">
        <v>0.26800000000000002</v>
      </c>
      <c r="AN99" s="32">
        <v>0.253</v>
      </c>
      <c r="AO99" s="32">
        <v>0.26800000000000002</v>
      </c>
      <c r="AP99" s="32">
        <v>-2.879078694817661</v>
      </c>
      <c r="AQ99" s="32">
        <v>0.24099999999999999</v>
      </c>
      <c r="AR99" s="32">
        <v>0.23300000000000001</v>
      </c>
      <c r="AS99" s="32">
        <v>0.24099999999999999</v>
      </c>
      <c r="AT99" s="32">
        <v>-1.6877637130801644</v>
      </c>
      <c r="AU99" s="14">
        <f t="shared" si="1"/>
        <v>0.50900000000000001</v>
      </c>
      <c r="AV99" s="32">
        <v>0.47899999999999998</v>
      </c>
      <c r="AW99" s="32">
        <v>2543.023494</v>
      </c>
      <c r="AX99" s="32">
        <f t="shared" si="6"/>
        <v>29.230155103448276</v>
      </c>
      <c r="AY99" s="32">
        <v>1096.629876</v>
      </c>
      <c r="AZ99" s="32">
        <v>2240.6342540000001</v>
      </c>
      <c r="BA99" s="32">
        <v>-34.279707372158164</v>
      </c>
      <c r="BB99" s="32">
        <v>1762.6868208320893</v>
      </c>
      <c r="BC99" s="32">
        <f t="shared" si="7"/>
        <v>20.260768055541256</v>
      </c>
      <c r="BD99" s="32">
        <v>662.78522177075104</v>
      </c>
      <c r="BE99" s="32">
        <v>1137.1520154402986</v>
      </c>
      <c r="BF99" s="32">
        <v>-26.354629698342428</v>
      </c>
      <c r="BG99" s="32">
        <v>4133.0375400000003</v>
      </c>
      <c r="BH99" s="32">
        <f t="shared" si="8"/>
        <v>47.50617862068966</v>
      </c>
      <c r="BI99" s="32">
        <v>1771.36114</v>
      </c>
      <c r="BJ99" s="32">
        <v>2382.902161</v>
      </c>
      <c r="BK99" s="32">
        <v>-14.720805512081817</v>
      </c>
      <c r="BL99" s="32">
        <v>62.234333000000007</v>
      </c>
      <c r="BM99" s="32">
        <v>165.928158</v>
      </c>
      <c r="BN99" s="32">
        <v>119.36512</v>
      </c>
      <c r="BO99" s="32">
        <v>16.321112900528973</v>
      </c>
      <c r="BP99" s="32">
        <v>157.488382</v>
      </c>
      <c r="BQ99" s="32">
        <v>71.287250999999998</v>
      </c>
      <c r="BR99" s="32">
        <v>86.796246999999994</v>
      </c>
      <c r="BS99" s="32">
        <v>-9.8106356426905457</v>
      </c>
      <c r="BT99" s="32">
        <v>-27.895903261410787</v>
      </c>
      <c r="BU99" s="32">
        <v>-114.99183152360514</v>
      </c>
      <c r="BV99" s="32">
        <v>83.257745165975123</v>
      </c>
      <c r="BW99" s="32">
        <v>624.72123651328604</v>
      </c>
      <c r="BX99" s="32">
        <v>41.669990792531117</v>
      </c>
      <c r="BY99" s="32">
        <v>14.180687399141629</v>
      </c>
      <c r="BZ99" s="32">
        <v>28.178830626556017</v>
      </c>
      <c r="CA99" s="32">
        <v>-33.046039898098776</v>
      </c>
      <c r="CB99" s="32">
        <v>0.8996011740648624</v>
      </c>
      <c r="CC99" s="32">
        <v>0.80060029450398495</v>
      </c>
      <c r="CD99" s="32">
        <v>0.83181557138586348</v>
      </c>
      <c r="CE99" s="32">
        <v>2782.5496514969209</v>
      </c>
      <c r="CF99" s="32">
        <v>502.96098280245747</v>
      </c>
      <c r="CG99" s="32">
        <v>69.383085992676314</v>
      </c>
      <c r="CH99" s="32">
        <v>1768.571236740459</v>
      </c>
      <c r="CI99" s="32">
        <v>6443.8475379666852</v>
      </c>
      <c r="CJ99" s="32">
        <v>10805.716338016982</v>
      </c>
      <c r="CK99" s="32">
        <v>20.328405020005274</v>
      </c>
      <c r="CL99" s="32">
        <v>74.06721308007684</v>
      </c>
      <c r="CM99" s="32">
        <v>124.20363606916071</v>
      </c>
      <c r="CN99" s="32">
        <v>34.177214251092558</v>
      </c>
    </row>
    <row r="100" spans="1:92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66"/>
      <c r="K100" s="32">
        <v>0.43397490828124996</v>
      </c>
      <c r="L100" s="32">
        <v>0.3882800333269108</v>
      </c>
      <c r="M100" s="32">
        <v>2.7600822911416953</v>
      </c>
      <c r="N100" s="32">
        <v>459298.6139820001</v>
      </c>
      <c r="O100" s="32">
        <v>237612.01009700005</v>
      </c>
      <c r="P100" s="32">
        <v>237609.39521000005</v>
      </c>
      <c r="Q100" s="32">
        <v>1726.7170946804508</v>
      </c>
      <c r="R100" s="32">
        <f t="shared" si="2"/>
        <v>20.078105752098267</v>
      </c>
      <c r="S100" s="32">
        <v>893.29199601503774</v>
      </c>
      <c r="T100" s="32">
        <v>859.39802743410837</v>
      </c>
      <c r="U100" s="32">
        <v>1.9338256124850244</v>
      </c>
      <c r="V100" s="32">
        <v>1.8024026796975583</v>
      </c>
      <c r="W100" s="32">
        <v>3112.2395185316273</v>
      </c>
      <c r="X100" s="32">
        <f>W100/D100</f>
        <v>36.188831610832878</v>
      </c>
      <c r="Y100" s="32">
        <v>2366.2571049999997</v>
      </c>
      <c r="Z100" s="32">
        <f t="shared" si="4"/>
        <v>27.514617499999996</v>
      </c>
      <c r="AA100" s="32">
        <v>1211.3964080000001</v>
      </c>
      <c r="AB100" s="32">
        <v>1156.0509569999999</v>
      </c>
      <c r="AC100" s="32">
        <v>2.3377690173061203</v>
      </c>
      <c r="AD100" s="32">
        <v>-5861.4376380723133</v>
      </c>
      <c r="AE100" s="32">
        <v>1.6314846175986839</v>
      </c>
      <c r="AF100" s="32">
        <v>1.459699373409439</v>
      </c>
      <c r="AG100" s="32">
        <v>10.376249214818403</v>
      </c>
      <c r="AH100" s="32">
        <v>4699.577296518456</v>
      </c>
      <c r="AI100" s="32">
        <f t="shared" si="5"/>
        <v>54.646247633935538</v>
      </c>
      <c r="AJ100" s="32">
        <v>2.6147290791417017</v>
      </c>
      <c r="AK100" s="32">
        <v>1797.3477</v>
      </c>
      <c r="AL100" s="32">
        <v>-8.9999999999999993E-3</v>
      </c>
      <c r="AM100" s="32">
        <v>0.25</v>
      </c>
      <c r="AN100" s="32">
        <v>0.25</v>
      </c>
      <c r="AO100" s="32">
        <v>0.24099999999999999</v>
      </c>
      <c r="AP100" s="32">
        <v>1.8329938900203684</v>
      </c>
      <c r="AQ100" s="32">
        <v>0.26600000000000001</v>
      </c>
      <c r="AR100" s="32">
        <v>0.26600000000000001</v>
      </c>
      <c r="AS100" s="32">
        <v>0.25800000000000001</v>
      </c>
      <c r="AT100" s="32">
        <v>1.5267175572519098</v>
      </c>
      <c r="AU100" s="14">
        <f t="shared" si="1"/>
        <v>0.51600000000000001</v>
      </c>
      <c r="AV100" s="32">
        <v>0.59499999999999997</v>
      </c>
      <c r="AW100" s="32">
        <v>2331.9930199999999</v>
      </c>
      <c r="AX100" s="32">
        <f t="shared" si="6"/>
        <v>27.116197906976744</v>
      </c>
      <c r="AY100" s="32">
        <v>1401.7962950000001</v>
      </c>
      <c r="AZ100" s="32">
        <v>935.51671399999998</v>
      </c>
      <c r="BA100" s="32">
        <v>19.949385435521705</v>
      </c>
      <c r="BB100" s="32">
        <v>1810.5440259119998</v>
      </c>
      <c r="BC100" s="32">
        <f t="shared" si="7"/>
        <v>21.05283751060465</v>
      </c>
      <c r="BD100" s="32">
        <v>954.84191943199994</v>
      </c>
      <c r="BE100" s="32">
        <v>887.8666336182572</v>
      </c>
      <c r="BF100" s="32">
        <v>3.634610893995025</v>
      </c>
      <c r="BG100" s="32">
        <v>4631.1646769999998</v>
      </c>
      <c r="BH100" s="32">
        <f t="shared" si="8"/>
        <v>53.850752058139534</v>
      </c>
      <c r="BI100" s="32">
        <v>4613.2572019999998</v>
      </c>
      <c r="BJ100" s="32">
        <v>21.387979999999999</v>
      </c>
      <c r="BK100" s="32">
        <v>99.077039162218199</v>
      </c>
      <c r="BL100" s="32">
        <v>47.771297000000004</v>
      </c>
      <c r="BM100" s="32">
        <v>66.887028000000001</v>
      </c>
      <c r="BN100" s="32">
        <v>94.983547000000002</v>
      </c>
      <c r="BO100" s="32">
        <v>-17.357397414570251</v>
      </c>
      <c r="BP100" s="32">
        <v>142.051526</v>
      </c>
      <c r="BQ100" s="32">
        <v>88.365172999999999</v>
      </c>
      <c r="BR100" s="32">
        <v>67.139499999999998</v>
      </c>
      <c r="BS100" s="32">
        <v>13.649540293879141</v>
      </c>
      <c r="BT100" s="32">
        <v>-29.000848597744358</v>
      </c>
      <c r="BU100" s="32">
        <v>41.604106586466166</v>
      </c>
      <c r="BV100" s="32">
        <v>-72.90518440310079</v>
      </c>
      <c r="BW100" s="32">
        <v>-365.83178272766122</v>
      </c>
      <c r="BX100" s="32">
        <v>13.620535330827067</v>
      </c>
      <c r="BY100" s="32">
        <v>11.153103443609023</v>
      </c>
      <c r="BZ100" s="32">
        <v>3.0833450271317826</v>
      </c>
      <c r="CA100" s="32">
        <v>56.683789029704002</v>
      </c>
      <c r="CB100" s="32">
        <v>0.92573674206325507</v>
      </c>
      <c r="CC100" s="32">
        <v>0.88639932753921236</v>
      </c>
      <c r="CD100" s="32">
        <v>0.87700937318742633</v>
      </c>
      <c r="CE100" s="32">
        <v>-2877.7306476007552</v>
      </c>
      <c r="CF100" s="32">
        <v>-2983.7069904715627</v>
      </c>
      <c r="CG100" s="32">
        <v>-1.808026450412948</v>
      </c>
      <c r="CH100" s="32">
        <v>1958.1330603097829</v>
      </c>
      <c r="CI100" s="32">
        <v>1299.7756313393274</v>
      </c>
      <c r="CJ100" s="32">
        <v>5330.8176272312949</v>
      </c>
      <c r="CK100" s="32">
        <v>22.768989073369568</v>
      </c>
      <c r="CL100" s="32">
        <v>15.113670131852645</v>
      </c>
      <c r="CM100" s="32">
        <v>61.986251479433662</v>
      </c>
      <c r="CN100" s="32">
        <v>25.959492580299404</v>
      </c>
    </row>
    <row r="101" spans="1:92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6"/>
      <c r="K101" s="32">
        <v>0.36946676458125</v>
      </c>
      <c r="L101" s="32">
        <v>0.30338716961209689</v>
      </c>
      <c r="M101" s="32">
        <v>2.4397656173881419</v>
      </c>
      <c r="N101" s="32">
        <v>389134.41072799999</v>
      </c>
      <c r="O101" s="32">
        <v>188259.30256599997</v>
      </c>
      <c r="P101" s="32">
        <v>188253.62194699998</v>
      </c>
      <c r="Q101" s="32">
        <v>1239.3152180955412</v>
      </c>
      <c r="R101" s="32">
        <f>Q101/D101</f>
        <v>17.455143916838608</v>
      </c>
      <c r="S101" s="32">
        <v>619.29537730592108</v>
      </c>
      <c r="T101" s="32">
        <v>639.89321071656036</v>
      </c>
      <c r="U101" s="32">
        <v>-1.6358021035584172</v>
      </c>
      <c r="V101" s="32">
        <v>1.558492513905074</v>
      </c>
      <c r="W101" s="32">
        <v>1931.4634897705353</v>
      </c>
      <c r="X101" s="32">
        <f>W101/D101</f>
        <v>27.203711123528667</v>
      </c>
      <c r="Y101" s="32">
        <v>1797.419815</v>
      </c>
      <c r="Z101" s="32">
        <f>Y101/D101</f>
        <v>25.315772042253521</v>
      </c>
      <c r="AA101" s="32">
        <v>877.79080199999999</v>
      </c>
      <c r="AB101" s="32">
        <v>919.62901299999999</v>
      </c>
      <c r="AC101" s="32">
        <v>-2.3276816384713106</v>
      </c>
      <c r="AD101" s="32">
        <v>-5776.9045713329797</v>
      </c>
      <c r="AE101" s="32">
        <v>1.1766457470740446</v>
      </c>
      <c r="AF101" s="32">
        <v>0.96620117710858877</v>
      </c>
      <c r="AG101" s="32">
        <v>7.7699541955036366</v>
      </c>
      <c r="AH101" s="32">
        <v>3202.3739519453284</v>
      </c>
      <c r="AI101" s="32">
        <f>AH101/D101</f>
        <v>45.10385847810322</v>
      </c>
      <c r="AJ101" s="32">
        <v>2.3664326273388729</v>
      </c>
      <c r="AK101" s="32">
        <v>1353.249577</v>
      </c>
      <c r="AL101" s="32">
        <v>1.2E-2</v>
      </c>
      <c r="AM101" s="32">
        <v>0.28499999999999998</v>
      </c>
      <c r="AN101" s="32">
        <v>0.27300000000000002</v>
      </c>
      <c r="AO101" s="32">
        <v>0.28499999999999998</v>
      </c>
      <c r="AP101" s="32">
        <v>-2.150537634408594</v>
      </c>
      <c r="AQ101" s="32">
        <v>0.314</v>
      </c>
      <c r="AR101" s="32">
        <v>0.30399999999999999</v>
      </c>
      <c r="AS101" s="32">
        <v>0.314</v>
      </c>
      <c r="AT101" s="32">
        <v>-1.61812297734628</v>
      </c>
      <c r="AU101" s="32">
        <v>0.54900000000000004</v>
      </c>
      <c r="AV101" s="32"/>
      <c r="AW101" s="32">
        <v>2272.0850329999998</v>
      </c>
      <c r="AX101" s="32">
        <f>AW101/D101</f>
        <v>32.001197647887324</v>
      </c>
      <c r="AY101" s="32">
        <v>1363.5288009999999</v>
      </c>
      <c r="AZ101" s="32">
        <v>1910.5812989999999</v>
      </c>
      <c r="BA101" s="32">
        <v>-16.708433170894285</v>
      </c>
      <c r="BB101" s="32">
        <v>1398.3362915789473</v>
      </c>
      <c r="BC101" s="32">
        <f>BB101/D101</f>
        <v>19.694877346182356</v>
      </c>
      <c r="BD101" s="32">
        <v>695.043996871795</v>
      </c>
      <c r="BE101" s="32">
        <v>732.77427910526319</v>
      </c>
      <c r="BF101" s="32">
        <v>-2.6425129071589519</v>
      </c>
      <c r="BG101" s="32">
        <v>4598.1451560000005</v>
      </c>
      <c r="BH101" s="32">
        <f>BG101/D101</f>
        <v>64.762607830985928</v>
      </c>
      <c r="BI101" s="32">
        <v>2271.4719030000001</v>
      </c>
      <c r="BJ101" s="32">
        <v>2387.3926390000001</v>
      </c>
      <c r="BK101" s="32">
        <v>-2.4881757122355936</v>
      </c>
      <c r="BL101" s="32">
        <v>59.853887999999984</v>
      </c>
      <c r="BM101" s="32">
        <v>166.92001300000001</v>
      </c>
      <c r="BN101" s="32">
        <v>110.654842</v>
      </c>
      <c r="BO101" s="32">
        <v>20.270269437770221</v>
      </c>
      <c r="BP101" s="32">
        <v>93.991692999999998</v>
      </c>
      <c r="BQ101" s="32">
        <v>53.001072000000001</v>
      </c>
      <c r="BR101" s="32">
        <v>46.707307999999998</v>
      </c>
      <c r="BS101" s="32">
        <v>6.312171554687783</v>
      </c>
      <c r="BT101" s="32">
        <v>-22.572748092356687</v>
      </c>
      <c r="BU101" s="32">
        <v>-100.90548527631579</v>
      </c>
      <c r="BV101" s="32">
        <v>75.164902722929938</v>
      </c>
      <c r="BW101" s="32">
        <v>684.01866054925745</v>
      </c>
      <c r="BX101" s="32">
        <v>13.468309334394904</v>
      </c>
      <c r="BY101" s="32">
        <v>-0.25181938815789551</v>
      </c>
      <c r="BZ101" s="32">
        <v>14.171681423566879</v>
      </c>
      <c r="CA101" s="32">
        <v>-103.6181305176348</v>
      </c>
      <c r="CB101" s="32">
        <v>0.92115599378978597</v>
      </c>
      <c r="CC101" s="32">
        <v>0.79965500273388224</v>
      </c>
      <c r="CD101" s="32">
        <v>0.85388724122706661</v>
      </c>
      <c r="CE101" s="32">
        <v>-3095.7087551333416</v>
      </c>
      <c r="CF101" s="32">
        <v>-2681.1958161996381</v>
      </c>
      <c r="CG101" s="32">
        <v>7.1753468283111621</v>
      </c>
      <c r="CH101" s="32">
        <v>1847.2923064194804</v>
      </c>
      <c r="CI101" s="32">
        <v>2420.9898305380416</v>
      </c>
      <c r="CJ101" s="32">
        <v>4947.6355863034478</v>
      </c>
      <c r="CK101" s="32">
        <v>26.01820149886592</v>
      </c>
      <c r="CL101" s="32">
        <v>34.098448317437203</v>
      </c>
      <c r="CM101" s="32">
        <v>69.685008257795033</v>
      </c>
      <c r="CN101" s="32">
        <v>63.552157953060195</v>
      </c>
    </row>
    <row r="102" spans="1:92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6"/>
      <c r="K102" s="32">
        <v>0.35217641480000006</v>
      </c>
      <c r="L102" s="32">
        <v>0.3547610968824827</v>
      </c>
      <c r="M102" s="32">
        <v>2.6382594112092752</v>
      </c>
      <c r="N102" s="32">
        <v>359765.03584000003</v>
      </c>
      <c r="O102" s="32">
        <v>184061.05463099998</v>
      </c>
      <c r="P102" s="32">
        <v>184060.08081099996</v>
      </c>
      <c r="Q102" s="32">
        <v>1389.0833666563708</v>
      </c>
      <c r="R102" s="32">
        <f t="shared" ref="R102:R109" si="9">Q102/D102</f>
        <v>19.844048095091011</v>
      </c>
      <c r="S102" s="32">
        <v>710.68035626254823</v>
      </c>
      <c r="T102" s="32">
        <v>697.3069351984127</v>
      </c>
      <c r="U102" s="32">
        <v>0.94982541001907406</v>
      </c>
      <c r="V102" s="32">
        <v>1.7650693324090714</v>
      </c>
      <c r="W102" s="32">
        <v>2451.8284506447058</v>
      </c>
      <c r="X102" s="32">
        <f t="shared" ref="X102:X109" si="10">W102/D102</f>
        <v>35.026120723495794</v>
      </c>
      <c r="Y102" s="32">
        <v>2053.3361970000001</v>
      </c>
      <c r="Z102" s="32">
        <f t="shared" ref="Z102:Z109" si="11">Y102/D102</f>
        <v>29.333374242857143</v>
      </c>
      <c r="AA102" s="32">
        <v>1032.5019990000001</v>
      </c>
      <c r="AB102" s="32">
        <v>1020.834198</v>
      </c>
      <c r="AC102" s="32">
        <v>0.56823626920166026</v>
      </c>
      <c r="AD102" s="32">
        <v>-6510.3715124948149</v>
      </c>
      <c r="AE102" s="32">
        <v>1.3597544972972975</v>
      </c>
      <c r="AF102" s="32">
        <v>1.3697339647972304</v>
      </c>
      <c r="AG102" s="32">
        <v>10.186329773008785</v>
      </c>
      <c r="AH102" s="32">
        <v>3523.0479382522522</v>
      </c>
      <c r="AI102" s="32">
        <f t="shared" ref="AI102:AI109" si="12">AH102/D102</f>
        <v>50.329256260746462</v>
      </c>
      <c r="AJ102" s="32">
        <v>2.5523448991083324</v>
      </c>
      <c r="AK102" s="32">
        <v>1380.3181300000001</v>
      </c>
      <c r="AL102" s="32">
        <v>-1.2E-2</v>
      </c>
      <c r="AM102" s="32">
        <v>0.21</v>
      </c>
      <c r="AN102" s="32">
        <v>0.21</v>
      </c>
      <c r="AO102" s="32">
        <v>0.19800000000000001</v>
      </c>
      <c r="AP102" s="32">
        <v>2.9411764705882306</v>
      </c>
      <c r="AQ102" s="32">
        <v>0.25900000000000001</v>
      </c>
      <c r="AR102" s="32">
        <v>0.25900000000000001</v>
      </c>
      <c r="AS102" s="32">
        <v>0.252</v>
      </c>
      <c r="AT102" s="32">
        <v>1.3698630136986312</v>
      </c>
      <c r="AU102" s="32">
        <v>0.53600000000000003</v>
      </c>
      <c r="AV102" s="32"/>
      <c r="AW102" s="32">
        <v>2100.7647940000002</v>
      </c>
      <c r="AX102" s="32">
        <f t="shared" ref="AX102:AX109" si="13">AW102/D102</f>
        <v>30.010925628571432</v>
      </c>
      <c r="AY102" s="32">
        <v>1540.8542179999999</v>
      </c>
      <c r="AZ102" s="32">
        <v>1368.217484</v>
      </c>
      <c r="BA102" s="32">
        <v>5.9344269129327882</v>
      </c>
      <c r="BB102" s="32">
        <v>1626.8731334619047</v>
      </c>
      <c r="BC102" s="32">
        <f t="shared" ref="BC102:BC109" si="14">BB102/D102</f>
        <v>23.241044763741495</v>
      </c>
      <c r="BD102" s="32">
        <v>901.10504018095253</v>
      </c>
      <c r="BE102" s="32">
        <v>769.82726611111093</v>
      </c>
      <c r="BF102" s="32">
        <v>7.8565584958470156</v>
      </c>
      <c r="BG102" s="32">
        <v>2516.3697350000002</v>
      </c>
      <c r="BH102" s="32">
        <f t="shared" ref="BH102:BH109" si="15">BG102/D102</f>
        <v>35.948139071428578</v>
      </c>
      <c r="BI102" s="32">
        <v>1589.1304929999999</v>
      </c>
      <c r="BJ102" s="32">
        <v>1347.8394470000001</v>
      </c>
      <c r="BK102" s="32">
        <v>8.2156457481481695</v>
      </c>
      <c r="BL102" s="32">
        <v>26.275113000000005</v>
      </c>
      <c r="BM102" s="32">
        <v>163.67394999999999</v>
      </c>
      <c r="BN102" s="32">
        <v>169.300468</v>
      </c>
      <c r="BO102" s="32">
        <v>-1.6897748583195975</v>
      </c>
      <c r="BP102" s="32">
        <v>136.677481</v>
      </c>
      <c r="BQ102" s="32">
        <v>63.442588999999998</v>
      </c>
      <c r="BR102" s="32">
        <v>74.244781000000003</v>
      </c>
      <c r="BS102" s="32">
        <v>-7.8454487147223499</v>
      </c>
      <c r="BT102" s="32">
        <v>3.7647288223938227</v>
      </c>
      <c r="BU102" s="32">
        <v>-126.23791508880308</v>
      </c>
      <c r="BV102" s="32">
        <v>133.59994537698412</v>
      </c>
      <c r="BW102" s="32">
        <v>-3529.4321035724229</v>
      </c>
      <c r="BX102" s="32">
        <v>40.992501389961383</v>
      </c>
      <c r="BY102" s="32">
        <v>23.04151037837838</v>
      </c>
      <c r="BZ102" s="32">
        <v>18.551248178571431</v>
      </c>
      <c r="CA102" s="32">
        <v>10.795778773987239</v>
      </c>
      <c r="CB102" s="32">
        <v>0.92647501775863994</v>
      </c>
      <c r="CC102" s="32">
        <v>0.81969419141717981</v>
      </c>
      <c r="CD102" s="32">
        <v>0.8073796204313024</v>
      </c>
      <c r="CE102" s="32">
        <v>-3452.637736951438</v>
      </c>
      <c r="CF102" s="32">
        <v>-3057.7337755433782</v>
      </c>
      <c r="CG102" s="32">
        <v>6.0657669174509223</v>
      </c>
      <c r="CH102" s="32">
        <v>4900.4591063840699</v>
      </c>
      <c r="CI102" s="32">
        <v>2548.7583695331177</v>
      </c>
      <c r="CJ102" s="32">
        <v>7580.7777895514955</v>
      </c>
      <c r="CK102" s="32">
        <v>70.006558662629573</v>
      </c>
      <c r="CL102" s="32">
        <v>36.410833850473111</v>
      </c>
      <c r="CM102" s="32">
        <v>108.29682556502136</v>
      </c>
      <c r="CN102" s="32">
        <v>49.332564785927211</v>
      </c>
    </row>
    <row r="103" spans="1:92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6"/>
      <c r="K103" s="32">
        <v>0.304011053325</v>
      </c>
      <c r="L103" s="32">
        <v>0.29277659566030617</v>
      </c>
      <c r="M103" s="32">
        <v>2.3967220962921854</v>
      </c>
      <c r="N103" s="32">
        <v>431611.78435500007</v>
      </c>
      <c r="O103" s="32">
        <v>212153.08334700007</v>
      </c>
      <c r="P103" s="32">
        <v>212150.70289700007</v>
      </c>
      <c r="Q103" s="32">
        <v>1365.8752573481013</v>
      </c>
      <c r="R103" s="32">
        <f t="shared" si="9"/>
        <v>17.289560219596218</v>
      </c>
      <c r="S103" s="32">
        <v>671.38295789873405</v>
      </c>
      <c r="T103" s="32">
        <v>703.41685500641029</v>
      </c>
      <c r="U103" s="32">
        <v>-2.3300772088398918</v>
      </c>
      <c r="V103" s="32">
        <v>1.457134785177405</v>
      </c>
      <c r="W103" s="32">
        <v>1990.2643496950584</v>
      </c>
      <c r="X103" s="32">
        <f t="shared" si="10"/>
        <v>25.193219616393144</v>
      </c>
      <c r="Y103" s="32">
        <v>1630.3194659999999</v>
      </c>
      <c r="Z103" s="32">
        <f t="shared" si="11"/>
        <v>20.636955265822785</v>
      </c>
      <c r="AA103" s="32">
        <v>819.46979499999998</v>
      </c>
      <c r="AB103" s="32">
        <v>814.33016999999995</v>
      </c>
      <c r="AC103" s="32">
        <v>0.31458104480985366</v>
      </c>
      <c r="AD103" s="32">
        <v>-2052.1909220369353</v>
      </c>
      <c r="AE103" s="32">
        <v>0.96206029533227844</v>
      </c>
      <c r="AF103" s="32">
        <v>0.92650821411489293</v>
      </c>
      <c r="AG103" s="32">
        <v>7.5845635958613462</v>
      </c>
      <c r="AH103" s="32">
        <v>3639.7552216017002</v>
      </c>
      <c r="AI103" s="32">
        <f t="shared" si="12"/>
        <v>46.072850906350638</v>
      </c>
      <c r="AJ103" s="32">
        <v>2.3156338367681712</v>
      </c>
      <c r="AK103" s="32">
        <v>1571.818119</v>
      </c>
      <c r="AL103" s="32">
        <v>0</v>
      </c>
      <c r="AM103" s="32">
        <v>0.33200000000000002</v>
      </c>
      <c r="AN103" s="32">
        <v>0.33200000000000002</v>
      </c>
      <c r="AO103" s="32">
        <v>0.33200000000000002</v>
      </c>
      <c r="AP103" s="32">
        <v>0</v>
      </c>
      <c r="AQ103" s="32">
        <v>0.316</v>
      </c>
      <c r="AR103" s="32">
        <v>0.316</v>
      </c>
      <c r="AS103" s="32">
        <v>0.312</v>
      </c>
      <c r="AT103" s="32">
        <v>0.63694267515923619</v>
      </c>
      <c r="AU103" s="32">
        <v>0.498</v>
      </c>
      <c r="AV103" s="32"/>
      <c r="AW103" s="32">
        <v>3540.972984</v>
      </c>
      <c r="AX103" s="32">
        <f t="shared" si="13"/>
        <v>44.822442835443034</v>
      </c>
      <c r="AY103" s="32">
        <v>2287.7923890000002</v>
      </c>
      <c r="AZ103" s="32">
        <v>1620.382889</v>
      </c>
      <c r="BA103" s="32">
        <v>17.077266307808628</v>
      </c>
      <c r="BB103" s="32">
        <v>1447.8507507379518</v>
      </c>
      <c r="BC103" s="32">
        <f t="shared" si="14"/>
        <v>18.327224692885466</v>
      </c>
      <c r="BD103" s="32">
        <v>729.77234375602404</v>
      </c>
      <c r="BE103" s="32">
        <v>718.07840698192763</v>
      </c>
      <c r="BF103" s="32">
        <v>0.80767556795036766</v>
      </c>
      <c r="BG103" s="32">
        <v>5610.9361989999998</v>
      </c>
      <c r="BH103" s="32">
        <f t="shared" si="15"/>
        <v>71.024508848101263</v>
      </c>
      <c r="BI103" s="32">
        <v>2908.2602080000001</v>
      </c>
      <c r="BJ103" s="32">
        <v>2792.5198970000001</v>
      </c>
      <c r="BK103" s="32">
        <v>2.0302539103111052</v>
      </c>
      <c r="BL103" s="32">
        <v>37.095335000000006</v>
      </c>
      <c r="BM103" s="32">
        <v>125.839226</v>
      </c>
      <c r="BN103" s="32">
        <v>104.252872</v>
      </c>
      <c r="BO103" s="32">
        <v>9.3816146610997482</v>
      </c>
      <c r="BP103" s="32">
        <v>147.33540600000001</v>
      </c>
      <c r="BQ103" s="32">
        <v>51.360002999999999</v>
      </c>
      <c r="BR103" s="32">
        <v>96.336072999999999</v>
      </c>
      <c r="BS103" s="32">
        <v>-30.451770431599005</v>
      </c>
      <c r="BT103" s="32">
        <v>-11.873656825949368</v>
      </c>
      <c r="BU103" s="32">
        <v>-75.855944965189863</v>
      </c>
      <c r="BV103" s="32">
        <v>64.799799467948716</v>
      </c>
      <c r="BW103" s="32">
        <v>1272.1951286570584</v>
      </c>
      <c r="BX103" s="32">
        <v>14.283154250000003</v>
      </c>
      <c r="BY103" s="32">
        <v>-1.6948263449367085</v>
      </c>
      <c r="BZ103" s="32">
        <v>16.204154826923073</v>
      </c>
      <c r="CA103" s="32">
        <v>-123.36188538347407</v>
      </c>
      <c r="CB103" s="32">
        <v>0.89837127981107323</v>
      </c>
      <c r="CC103" s="32">
        <v>0.82220855195355202</v>
      </c>
      <c r="CD103" s="32">
        <v>0.80235967375587369</v>
      </c>
      <c r="CE103" s="32">
        <v>-1569.1191159125256</v>
      </c>
      <c r="CF103" s="32">
        <v>-483.07180612440823</v>
      </c>
      <c r="CG103" s="32">
        <v>52.921358248195752</v>
      </c>
      <c r="CH103" s="32">
        <v>1377.2968289825583</v>
      </c>
      <c r="CI103" s="32">
        <v>988.52907386110428</v>
      </c>
      <c r="CJ103" s="32">
        <v>7216.714551978961</v>
      </c>
      <c r="CK103" s="32">
        <v>17.434137075728586</v>
      </c>
      <c r="CL103" s="32">
        <v>12.513026251406384</v>
      </c>
      <c r="CM103" s="32">
        <v>91.35081711365774</v>
      </c>
      <c r="CN103" s="32">
        <v>72.409385657148519</v>
      </c>
    </row>
    <row r="104" spans="1:92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6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2"/>
      <c r="BR104" s="32"/>
      <c r="BS104" s="32"/>
      <c r="BT104" s="32"/>
      <c r="BU104" s="32"/>
      <c r="BV104" s="32"/>
      <c r="BW104" s="32"/>
      <c r="BX104" s="32"/>
      <c r="BY104" s="32"/>
      <c r="BZ104" s="32"/>
      <c r="CA104" s="32"/>
      <c r="CB104" s="32"/>
      <c r="CC104" s="32"/>
      <c r="CD104" s="32"/>
      <c r="CE104" s="32"/>
      <c r="CF104" s="32"/>
      <c r="CG104" s="32"/>
      <c r="CH104" s="32"/>
      <c r="CI104" s="32"/>
      <c r="CJ104" s="32"/>
      <c r="CK104" s="32"/>
      <c r="CL104" s="32"/>
      <c r="CM104" s="32"/>
      <c r="CN104" s="32"/>
    </row>
    <row r="105" spans="1:92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6"/>
      <c r="K105" s="32">
        <v>0.25266343392500001</v>
      </c>
      <c r="L105" s="32">
        <v>0.24293565106627663</v>
      </c>
      <c r="M105" s="32">
        <v>2.1832080693145919</v>
      </c>
      <c r="N105" s="32">
        <v>348605.5600069997</v>
      </c>
      <c r="O105" s="32">
        <v>177855.24050399984</v>
      </c>
      <c r="P105" s="32">
        <v>177852.89611999984</v>
      </c>
      <c r="Q105" s="32">
        <v>1150.5461933432343</v>
      </c>
      <c r="R105" s="32">
        <f t="shared" si="9"/>
        <v>16.919796960929915</v>
      </c>
      <c r="S105" s="32">
        <v>592.87580842333318</v>
      </c>
      <c r="T105" s="32">
        <v>563.60347113861383</v>
      </c>
      <c r="U105" s="32">
        <v>2.5311596845736117</v>
      </c>
      <c r="V105" s="32">
        <v>1.3523143554657069</v>
      </c>
      <c r="W105" s="32">
        <v>1555.9001338844785</v>
      </c>
      <c r="X105" s="32">
        <f t="shared" si="10"/>
        <v>22.880884321830564</v>
      </c>
      <c r="Y105" s="32">
        <v>1399.5961769999999</v>
      </c>
      <c r="Z105" s="32">
        <f t="shared" si="11"/>
        <v>20.582296720588232</v>
      </c>
      <c r="AA105" s="32">
        <v>704.23440300000004</v>
      </c>
      <c r="AB105" s="32">
        <v>709.86091099999999</v>
      </c>
      <c r="AC105" s="32">
        <v>-0.39788746517265838</v>
      </c>
      <c r="AD105" s="32">
        <v>-1112.842913820909</v>
      </c>
      <c r="AE105" s="32">
        <v>0.83387271922442252</v>
      </c>
      <c r="AF105" s="32">
        <v>0.80176782530124302</v>
      </c>
      <c r="AG105" s="32">
        <v>7.2053071594540992</v>
      </c>
      <c r="AH105" s="32">
        <v>2658.7728209059073</v>
      </c>
      <c r="AI105" s="32">
        <f t="shared" si="12"/>
        <v>39.099600307439815</v>
      </c>
      <c r="AJ105" s="32">
        <v>2.0969960160366714</v>
      </c>
      <c r="AK105" s="32">
        <v>1267.8959810000001</v>
      </c>
      <c r="AL105" s="32">
        <v>-8.0000000000000002E-3</v>
      </c>
      <c r="AM105" s="32">
        <v>0.23599999999999999</v>
      </c>
      <c r="AN105" s="32">
        <v>0.23599999999999999</v>
      </c>
      <c r="AO105" s="32">
        <v>0.22800000000000001</v>
      </c>
      <c r="AP105" s="32">
        <v>1.7241379310344787</v>
      </c>
      <c r="AQ105" s="32">
        <v>0.30299999999999999</v>
      </c>
      <c r="AR105" s="32">
        <v>0.3</v>
      </c>
      <c r="AS105" s="32">
        <v>0.30299999999999999</v>
      </c>
      <c r="AT105" s="32">
        <v>-0.49751243781094567</v>
      </c>
      <c r="AU105" s="32">
        <v>0.45400000000000001</v>
      </c>
      <c r="AV105" s="32"/>
      <c r="AW105" s="32">
        <v>2882.85077</v>
      </c>
      <c r="AX105" s="32">
        <f t="shared" si="13"/>
        <v>42.39486426470588</v>
      </c>
      <c r="AY105" s="32">
        <v>1712.7335210000001</v>
      </c>
      <c r="AZ105" s="32">
        <v>1171.559898</v>
      </c>
      <c r="BA105" s="32">
        <v>18.762779800247504</v>
      </c>
      <c r="BB105" s="32">
        <v>1478.1848744279664</v>
      </c>
      <c r="BC105" s="32">
        <f t="shared" si="14"/>
        <v>21.7380128592348</v>
      </c>
      <c r="BD105" s="32">
        <v>818.72841913135619</v>
      </c>
      <c r="BE105" s="32">
        <v>683.8847675964912</v>
      </c>
      <c r="BF105" s="32">
        <v>8.9739430430865657</v>
      </c>
      <c r="BG105" s="32">
        <v>2801.8793529999998</v>
      </c>
      <c r="BH105" s="32">
        <f t="shared" si="15"/>
        <v>41.204108132352935</v>
      </c>
      <c r="BI105" s="32">
        <v>1537.9507980000001</v>
      </c>
      <c r="BJ105" s="32">
        <v>1298.9500430000001</v>
      </c>
      <c r="BK105" s="32">
        <v>8.4247130370532393</v>
      </c>
      <c r="BL105" s="32">
        <v>35.418207000000002</v>
      </c>
      <c r="BM105" s="32">
        <v>93.703156000000007</v>
      </c>
      <c r="BN105" s="32">
        <v>58.321018000000002</v>
      </c>
      <c r="BO105" s="32">
        <v>23.27402088038972</v>
      </c>
      <c r="BP105" s="32">
        <v>79.438490000000002</v>
      </c>
      <c r="BQ105" s="32">
        <v>48.835284000000001</v>
      </c>
      <c r="BR105" s="32">
        <v>53.469948000000002</v>
      </c>
      <c r="BS105" s="32">
        <v>-4.5302316503226354</v>
      </c>
      <c r="BT105" s="32">
        <v>-15.837048792079207</v>
      </c>
      <c r="BU105" s="32">
        <v>-62.352992779999987</v>
      </c>
      <c r="BV105" s="32">
        <v>45.912038508250824</v>
      </c>
      <c r="BW105" s="32">
        <v>658.5081954414585</v>
      </c>
      <c r="BX105" s="32">
        <v>23.619635867986801</v>
      </c>
      <c r="BY105" s="32">
        <v>27.551540456666675</v>
      </c>
      <c r="BZ105" s="32">
        <v>-3.4975873960396044</v>
      </c>
      <c r="CA105" s="32">
        <v>129.08118584271008</v>
      </c>
      <c r="CB105" s="32">
        <v>0.92415960973639388</v>
      </c>
      <c r="CC105" s="32">
        <v>0.83166862142743514</v>
      </c>
      <c r="CD105" s="32">
        <v>0.86394363704471888</v>
      </c>
      <c r="CE105" s="32">
        <v>-393.10805595351701</v>
      </c>
      <c r="CF105" s="32">
        <v>-719.73485786739195</v>
      </c>
      <c r="CG105" s="32">
        <v>-29.350665566302858</v>
      </c>
      <c r="CH105" s="32">
        <v>8928.8080108431714</v>
      </c>
      <c r="CI105" s="32">
        <v>2610.9198118764434</v>
      </c>
      <c r="CJ105" s="32">
        <v>16372.794309734383</v>
      </c>
      <c r="CK105" s="32">
        <v>131.30600015945839</v>
      </c>
      <c r="CL105" s="32">
        <v>38.395879586418289</v>
      </c>
      <c r="CM105" s="32">
        <v>240.77638690785858</v>
      </c>
      <c r="CN105" s="32">
        <v>61.472922859617874</v>
      </c>
    </row>
    <row r="106" spans="1:92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6"/>
      <c r="K106" s="32">
        <v>0.35217641480000006</v>
      </c>
      <c r="L106" s="32">
        <v>0.36640500846906693</v>
      </c>
      <c r="M106" s="32">
        <v>2.6812061215361815</v>
      </c>
      <c r="N106" s="32">
        <v>372170.92925699975</v>
      </c>
      <c r="O106" s="32">
        <v>192247.25893699995</v>
      </c>
      <c r="P106" s="32">
        <v>192243.00298199995</v>
      </c>
      <c r="Q106" s="32">
        <v>1625.2145819082966</v>
      </c>
      <c r="R106" s="32">
        <f t="shared" si="9"/>
        <v>21.38440239353022</v>
      </c>
      <c r="S106" s="32">
        <v>839.51681592576415</v>
      </c>
      <c r="T106" s="32">
        <v>792.6477802070483</v>
      </c>
      <c r="U106" s="32">
        <v>2.871587573322294</v>
      </c>
      <c r="V106" s="32">
        <v>1.7882923500003098</v>
      </c>
      <c r="W106" s="32">
        <v>2906.3588039355586</v>
      </c>
      <c r="X106" s="32">
        <f t="shared" si="10"/>
        <v>38.241563209678404</v>
      </c>
      <c r="Y106" s="32">
        <v>2283.0315099999998</v>
      </c>
      <c r="Z106" s="32">
        <f t="shared" si="11"/>
        <v>30.03988828947368</v>
      </c>
      <c r="AA106" s="32">
        <v>1177.835648</v>
      </c>
      <c r="AB106" s="32">
        <v>1105.195862</v>
      </c>
      <c r="AC106" s="32">
        <v>3.1817250739565992</v>
      </c>
      <c r="AD106" s="32">
        <v>-4969.5643663158526</v>
      </c>
      <c r="AE106" s="32">
        <v>1.537888274235808</v>
      </c>
      <c r="AF106" s="32">
        <v>1.6000218710439604</v>
      </c>
      <c r="AG106" s="32">
        <v>11.708323674830487</v>
      </c>
      <c r="AH106" s="32">
        <v>3955.4613445999603</v>
      </c>
      <c r="AI106" s="32">
        <f t="shared" si="12"/>
        <v>52.045544007894215</v>
      </c>
      <c r="AJ106" s="32">
        <v>2.494990299789106</v>
      </c>
      <c r="AK106" s="32">
        <v>1585.361412</v>
      </c>
      <c r="AL106" s="32">
        <v>-1.4999999999999999E-2</v>
      </c>
      <c r="AM106" s="32">
        <v>0.19600000000000001</v>
      </c>
      <c r="AN106" s="32">
        <v>0.19600000000000001</v>
      </c>
      <c r="AO106" s="32">
        <v>0.18099999999999999</v>
      </c>
      <c r="AP106" s="32">
        <v>3.9787798408488095</v>
      </c>
      <c r="AQ106" s="32">
        <v>0.22900000000000001</v>
      </c>
      <c r="AR106" s="32">
        <v>0.22900000000000001</v>
      </c>
      <c r="AS106" s="32">
        <v>0.22700000000000001</v>
      </c>
      <c r="AT106" s="32">
        <v>0.4385964912280706</v>
      </c>
      <c r="AU106" s="32">
        <v>0.53600000000000003</v>
      </c>
      <c r="AV106" s="32"/>
      <c r="AW106" s="32">
        <v>2270.7324820000003</v>
      </c>
      <c r="AX106" s="32">
        <f t="shared" si="13"/>
        <v>29.878058973684215</v>
      </c>
      <c r="AY106" s="32">
        <v>1450.1987300000001</v>
      </c>
      <c r="AZ106" s="32">
        <v>995.87551900000005</v>
      </c>
      <c r="BA106" s="32">
        <v>18.573565834550429</v>
      </c>
      <c r="BB106" s="32">
        <v>1835.8937173061222</v>
      </c>
      <c r="BC106" s="32">
        <f t="shared" si="14"/>
        <v>24.156496280343713</v>
      </c>
      <c r="BD106" s="32">
        <v>1050.9943675714285</v>
      </c>
      <c r="BE106" s="32">
        <v>850.08066311049708</v>
      </c>
      <c r="BF106" s="32">
        <v>10.568425823196606</v>
      </c>
      <c r="BG106" s="32">
        <v>3298.8343789999999</v>
      </c>
      <c r="BH106" s="32">
        <f t="shared" si="15"/>
        <v>43.405715513157894</v>
      </c>
      <c r="BI106" s="32">
        <v>2117.4279630000001</v>
      </c>
      <c r="BJ106" s="32">
        <v>1373.0685980000001</v>
      </c>
      <c r="BK106" s="32">
        <v>21.325314378385947</v>
      </c>
      <c r="BL106" s="32">
        <v>65.588600000000014</v>
      </c>
      <c r="BM106" s="32">
        <v>169.066025</v>
      </c>
      <c r="BN106" s="32">
        <v>211.26490000000001</v>
      </c>
      <c r="BO106" s="32">
        <v>-11.095304700768157</v>
      </c>
      <c r="BP106" s="32">
        <v>146.93866500000001</v>
      </c>
      <c r="BQ106" s="32">
        <v>80.322143999999994</v>
      </c>
      <c r="BR106" s="32">
        <v>66.616521000000006</v>
      </c>
      <c r="BS106" s="32">
        <v>9.3274448900158369</v>
      </c>
      <c r="BT106" s="32">
        <v>18.198926087336243</v>
      </c>
      <c r="BU106" s="32">
        <v>-135.26581409606987</v>
      </c>
      <c r="BV106" s="32">
        <v>154.81311857709252</v>
      </c>
      <c r="BW106" s="32">
        <v>-1483.9843158670972</v>
      </c>
      <c r="BX106" s="32">
        <v>-21.628087550218346</v>
      </c>
      <c r="BY106" s="32">
        <v>-8.6701192707423598</v>
      </c>
      <c r="BZ106" s="32">
        <v>-13.053942801762112</v>
      </c>
      <c r="CA106" s="32">
        <v>-20.17957560786126</v>
      </c>
      <c r="CB106" s="32">
        <v>0.91483780421080241</v>
      </c>
      <c r="CC106" s="32">
        <v>0.82526344780021277</v>
      </c>
      <c r="CD106" s="32">
        <v>0.79908467558858742</v>
      </c>
      <c r="CE106" s="32">
        <v>-2281.9855710868346</v>
      </c>
      <c r="CF106" s="32">
        <v>-2687.5787952290152</v>
      </c>
      <c r="CG106" s="32">
        <v>-8.1615448406570117</v>
      </c>
      <c r="CH106" s="32">
        <v>3288.2053605126434</v>
      </c>
      <c r="CI106" s="32">
        <v>2064.9059282025783</v>
      </c>
      <c r="CJ106" s="32">
        <v>6625.2584506029043</v>
      </c>
      <c r="CK106" s="32">
        <v>43.265860006745307</v>
      </c>
      <c r="CL106" s="32">
        <v>27.169814844770766</v>
      </c>
      <c r="CM106" s="32">
        <v>87.174453297406629</v>
      </c>
      <c r="CN106" s="32">
        <v>9.0512710162570507</v>
      </c>
    </row>
    <row r="107" spans="1:92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6"/>
      <c r="K107" s="32">
        <v>0.38717144532500009</v>
      </c>
      <c r="L107" s="32">
        <v>0.41270301479089522</v>
      </c>
      <c r="M107" s="32">
        <v>2.8455637666721447</v>
      </c>
      <c r="N107" s="32">
        <v>439105.58487400011</v>
      </c>
      <c r="O107" s="32">
        <v>241160.77390600019</v>
      </c>
      <c r="P107" s="32">
        <v>241157.52783800018</v>
      </c>
      <c r="Q107" s="32">
        <v>1568.2550992714287</v>
      </c>
      <c r="R107" s="32">
        <f t="shared" si="9"/>
        <v>19.851330370524412</v>
      </c>
      <c r="S107" s="32">
        <v>880.16579052189775</v>
      </c>
      <c r="T107" s="32">
        <v>707.02091538214279</v>
      </c>
      <c r="U107" s="32">
        <v>10.908916669707986</v>
      </c>
      <c r="V107" s="32">
        <v>1.781574327806444</v>
      </c>
      <c r="W107" s="32">
        <v>2793.9630243135234</v>
      </c>
      <c r="X107" s="32">
        <f t="shared" si="10"/>
        <v>35.366620560930677</v>
      </c>
      <c r="Y107" s="32">
        <v>2046.393235</v>
      </c>
      <c r="Z107" s="32">
        <f t="shared" si="11"/>
        <v>25.903711835443037</v>
      </c>
      <c r="AA107" s="32">
        <v>1134.266228</v>
      </c>
      <c r="AB107" s="32">
        <v>915.84193400000004</v>
      </c>
      <c r="AC107" s="32">
        <v>10.654281469076942</v>
      </c>
      <c r="AD107" s="32">
        <v>-4300.7742705946703</v>
      </c>
      <c r="AE107" s="32">
        <v>1.3827551618750002</v>
      </c>
      <c r="AF107" s="32">
        <v>1.4739393385389115</v>
      </c>
      <c r="AG107" s="32">
        <v>10.162727738114802</v>
      </c>
      <c r="AH107" s="32">
        <v>4322.348399172507</v>
      </c>
      <c r="AI107" s="32">
        <f t="shared" si="12"/>
        <v>54.713270875601353</v>
      </c>
      <c r="AJ107" s="32">
        <v>2.6896971690173741</v>
      </c>
      <c r="AK107" s="32">
        <v>1607.0018770000001</v>
      </c>
      <c r="AL107" s="32">
        <v>0</v>
      </c>
      <c r="AM107" s="32">
        <v>0.245</v>
      </c>
      <c r="AN107" s="32">
        <v>0.245</v>
      </c>
      <c r="AO107" s="32">
        <v>0.245</v>
      </c>
      <c r="AP107" s="32">
        <v>0</v>
      </c>
      <c r="AQ107" s="32">
        <v>0.28000000000000003</v>
      </c>
      <c r="AR107" s="32">
        <v>0.27400000000000002</v>
      </c>
      <c r="AS107" s="32">
        <v>0.28000000000000003</v>
      </c>
      <c r="AT107" s="32">
        <v>-1.08303249097473</v>
      </c>
      <c r="AU107" s="32">
        <v>0.56200000000000006</v>
      </c>
      <c r="AV107" s="32"/>
      <c r="AW107" s="32">
        <v>2389.3943479999998</v>
      </c>
      <c r="AX107" s="32">
        <f t="shared" si="13"/>
        <v>30.245498075949364</v>
      </c>
      <c r="AY107" s="32">
        <v>1308.3636469999999</v>
      </c>
      <c r="AZ107" s="32">
        <v>1257.688934</v>
      </c>
      <c r="BA107" s="32">
        <v>1.9748119494983913</v>
      </c>
      <c r="BB107" s="32">
        <v>1683.0682832979592</v>
      </c>
      <c r="BC107" s="32">
        <f t="shared" si="14"/>
        <v>21.304661813898218</v>
      </c>
      <c r="BD107" s="32">
        <v>886.12156730204072</v>
      </c>
      <c r="BE107" s="32">
        <v>796.94671599591845</v>
      </c>
      <c r="BF107" s="32">
        <v>5.2983501733741205</v>
      </c>
      <c r="BG107" s="32">
        <v>3383.4304199999997</v>
      </c>
      <c r="BH107" s="32">
        <f t="shared" si="15"/>
        <v>42.828233164556956</v>
      </c>
      <c r="BI107" s="32">
        <v>1725.3751789999999</v>
      </c>
      <c r="BJ107" s="32">
        <v>1880.122406</v>
      </c>
      <c r="BK107" s="32">
        <v>-4.2919797712192915</v>
      </c>
      <c r="BL107" s="32">
        <v>71.936469000000002</v>
      </c>
      <c r="BM107" s="32">
        <v>159.88687100000001</v>
      </c>
      <c r="BN107" s="32">
        <v>127.299953</v>
      </c>
      <c r="BO107" s="32">
        <v>11.346940484985485</v>
      </c>
      <c r="BP107" s="32">
        <v>208.794285</v>
      </c>
      <c r="BQ107" s="32">
        <v>83.315735000000004</v>
      </c>
      <c r="BR107" s="32">
        <v>125.712986</v>
      </c>
      <c r="BS107" s="32">
        <v>-20.282978720421866</v>
      </c>
      <c r="BT107" s="32">
        <v>-39.995740260714278</v>
      </c>
      <c r="BU107" s="32">
        <v>-117.52291967518249</v>
      </c>
      <c r="BV107" s="32">
        <v>75.026607225000006</v>
      </c>
      <c r="BW107" s="32">
        <v>453.09702371447918</v>
      </c>
      <c r="BX107" s="32">
        <v>94.011530446428594</v>
      </c>
      <c r="BY107" s="32">
        <v>39.283605770072988</v>
      </c>
      <c r="BZ107" s="32">
        <v>55.717914678571425</v>
      </c>
      <c r="CA107" s="32">
        <v>-17.298995669635033</v>
      </c>
      <c r="CB107" s="32">
        <v>0.87936579429073125</v>
      </c>
      <c r="CC107" s="32">
        <v>0.82344238940508774</v>
      </c>
      <c r="CD107" s="32">
        <v>0.78353776431575872</v>
      </c>
      <c r="CE107" s="32">
        <v>-2084.6684766780609</v>
      </c>
      <c r="CF107" s="32">
        <v>-2216.1057939166089</v>
      </c>
      <c r="CG107" s="32">
        <v>-3.0561315002559803</v>
      </c>
      <c r="CH107" s="32">
        <v>1873.7937376089023</v>
      </c>
      <c r="CI107" s="32">
        <v>2208.686660648721</v>
      </c>
      <c r="CJ107" s="32">
        <v>6084.4387643491982</v>
      </c>
      <c r="CK107" s="32">
        <v>23.718908070998765</v>
      </c>
      <c r="CL107" s="32">
        <v>27.958058995553429</v>
      </c>
      <c r="CM107" s="32">
        <v>77.018212206951873</v>
      </c>
      <c r="CN107" s="32">
        <v>50.759267971617369</v>
      </c>
    </row>
    <row r="108" spans="1:92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6"/>
      <c r="K108" s="32">
        <v>0.36410252703125001</v>
      </c>
      <c r="L108" s="32">
        <v>0.25818364191922794</v>
      </c>
      <c r="M108" s="32">
        <v>2.2506805758381736</v>
      </c>
      <c r="N108" s="32">
        <v>293317.36361599987</v>
      </c>
      <c r="O108" s="32">
        <v>161493.74300800002</v>
      </c>
      <c r="P108" s="32">
        <v>161486.58362500003</v>
      </c>
      <c r="Q108" s="32">
        <v>1292.2230833039648</v>
      </c>
      <c r="R108" s="32">
        <f t="shared" si="9"/>
        <v>19.579137625817648</v>
      </c>
      <c r="S108" s="32">
        <v>717.79012398222233</v>
      </c>
      <c r="T108" s="32">
        <v>580.84631660352431</v>
      </c>
      <c r="U108" s="32">
        <v>10.545199803336018</v>
      </c>
      <c r="V108" s="32">
        <v>1.4404554273004859</v>
      </c>
      <c r="W108" s="32">
        <v>1861.389753628164</v>
      </c>
      <c r="X108" s="32">
        <f t="shared" si="10"/>
        <v>28.202875054972182</v>
      </c>
      <c r="Y108" s="32">
        <v>1715.74514</v>
      </c>
      <c r="Z108" s="32">
        <f t="shared" si="11"/>
        <v>25.996138484848483</v>
      </c>
      <c r="AA108" s="32">
        <v>1091.778793</v>
      </c>
      <c r="AB108" s="32">
        <v>660.61084700000004</v>
      </c>
      <c r="AC108" s="32">
        <v>24.604570590819058</v>
      </c>
      <c r="AD108" s="32">
        <v>-3811.9321333560274</v>
      </c>
      <c r="AE108" s="32">
        <v>1.6039758900055066</v>
      </c>
      <c r="AF108" s="32">
        <v>1.137372871890872</v>
      </c>
      <c r="AG108" s="32">
        <v>9.9148924045734521</v>
      </c>
      <c r="AH108" s="32">
        <v>2745.8437761914306</v>
      </c>
      <c r="AI108" s="32">
        <f t="shared" si="12"/>
        <v>41.603693578658039</v>
      </c>
      <c r="AJ108" s="32">
        <v>2.0930022724174195</v>
      </c>
      <c r="AK108" s="32">
        <v>1311.9162900000001</v>
      </c>
      <c r="AL108" s="32">
        <v>-1.4E-2</v>
      </c>
      <c r="AM108" s="32">
        <v>0.23</v>
      </c>
      <c r="AN108" s="32">
        <v>0.23</v>
      </c>
      <c r="AO108" s="32">
        <v>0.216</v>
      </c>
      <c r="AP108" s="32">
        <v>3.1390134529148011</v>
      </c>
      <c r="AQ108" s="32">
        <v>0.22700000000000001</v>
      </c>
      <c r="AR108" s="32">
        <v>0.22500000000000001</v>
      </c>
      <c r="AS108" s="32">
        <v>0.22700000000000001</v>
      </c>
      <c r="AT108" s="32">
        <v>-0.44247787610619504</v>
      </c>
      <c r="AU108" s="32">
        <v>0.54500000000000004</v>
      </c>
      <c r="AV108" s="32"/>
      <c r="AW108" s="32">
        <v>2049.1163230000002</v>
      </c>
      <c r="AX108" s="32">
        <f t="shared" si="13"/>
        <v>31.047217015151517</v>
      </c>
      <c r="AY108" s="32">
        <v>1875.559906</v>
      </c>
      <c r="AZ108" s="32">
        <v>830.29000900000005</v>
      </c>
      <c r="BA108" s="32">
        <v>38.630002765692936</v>
      </c>
      <c r="BB108" s="32">
        <v>1457.326245026087</v>
      </c>
      <c r="BC108" s="32">
        <f t="shared" si="14"/>
        <v>22.08070068221344</v>
      </c>
      <c r="BD108" s="32">
        <v>973.85582622608683</v>
      </c>
      <c r="BE108" s="32">
        <v>515.11921574074086</v>
      </c>
      <c r="BF108" s="32">
        <v>30.808885142855608</v>
      </c>
      <c r="BG108" s="32">
        <v>959.05069200000003</v>
      </c>
      <c r="BH108" s="32">
        <f t="shared" si="15"/>
        <v>14.531071090909091</v>
      </c>
      <c r="BI108" s="32">
        <v>468.60592500000001</v>
      </c>
      <c r="BJ108" s="32">
        <v>648.09543399999995</v>
      </c>
      <c r="BK108" s="32">
        <v>-16.073188015167442</v>
      </c>
      <c r="BL108" s="32">
        <v>38.808544000000012</v>
      </c>
      <c r="BM108" s="32">
        <v>171.37434400000001</v>
      </c>
      <c r="BN108" s="32">
        <v>146.28945200000001</v>
      </c>
      <c r="BO108" s="32">
        <v>7.8966795448103229</v>
      </c>
      <c r="BP108" s="32">
        <v>87.607759999999999</v>
      </c>
      <c r="BQ108" s="32">
        <v>78.284334000000001</v>
      </c>
      <c r="BR108" s="32">
        <v>41.062756999999998</v>
      </c>
      <c r="BS108" s="32">
        <v>31.18767008740917</v>
      </c>
      <c r="BT108" s="32">
        <v>2.2830518722466957</v>
      </c>
      <c r="BU108" s="32">
        <v>-120.53707294666667</v>
      </c>
      <c r="BV108" s="32">
        <v>121.75057702643173</v>
      </c>
      <c r="BW108" s="32">
        <v>-19965.952650114421</v>
      </c>
      <c r="BX108" s="32">
        <v>-35.480727189427313</v>
      </c>
      <c r="BY108" s="32">
        <v>-30.236358973333331</v>
      </c>
      <c r="BZ108" s="32">
        <v>-5.3149392466960377</v>
      </c>
      <c r="CA108" s="32">
        <v>70.099886570658981</v>
      </c>
      <c r="CB108" s="32">
        <v>0.93137609930348753</v>
      </c>
      <c r="CC108" s="32">
        <v>0.81388720428848071</v>
      </c>
      <c r="CD108" s="32">
        <v>0.77905616562615909</v>
      </c>
      <c r="CE108" s="32">
        <v>-3806.469554668412</v>
      </c>
      <c r="CF108" s="32">
        <v>-5.4625786876132825</v>
      </c>
      <c r="CG108" s="32">
        <v>99.713395805774539</v>
      </c>
      <c r="CH108" s="32">
        <v>3691.0343242340582</v>
      </c>
      <c r="CI108" s="32">
        <v>1074.3100087379796</v>
      </c>
      <c r="CJ108" s="32">
        <v>11988.65595340449</v>
      </c>
      <c r="CK108" s="32">
        <v>55.924762488394819</v>
      </c>
      <c r="CL108" s="32">
        <v>16.277424374817873</v>
      </c>
      <c r="CM108" s="32">
        <v>181.64630232431045</v>
      </c>
      <c r="CN108" s="32">
        <v>33.46299642941257</v>
      </c>
    </row>
    <row r="109" spans="1:92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6"/>
      <c r="K109" s="32">
        <v>0.39270239592499989</v>
      </c>
      <c r="L109" s="32">
        <v>0.38122933366954465</v>
      </c>
      <c r="M109" s="32">
        <v>2.7349075901383699</v>
      </c>
      <c r="N109" s="32">
        <v>365398.0633730003</v>
      </c>
      <c r="O109" s="32">
        <v>186046.63810900008</v>
      </c>
      <c r="P109" s="32">
        <v>186036.53923200007</v>
      </c>
      <c r="Q109" s="32">
        <v>1300.395700758007</v>
      </c>
      <c r="R109" s="32">
        <f t="shared" si="9"/>
        <v>19.408891056089658</v>
      </c>
      <c r="S109" s="32">
        <v>662.098461822064</v>
      </c>
      <c r="T109" s="32">
        <v>638.29723893594314</v>
      </c>
      <c r="U109" s="32">
        <v>1.8303061808222685</v>
      </c>
      <c r="V109" s="32">
        <v>1.7395182208503011</v>
      </c>
      <c r="W109" s="32">
        <v>2262.0620157839489</v>
      </c>
      <c r="X109" s="32">
        <f t="shared" si="10"/>
        <v>33.762119638566404</v>
      </c>
      <c r="Y109" s="32">
        <v>1800.233082</v>
      </c>
      <c r="Z109" s="32">
        <f t="shared" si="11"/>
        <v>26.869150477611939</v>
      </c>
      <c r="AA109" s="32">
        <v>940.83663899999999</v>
      </c>
      <c r="AB109" s="32">
        <v>860.17188299999998</v>
      </c>
      <c r="AC109" s="32">
        <v>4.4788658695752694</v>
      </c>
      <c r="AD109" s="32">
        <v>-5002.0291111824627</v>
      </c>
      <c r="AE109" s="32">
        <v>1.39751742322064</v>
      </c>
      <c r="AF109" s="32">
        <v>1.3566880201763154</v>
      </c>
      <c r="AG109" s="32">
        <v>9.7327672246917079</v>
      </c>
      <c r="AH109" s="32">
        <v>3436.1014224631563</v>
      </c>
      <c r="AI109" s="32">
        <f t="shared" si="12"/>
        <v>51.285095857659051</v>
      </c>
      <c r="AJ109" s="32">
        <v>2.594608831157375</v>
      </c>
      <c r="AK109" s="32">
        <v>1324.3234900000002</v>
      </c>
      <c r="AL109" s="32">
        <v>5.0000000000000001E-3</v>
      </c>
      <c r="AM109" s="32">
        <v>0.20599999999999999</v>
      </c>
      <c r="AN109" s="32">
        <v>0.20100000000000001</v>
      </c>
      <c r="AO109" s="32">
        <v>0.20599999999999999</v>
      </c>
      <c r="AP109" s="32">
        <v>-1.2285012285012227</v>
      </c>
      <c r="AQ109" s="32">
        <v>0.28100000000000003</v>
      </c>
      <c r="AR109" s="32">
        <v>0.28100000000000003</v>
      </c>
      <c r="AS109" s="32">
        <v>0.28100000000000003</v>
      </c>
      <c r="AT109" s="32">
        <v>0</v>
      </c>
      <c r="AU109" s="32">
        <v>0.56599999999999995</v>
      </c>
      <c r="AV109" s="32"/>
      <c r="AW109" s="32">
        <v>1889.0491179999999</v>
      </c>
      <c r="AX109" s="32">
        <f t="shared" si="13"/>
        <v>28.194762955223879</v>
      </c>
      <c r="AY109" s="32">
        <v>1285.370682</v>
      </c>
      <c r="AZ109" s="32">
        <v>1499.0881420000001</v>
      </c>
      <c r="BA109" s="32">
        <v>-7.6753679443169256</v>
      </c>
      <c r="BB109" s="32">
        <v>1578.543019606796</v>
      </c>
      <c r="BC109" s="32">
        <f t="shared" si="14"/>
        <v>23.560343576220834</v>
      </c>
      <c r="BD109" s="32">
        <v>839.20638202985072</v>
      </c>
      <c r="BE109" s="32">
        <v>759.72323298058245</v>
      </c>
      <c r="BF109" s="32">
        <v>4.9710223829176883</v>
      </c>
      <c r="BG109" s="32">
        <v>2956.4102709999997</v>
      </c>
      <c r="BH109" s="32">
        <f t="shared" si="15"/>
        <v>44.125526432835819</v>
      </c>
      <c r="BI109" s="32">
        <v>1412.598495</v>
      </c>
      <c r="BJ109" s="32">
        <v>1636.036167</v>
      </c>
      <c r="BK109" s="32">
        <v>-7.32910619908185</v>
      </c>
      <c r="BL109" s="32">
        <v>56.355345</v>
      </c>
      <c r="BM109" s="32">
        <v>151.374954</v>
      </c>
      <c r="BN109" s="32">
        <v>146.28945200000001</v>
      </c>
      <c r="BO109" s="32">
        <v>1.708468294324714</v>
      </c>
      <c r="BP109" s="32">
        <v>83.478040000000007</v>
      </c>
      <c r="BQ109" s="32">
        <v>74.857928999999999</v>
      </c>
      <c r="BR109" s="32">
        <v>59.493209999999998</v>
      </c>
      <c r="BS109" s="32">
        <v>11.436240224208298</v>
      </c>
      <c r="BT109" s="32">
        <v>12.678724800711745</v>
      </c>
      <c r="BU109" s="32">
        <v>112.77210113523131</v>
      </c>
      <c r="BV109" s="32">
        <v>-100.09337633451959</v>
      </c>
      <c r="BW109" s="32">
        <v>1678.9186674183643</v>
      </c>
      <c r="BX109" s="32">
        <v>-11.828701459074736</v>
      </c>
      <c r="BY109" s="32">
        <v>14.931269601423487</v>
      </c>
      <c r="BZ109" s="32">
        <v>-26.759971060498223</v>
      </c>
      <c r="CA109" s="32">
        <v>-352.45830496412646</v>
      </c>
      <c r="CB109" s="32">
        <v>0.92792340500775228</v>
      </c>
      <c r="CC109" s="32">
        <v>0.80615303652835857</v>
      </c>
      <c r="CD109" s="32">
        <v>0.80694987139437535</v>
      </c>
      <c r="CE109" s="32">
        <v>-2428.2942915925987</v>
      </c>
      <c r="CF109" s="32">
        <v>-2573.7348195898644</v>
      </c>
      <c r="CG109" s="32">
        <v>-2.9076305788009309</v>
      </c>
      <c r="CH109" s="32">
        <v>4605.8855064841709</v>
      </c>
      <c r="CI109" s="32">
        <v>6218.7479660696781</v>
      </c>
      <c r="CJ109" s="32">
        <v>7951.5036807094802</v>
      </c>
      <c r="CK109" s="32">
        <v>68.744559798271212</v>
      </c>
      <c r="CL109" s="32">
        <v>92.817133821935499</v>
      </c>
      <c r="CM109" s="32">
        <v>118.67915941357433</v>
      </c>
      <c r="CN109" s="32">
        <v>41.983370175131675</v>
      </c>
    </row>
    <row r="110" spans="1:92" x14ac:dyDescent="0.25">
      <c r="J110" s="66"/>
      <c r="AU110" s="14"/>
      <c r="BH110" s="57"/>
    </row>
    <row r="111" spans="1:92" x14ac:dyDescent="0.25">
      <c r="J111" s="66"/>
      <c r="AU111" s="14"/>
    </row>
    <row r="112" spans="1:92" x14ac:dyDescent="0.25">
      <c r="J112" s="66"/>
      <c r="AU112" s="14"/>
    </row>
    <row r="113" spans="10:47" x14ac:dyDescent="0.25">
      <c r="J113" s="66"/>
      <c r="AU113" s="14"/>
    </row>
    <row r="114" spans="10:47" x14ac:dyDescent="0.25">
      <c r="J114" s="66"/>
      <c r="AU114" s="14"/>
    </row>
    <row r="115" spans="10:47" x14ac:dyDescent="0.25">
      <c r="J115" s="66"/>
      <c r="AU115" s="14"/>
    </row>
    <row r="116" spans="10:47" x14ac:dyDescent="0.25">
      <c r="J116" s="66"/>
      <c r="AU116" s="14"/>
    </row>
    <row r="117" spans="10:47" x14ac:dyDescent="0.25">
      <c r="J117" s="66"/>
      <c r="AU117" s="14"/>
    </row>
    <row r="118" spans="10:47" x14ac:dyDescent="0.25">
      <c r="J118" s="66"/>
      <c r="AU118" s="14"/>
    </row>
    <row r="119" spans="10:47" x14ac:dyDescent="0.25">
      <c r="J119" s="66"/>
      <c r="AU119" s="14"/>
    </row>
    <row r="120" spans="10:47" x14ac:dyDescent="0.25">
      <c r="J120" s="66"/>
      <c r="AU120" s="14"/>
    </row>
    <row r="121" spans="10:47" x14ac:dyDescent="0.25">
      <c r="J121" s="66"/>
      <c r="AU121" s="14"/>
    </row>
    <row r="122" spans="10:47" x14ac:dyDescent="0.25">
      <c r="J122" s="66"/>
      <c r="AU122" s="14"/>
    </row>
    <row r="123" spans="10:47" x14ac:dyDescent="0.25">
      <c r="J123" s="66"/>
      <c r="AU123" s="14"/>
    </row>
    <row r="124" spans="10:47" x14ac:dyDescent="0.25">
      <c r="J124" s="66"/>
      <c r="AU124" s="14"/>
    </row>
    <row r="125" spans="10:47" x14ac:dyDescent="0.25">
      <c r="J125" s="66"/>
      <c r="AU125" s="14"/>
    </row>
    <row r="126" spans="10:47" x14ac:dyDescent="0.25">
      <c r="J126" s="66"/>
      <c r="AU126" s="14"/>
    </row>
    <row r="127" spans="10:47" x14ac:dyDescent="0.25">
      <c r="J127" s="66"/>
      <c r="AU127" s="14"/>
    </row>
    <row r="128" spans="10:47" x14ac:dyDescent="0.25">
      <c r="J128" s="66"/>
      <c r="AU128" s="14"/>
    </row>
    <row r="129" spans="10:47" x14ac:dyDescent="0.25">
      <c r="J129" s="66"/>
      <c r="AU129" s="14"/>
    </row>
    <row r="130" spans="10:47" x14ac:dyDescent="0.25">
      <c r="J130" s="66"/>
      <c r="AU130" s="14"/>
    </row>
    <row r="131" spans="10:47" x14ac:dyDescent="0.25">
      <c r="J131" s="66"/>
      <c r="AU131" s="14"/>
    </row>
    <row r="132" spans="10:47" x14ac:dyDescent="0.25">
      <c r="J132" s="66"/>
      <c r="AU132" s="14"/>
    </row>
    <row r="133" spans="10:47" x14ac:dyDescent="0.25">
      <c r="J133" s="66"/>
      <c r="AU133" s="14"/>
    </row>
    <row r="134" spans="10:47" x14ac:dyDescent="0.25">
      <c r="J134" s="66"/>
      <c r="AU134" s="14"/>
    </row>
    <row r="135" spans="10:47" x14ac:dyDescent="0.25">
      <c r="J135" s="66"/>
      <c r="AU135" s="14"/>
    </row>
    <row r="136" spans="10:47" x14ac:dyDescent="0.25">
      <c r="J136" s="66"/>
      <c r="AU136" s="14"/>
    </row>
    <row r="137" spans="10:47" x14ac:dyDescent="0.25">
      <c r="J137" s="66"/>
      <c r="AU137" s="14"/>
    </row>
    <row r="138" spans="10:47" x14ac:dyDescent="0.25">
      <c r="J138" s="66"/>
      <c r="AU138" s="14"/>
    </row>
    <row r="139" spans="10:47" x14ac:dyDescent="0.25">
      <c r="J139" s="66"/>
      <c r="AU139" s="14"/>
    </row>
    <row r="140" spans="10:47" x14ac:dyDescent="0.25">
      <c r="J140" s="66"/>
      <c r="AU140" s="14"/>
    </row>
    <row r="141" spans="10:47" x14ac:dyDescent="0.25">
      <c r="J141" s="66"/>
      <c r="AU141" s="14"/>
    </row>
    <row r="142" spans="10:47" x14ac:dyDescent="0.25">
      <c r="J142" s="66"/>
      <c r="AU142" s="14"/>
    </row>
    <row r="143" spans="10:47" x14ac:dyDescent="0.25">
      <c r="J143" s="66"/>
      <c r="AU143" s="14"/>
    </row>
    <row r="144" spans="10:47" x14ac:dyDescent="0.25">
      <c r="J144" s="66"/>
      <c r="AU144" s="14"/>
    </row>
    <row r="145" spans="10:47" x14ac:dyDescent="0.25">
      <c r="J145" s="66"/>
      <c r="AU145" s="14"/>
    </row>
    <row r="146" spans="10:47" x14ac:dyDescent="0.25">
      <c r="J146" s="66"/>
      <c r="AU146" s="14"/>
    </row>
    <row r="147" spans="10:47" x14ac:dyDescent="0.25">
      <c r="J147" s="66"/>
      <c r="AU147" s="14"/>
    </row>
    <row r="148" spans="10:47" x14ac:dyDescent="0.25">
      <c r="J148" s="66"/>
      <c r="AU148" s="14"/>
    </row>
    <row r="149" spans="10:47" x14ac:dyDescent="0.25">
      <c r="J149" s="66"/>
      <c r="AU149" s="14"/>
    </row>
    <row r="150" spans="10:47" x14ac:dyDescent="0.25">
      <c r="J150" s="66"/>
      <c r="AU150" s="14"/>
    </row>
  </sheetData>
  <mergeCells count="2">
    <mergeCell ref="J1:J75"/>
    <mergeCell ref="J76:J15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3D17-8BB0-4810-B738-C4C42452B05B}">
  <sheetPr codeName="Feuil8"/>
  <dimension ref="A1:Y154"/>
  <sheetViews>
    <sheetView zoomScale="70" zoomScaleNormal="70" workbookViewId="0">
      <pane ySplit="1" topLeftCell="A66" activePane="bottomLeft" state="frozen"/>
      <selection pane="bottomLeft" activeCell="J59" sqref="J59:J154"/>
    </sheetView>
  </sheetViews>
  <sheetFormatPr baseColWidth="10" defaultColWidth="11.42578125" defaultRowHeight="15" x14ac:dyDescent="0.25"/>
  <cols>
    <col min="1" max="1" width="15.85546875" style="8" bestFit="1" customWidth="1"/>
    <col min="2" max="3" width="21" style="8" bestFit="1" customWidth="1"/>
    <col min="4" max="5" width="9.28515625" style="8" bestFit="1" customWidth="1"/>
    <col min="6" max="6" width="8.140625" style="8" bestFit="1" customWidth="1"/>
    <col min="7" max="7" width="16.42578125" style="8" bestFit="1" customWidth="1"/>
    <col min="8" max="8" width="8.140625" style="8" bestFit="1" customWidth="1"/>
    <col min="9" max="9" width="10" style="8" bestFit="1" customWidth="1"/>
    <col min="10" max="10" width="10.140625" style="8" bestFit="1" customWidth="1"/>
    <col min="11" max="11" width="9.28515625" style="8" bestFit="1" customWidth="1"/>
    <col min="12" max="12" width="13" style="8" bestFit="1" customWidth="1"/>
    <col min="13" max="14" width="9.28515625" style="8" bestFit="1" customWidth="1"/>
    <col min="15" max="15" width="11.28515625" style="8" bestFit="1" customWidth="1"/>
    <col min="16" max="16" width="15" style="8" bestFit="1" customWidth="1"/>
    <col min="17" max="17" width="14.7109375" style="8" bestFit="1" customWidth="1"/>
    <col min="18" max="18" width="10.7109375" style="8" bestFit="1" customWidth="1"/>
    <col min="19" max="19" width="17" style="8" bestFit="1" customWidth="1"/>
    <col min="20" max="20" width="19" style="8" bestFit="1" customWidth="1"/>
    <col min="21" max="21" width="15.140625" style="8" bestFit="1" customWidth="1"/>
    <col min="22" max="22" width="15" style="8" bestFit="1" customWidth="1"/>
    <col min="23" max="23" width="17.42578125" style="8" bestFit="1" customWidth="1"/>
    <col min="24" max="24" width="19.42578125" style="8" bestFit="1" customWidth="1"/>
    <col min="25" max="25" width="10.7109375" style="8" bestFit="1" customWidth="1"/>
    <col min="26" max="26" width="29.42578125" style="8" customWidth="1"/>
    <col min="27" max="16384" width="11.42578125" style="8"/>
  </cols>
  <sheetData>
    <row r="1" spans="1:25" ht="18.75" customHeight="1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6" t="s">
        <v>143</v>
      </c>
      <c r="K1" s="13" t="s">
        <v>29</v>
      </c>
      <c r="L1" s="13" t="s">
        <v>28</v>
      </c>
      <c r="M1" s="13" t="s">
        <v>144</v>
      </c>
      <c r="N1" s="13" t="s">
        <v>145</v>
      </c>
      <c r="O1" s="13" t="s">
        <v>146</v>
      </c>
      <c r="P1" s="13" t="s">
        <v>147</v>
      </c>
      <c r="Q1" s="13" t="s">
        <v>148</v>
      </c>
      <c r="R1" s="13" t="s">
        <v>149</v>
      </c>
      <c r="S1" s="13" t="s">
        <v>150</v>
      </c>
      <c r="T1" s="13" t="s">
        <v>151</v>
      </c>
      <c r="U1" s="13" t="s">
        <v>152</v>
      </c>
      <c r="V1" s="13" t="s">
        <v>153</v>
      </c>
      <c r="W1" s="13" t="s">
        <v>154</v>
      </c>
      <c r="X1" s="13" t="s">
        <v>155</v>
      </c>
      <c r="Y1" s="13" t="s">
        <v>19</v>
      </c>
    </row>
    <row r="2" spans="1:25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66"/>
      <c r="K2" s="8">
        <v>13</v>
      </c>
      <c r="L2" s="8">
        <v>13</v>
      </c>
      <c r="M2" s="8">
        <v>10</v>
      </c>
      <c r="N2" s="8">
        <v>12</v>
      </c>
      <c r="O2" s="8">
        <v>46.895000000000003</v>
      </c>
      <c r="P2" s="8">
        <v>179</v>
      </c>
      <c r="Q2" s="8">
        <v>0.76923076923076927</v>
      </c>
      <c r="R2" s="8">
        <v>181.5</v>
      </c>
      <c r="S2" s="8">
        <v>90.5</v>
      </c>
      <c r="T2" s="8">
        <v>77.216498738316091</v>
      </c>
      <c r="U2" s="8">
        <v>0.92307692307692313</v>
      </c>
      <c r="V2" s="8">
        <v>192</v>
      </c>
      <c r="W2" s="8">
        <v>91.5</v>
      </c>
      <c r="X2" s="8">
        <v>90.590348118136276</v>
      </c>
      <c r="Y2" s="8">
        <v>7.59</v>
      </c>
    </row>
    <row r="3" spans="1:25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6"/>
      <c r="K3" s="8">
        <v>13.5</v>
      </c>
      <c r="L3" s="8">
        <v>13</v>
      </c>
      <c r="M3" s="8">
        <v>11.5</v>
      </c>
      <c r="N3" s="8">
        <v>12</v>
      </c>
      <c r="O3" s="8">
        <v>47.35</v>
      </c>
      <c r="P3" s="8">
        <v>185.5</v>
      </c>
      <c r="Q3" s="8">
        <v>0.88461538461538458</v>
      </c>
      <c r="R3" s="8">
        <v>181.72000000000003</v>
      </c>
      <c r="S3" s="8">
        <v>97.962264150943412</v>
      </c>
      <c r="T3" s="8">
        <v>79.804575853572686</v>
      </c>
      <c r="U3" s="8">
        <v>0.92307692307692313</v>
      </c>
      <c r="V3" s="8">
        <v>183.05666666666667</v>
      </c>
      <c r="W3" s="8">
        <v>98.682839173405213</v>
      </c>
      <c r="X3" s="8">
        <v>83.972263287574791</v>
      </c>
      <c r="Y3" s="8">
        <v>7.67</v>
      </c>
    </row>
    <row r="4" spans="1:25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6"/>
      <c r="K4" s="8">
        <v>16</v>
      </c>
      <c r="L4" s="8">
        <v>15</v>
      </c>
      <c r="M4" s="8">
        <v>11.5</v>
      </c>
      <c r="N4" s="8">
        <v>14</v>
      </c>
      <c r="O4" s="8">
        <v>51.8</v>
      </c>
      <c r="P4" s="8">
        <v>194</v>
      </c>
      <c r="Q4" s="8">
        <v>0.76666666666666672</v>
      </c>
      <c r="R4" s="8">
        <v>167.69523809523812</v>
      </c>
      <c r="S4" s="8">
        <v>86.440844378988729</v>
      </c>
      <c r="T4" s="8">
        <v>77.76282404853832</v>
      </c>
      <c r="U4" s="8">
        <v>0.93333333333333335</v>
      </c>
      <c r="V4" s="8">
        <v>159.9349593495935</v>
      </c>
      <c r="W4" s="8">
        <v>82.440700695666749</v>
      </c>
      <c r="X4" s="8">
        <v>90.820777223216268</v>
      </c>
      <c r="Y4" s="8">
        <v>14.64</v>
      </c>
    </row>
    <row r="5" spans="1:25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6"/>
      <c r="K5" s="8">
        <v>13</v>
      </c>
      <c r="L5" s="8">
        <v>13</v>
      </c>
      <c r="M5" s="8">
        <v>10</v>
      </c>
      <c r="N5" s="8">
        <v>12</v>
      </c>
      <c r="O5" s="8">
        <v>46.895000000000003</v>
      </c>
      <c r="P5" s="8">
        <v>179</v>
      </c>
      <c r="Q5" s="8">
        <v>0.76923076923076927</v>
      </c>
      <c r="R5" s="8">
        <v>173.3</v>
      </c>
      <c r="S5" s="8">
        <v>84.6</v>
      </c>
      <c r="T5" s="8">
        <v>77.216498738316091</v>
      </c>
      <c r="U5" s="8">
        <v>0.92307692307692313</v>
      </c>
      <c r="V5" s="8">
        <v>145.5</v>
      </c>
      <c r="W5" s="8">
        <v>95.6</v>
      </c>
      <c r="X5" s="8">
        <v>90.590348118136276</v>
      </c>
      <c r="Y5" s="8">
        <v>7.59</v>
      </c>
    </row>
    <row r="6" spans="1:25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6"/>
      <c r="K6" s="8">
        <v>12</v>
      </c>
      <c r="L6" s="8">
        <v>11.5</v>
      </c>
      <c r="M6" s="8">
        <v>9</v>
      </c>
      <c r="N6" s="8">
        <v>10.5</v>
      </c>
      <c r="O6" s="8">
        <v>40.308333333333337</v>
      </c>
      <c r="P6" s="8">
        <v>193.5</v>
      </c>
      <c r="Q6" s="8">
        <v>0.78260869565217395</v>
      </c>
      <c r="R6" s="8">
        <v>179.52325581395345</v>
      </c>
      <c r="S6" s="8">
        <v>92.776876389640023</v>
      </c>
      <c r="T6" s="8">
        <v>72.808919616714178</v>
      </c>
      <c r="U6" s="8">
        <v>0.91304347826086951</v>
      </c>
      <c r="V6" s="8">
        <v>185.61111111111111</v>
      </c>
      <c r="W6" s="8">
        <v>95.923054837783525</v>
      </c>
      <c r="X6" s="8">
        <v>87.412824753635149</v>
      </c>
      <c r="Y6" s="8">
        <v>11.36</v>
      </c>
    </row>
    <row r="7" spans="1:25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6"/>
      <c r="K7" s="8">
        <v>13.5</v>
      </c>
      <c r="L7" s="8">
        <v>12.5</v>
      </c>
      <c r="M7" s="8">
        <v>10</v>
      </c>
      <c r="N7" s="8">
        <v>11.5</v>
      </c>
      <c r="O7" s="8">
        <v>45.7</v>
      </c>
      <c r="P7" s="8">
        <v>182.66666666666666</v>
      </c>
      <c r="Q7" s="8">
        <v>0.63636363636363635</v>
      </c>
      <c r="R7" s="8">
        <v>149.58620689655172</v>
      </c>
      <c r="S7" s="8">
        <v>81.890259249937074</v>
      </c>
      <c r="T7" s="8">
        <v>67.264392967629959</v>
      </c>
      <c r="U7" s="8">
        <v>0.90909090909090906</v>
      </c>
      <c r="V7" s="8">
        <v>172.35897435897436</v>
      </c>
      <c r="W7" s="8">
        <v>94.357102751263355</v>
      </c>
      <c r="X7" s="8">
        <v>86.286820400605919</v>
      </c>
      <c r="Y7" s="8">
        <v>12.62</v>
      </c>
    </row>
    <row r="8" spans="1:25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6"/>
      <c r="K8" s="8">
        <v>14.5</v>
      </c>
      <c r="L8" s="8">
        <v>14</v>
      </c>
      <c r="M8" s="8">
        <v>11</v>
      </c>
      <c r="N8" s="8">
        <v>13</v>
      </c>
      <c r="O8" s="8">
        <v>49.499999999999993</v>
      </c>
      <c r="P8" s="8">
        <v>192</v>
      </c>
      <c r="Q8" s="8">
        <v>0.7857142857142857</v>
      </c>
      <c r="R8" s="8">
        <v>173.32926829268294</v>
      </c>
      <c r="S8" s="8">
        <v>90.275660569105696</v>
      </c>
      <c r="T8" s="8">
        <v>78.602282992526924</v>
      </c>
      <c r="U8" s="8">
        <v>0.9285714285714286</v>
      </c>
      <c r="V8" s="8">
        <v>183.28666666666669</v>
      </c>
      <c r="W8" s="8">
        <v>95.461805555555557</v>
      </c>
      <c r="X8" s="8">
        <v>87.880000000000024</v>
      </c>
      <c r="Y8" s="8">
        <v>9.89</v>
      </c>
    </row>
    <row r="9" spans="1:25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6"/>
      <c r="K9" s="8">
        <v>13</v>
      </c>
      <c r="L9" s="8">
        <v>12.5</v>
      </c>
      <c r="M9" s="8">
        <v>10</v>
      </c>
      <c r="N9" s="8">
        <v>12</v>
      </c>
      <c r="O9" s="8">
        <v>45.7</v>
      </c>
      <c r="P9" s="8">
        <v>183</v>
      </c>
      <c r="Q9" s="8">
        <v>0.8</v>
      </c>
      <c r="R9" s="8">
        <v>159.1081081081081</v>
      </c>
      <c r="S9" s="8">
        <v>86.944321370550867</v>
      </c>
      <c r="T9" s="8">
        <v>81.690519841504496</v>
      </c>
      <c r="U9" s="8">
        <v>0.96</v>
      </c>
      <c r="V9" s="8">
        <v>177.62847222222226</v>
      </c>
      <c r="W9" s="8">
        <v>97.064738919247134</v>
      </c>
      <c r="X9" s="8">
        <v>94.751473984925838</v>
      </c>
      <c r="Y9" s="8">
        <v>9.5500000000000007</v>
      </c>
    </row>
    <row r="10" spans="1:25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6"/>
      <c r="K10" s="8">
        <v>16.5</v>
      </c>
      <c r="L10" s="8">
        <v>15.5</v>
      </c>
      <c r="M10" s="8">
        <v>10.5</v>
      </c>
      <c r="N10" s="8">
        <v>13.5</v>
      </c>
      <c r="O10" s="8">
        <v>55.641666666666659</v>
      </c>
      <c r="P10" s="8">
        <v>204</v>
      </c>
      <c r="Q10" s="8">
        <v>0.67741935483870963</v>
      </c>
      <c r="R10" s="8">
        <v>172.05701754385964</v>
      </c>
      <c r="S10" s="8">
        <v>84.341675266597875</v>
      </c>
      <c r="T10" s="8">
        <v>69.222389506790819</v>
      </c>
      <c r="U10" s="8">
        <v>0.87096774193548387</v>
      </c>
      <c r="V10" s="8">
        <v>190.32575757575754</v>
      </c>
      <c r="W10" s="8">
        <v>93.296939988116435</v>
      </c>
      <c r="X10" s="8">
        <v>84.932808691981975</v>
      </c>
      <c r="Y10" s="8">
        <v>10.19</v>
      </c>
    </row>
    <row r="11" spans="1:25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6"/>
      <c r="K11" s="8">
        <v>15</v>
      </c>
      <c r="L11" s="8">
        <v>14</v>
      </c>
      <c r="M11" s="8">
        <v>10.5</v>
      </c>
      <c r="N11" s="8">
        <v>12.5</v>
      </c>
      <c r="O11" s="8">
        <v>47.47</v>
      </c>
      <c r="P11" s="8">
        <v>193.5</v>
      </c>
      <c r="Q11" s="8">
        <v>0.75</v>
      </c>
      <c r="R11" s="8">
        <v>172.73263888888891</v>
      </c>
      <c r="S11" s="8">
        <v>89.267513637668685</v>
      </c>
      <c r="T11" s="8">
        <v>74.728337195421673</v>
      </c>
      <c r="U11" s="8">
        <v>0.8928571428571429</v>
      </c>
      <c r="V11" s="8">
        <v>184.19209039548028</v>
      </c>
      <c r="W11" s="8">
        <v>95.189710798697817</v>
      </c>
      <c r="X11" s="8">
        <v>84.646621892625603</v>
      </c>
      <c r="Y11" s="8">
        <v>11.12</v>
      </c>
    </row>
    <row r="12" spans="1:25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6"/>
      <c r="K12" s="8">
        <v>12</v>
      </c>
      <c r="L12" s="8">
        <v>11.5</v>
      </c>
      <c r="M12" s="8">
        <v>10.5</v>
      </c>
      <c r="N12" s="8">
        <v>11</v>
      </c>
      <c r="O12" s="8">
        <v>44.474999999999994</v>
      </c>
      <c r="P12" s="8">
        <v>189.33333333333334</v>
      </c>
      <c r="Q12" s="8">
        <v>0.91304347826086951</v>
      </c>
      <c r="R12" s="8">
        <v>178.18518518518525</v>
      </c>
      <c r="S12" s="8">
        <v>94.111893583724608</v>
      </c>
      <c r="T12" s="8">
        <v>83.789582162263457</v>
      </c>
      <c r="U12" s="8">
        <v>0.95652173913043481</v>
      </c>
      <c r="V12" s="8">
        <v>182.64999999999998</v>
      </c>
      <c r="W12" s="8">
        <v>96.470070422535187</v>
      </c>
      <c r="X12" s="8">
        <v>89.093872962338395</v>
      </c>
      <c r="Y12" s="8">
        <v>6.52</v>
      </c>
    </row>
    <row r="13" spans="1:25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6"/>
      <c r="K13" s="8">
        <v>13.5</v>
      </c>
      <c r="L13" s="8">
        <v>13</v>
      </c>
      <c r="M13" s="8">
        <v>10</v>
      </c>
      <c r="N13" s="8">
        <v>11.5</v>
      </c>
      <c r="O13" s="8">
        <v>48.7</v>
      </c>
      <c r="P13" s="8">
        <v>192</v>
      </c>
      <c r="Q13" s="8">
        <v>0.76923076923076927</v>
      </c>
      <c r="R13" s="8">
        <v>177.8947368421052</v>
      </c>
      <c r="S13" s="8">
        <v>92.653508771929793</v>
      </c>
      <c r="T13" s="8">
        <v>76.634965236499866</v>
      </c>
      <c r="U13" s="8">
        <v>0.88461538461538458</v>
      </c>
      <c r="V13" s="8">
        <v>185.51388888888891</v>
      </c>
      <c r="W13" s="8">
        <v>96.621817129629633</v>
      </c>
      <c r="X13" s="8">
        <v>84.540554414784424</v>
      </c>
      <c r="Y13" s="8">
        <v>8.9</v>
      </c>
    </row>
    <row r="14" spans="1:25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6"/>
      <c r="K14" s="8">
        <v>16</v>
      </c>
      <c r="L14" s="8">
        <v>15.5</v>
      </c>
      <c r="M14" s="8">
        <v>11</v>
      </c>
      <c r="N14" s="8">
        <v>14</v>
      </c>
      <c r="O14" s="8">
        <v>49.751666666666665</v>
      </c>
      <c r="P14" s="8">
        <v>202.16666666666666</v>
      </c>
      <c r="Q14" s="8">
        <v>0.70967741935483875</v>
      </c>
      <c r="R14" s="8">
        <v>179.25225225225228</v>
      </c>
      <c r="S14" s="8">
        <v>88.665582317684567</v>
      </c>
      <c r="T14" s="8">
        <v>83.893427446407259</v>
      </c>
      <c r="U14" s="8">
        <v>0.90322580645161288</v>
      </c>
      <c r="V14" s="8">
        <v>193.62745098039215</v>
      </c>
      <c r="W14" s="8">
        <v>95.776150526162667</v>
      </c>
      <c r="X14" s="8">
        <v>94.343014751041281</v>
      </c>
      <c r="Y14" s="8">
        <v>10.35</v>
      </c>
    </row>
    <row r="15" spans="1:25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6"/>
      <c r="K15" s="8">
        <v>14.5</v>
      </c>
      <c r="L15" s="8">
        <v>14</v>
      </c>
      <c r="M15" s="8">
        <v>10</v>
      </c>
      <c r="N15" s="8">
        <v>12</v>
      </c>
      <c r="O15" s="8">
        <v>49.675000000000004</v>
      </c>
      <c r="P15" s="8">
        <v>191.5</v>
      </c>
      <c r="Q15" s="8">
        <v>0.7142857142857143</v>
      </c>
      <c r="R15" s="8">
        <v>171.87152777777774</v>
      </c>
      <c r="S15" s="8">
        <v>89.75014505366984</v>
      </c>
      <c r="T15" s="8">
        <v>72.13785438684782</v>
      </c>
      <c r="U15" s="8">
        <v>0.8571428571428571</v>
      </c>
      <c r="V15" s="8">
        <v>182.1560283687943</v>
      </c>
      <c r="W15" s="8">
        <v>95.120641445845578</v>
      </c>
      <c r="X15" s="8">
        <v>84.857888330888358</v>
      </c>
      <c r="Y15" s="8">
        <v>9.33</v>
      </c>
    </row>
    <row r="16" spans="1:25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6"/>
      <c r="K16" s="17">
        <v>17</v>
      </c>
      <c r="L16" s="17">
        <v>16.5</v>
      </c>
      <c r="M16" s="17">
        <v>13</v>
      </c>
      <c r="N16" s="17">
        <v>15</v>
      </c>
      <c r="O16" s="17">
        <v>51.731666666666662</v>
      </c>
      <c r="P16" s="17">
        <v>199.66666666666666</v>
      </c>
      <c r="Q16" s="17">
        <v>0.78787878787878785</v>
      </c>
      <c r="R16" s="17">
        <v>181.81944444444443</v>
      </c>
      <c r="S16" s="17">
        <v>91.061491374513068</v>
      </c>
      <c r="T16" s="17">
        <v>82.672426445582815</v>
      </c>
      <c r="U16" s="17">
        <v>0.90909090909090906</v>
      </c>
      <c r="V16" s="17">
        <v>191.51550387596899</v>
      </c>
      <c r="W16" s="17">
        <v>95.917614629032897</v>
      </c>
      <c r="X16" s="17">
        <v>89.856946662001377</v>
      </c>
      <c r="Y16" s="17">
        <v>8.5299999999999994</v>
      </c>
    </row>
    <row r="17" spans="1:25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6"/>
      <c r="K17" s="8">
        <v>15</v>
      </c>
      <c r="L17" s="8">
        <v>14.5</v>
      </c>
      <c r="M17" s="8">
        <v>11</v>
      </c>
      <c r="N17" s="8">
        <v>12.5</v>
      </c>
      <c r="O17" s="8">
        <v>52.5</v>
      </c>
      <c r="P17" s="8">
        <v>193.16666666666666</v>
      </c>
      <c r="Q17" s="8">
        <v>0.75862068965517238</v>
      </c>
      <c r="R17" s="8">
        <v>172.75925925925927</v>
      </c>
      <c r="S17" s="8">
        <v>89.435336976320599</v>
      </c>
      <c r="T17" s="8">
        <v>80.146913580246903</v>
      </c>
      <c r="U17" s="8">
        <v>0.86206896551724133</v>
      </c>
      <c r="V17" s="8">
        <v>182.43162393162393</v>
      </c>
      <c r="W17" s="8">
        <v>94.442600827415333</v>
      </c>
      <c r="X17" s="8">
        <v>87.540089540089525</v>
      </c>
      <c r="Y17" s="8">
        <v>8.7100000000000009</v>
      </c>
    </row>
    <row r="18" spans="1:25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6"/>
      <c r="K18" s="8">
        <v>13</v>
      </c>
      <c r="L18" s="8">
        <v>13</v>
      </c>
      <c r="M18" s="8">
        <v>10</v>
      </c>
      <c r="N18" s="8">
        <v>11</v>
      </c>
      <c r="O18" s="8">
        <v>39.515000000000001</v>
      </c>
      <c r="P18" s="8">
        <v>183.66666666666666</v>
      </c>
      <c r="Q18" s="8">
        <v>0.76923076923076927</v>
      </c>
      <c r="R18" s="8">
        <v>169.02136752136752</v>
      </c>
      <c r="S18" s="8">
        <v>92.026152915445124</v>
      </c>
      <c r="T18" s="8">
        <v>80.911284365668763</v>
      </c>
      <c r="U18" s="8">
        <v>0.84615384615384615</v>
      </c>
      <c r="V18" s="8">
        <v>175.25833333333333</v>
      </c>
      <c r="W18" s="8">
        <v>95.421960072595283</v>
      </c>
      <c r="X18" s="8">
        <v>86.550149732169231</v>
      </c>
      <c r="Y18" s="8">
        <v>10.73</v>
      </c>
    </row>
    <row r="19" spans="1:25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6"/>
      <c r="K19" s="8">
        <v>15</v>
      </c>
      <c r="L19" s="8">
        <v>15</v>
      </c>
      <c r="M19" s="8">
        <v>11.5</v>
      </c>
      <c r="N19" s="8">
        <v>13</v>
      </c>
      <c r="O19" s="8">
        <v>45.211666666666666</v>
      </c>
      <c r="P19" s="8">
        <v>178.5</v>
      </c>
      <c r="Q19" s="8">
        <v>0.76666666666666672</v>
      </c>
      <c r="R19" s="8">
        <v>163.89444444444445</v>
      </c>
      <c r="S19" s="8">
        <v>91.817615935262992</v>
      </c>
      <c r="T19" s="8">
        <v>83.252847716297424</v>
      </c>
      <c r="U19" s="8">
        <v>0.8666666666666667</v>
      </c>
      <c r="V19" s="8">
        <v>170.58333333333331</v>
      </c>
      <c r="W19" s="8">
        <v>95.564892623716148</v>
      </c>
      <c r="X19" s="8">
        <v>90.330450018323418</v>
      </c>
      <c r="Y19" s="8">
        <v>10.54</v>
      </c>
    </row>
    <row r="20" spans="1:25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6"/>
      <c r="K20" s="8">
        <v>16</v>
      </c>
      <c r="L20" s="8">
        <v>15.5</v>
      </c>
      <c r="M20" s="8">
        <v>11</v>
      </c>
      <c r="N20" s="8">
        <v>14</v>
      </c>
      <c r="O20" s="8">
        <v>51.331666666666671</v>
      </c>
      <c r="P20" s="8">
        <v>182</v>
      </c>
      <c r="Q20" s="8">
        <v>0.70967741935483875</v>
      </c>
      <c r="R20" s="8">
        <v>154.90123456790121</v>
      </c>
      <c r="S20" s="8">
        <v>85.110568443901769</v>
      </c>
      <c r="T20" s="8">
        <v>74.173163390345763</v>
      </c>
      <c r="U20" s="8">
        <v>0.90322580645161288</v>
      </c>
      <c r="V20" s="8">
        <v>170.4097222222222</v>
      </c>
      <c r="W20" s="8">
        <v>93.631715506715494</v>
      </c>
      <c r="X20" s="8">
        <v>90.93923504009868</v>
      </c>
      <c r="Y20" s="8">
        <v>9.85</v>
      </c>
    </row>
    <row r="21" spans="1:25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6"/>
      <c r="K21" s="8">
        <v>13.5</v>
      </c>
      <c r="L21" s="8">
        <v>13</v>
      </c>
      <c r="M21" s="8">
        <v>10</v>
      </c>
      <c r="N21" s="8">
        <v>11.5</v>
      </c>
      <c r="O21" s="8">
        <v>43.129999999999995</v>
      </c>
      <c r="P21" s="8">
        <v>218.83333333333334</v>
      </c>
      <c r="Q21" s="8">
        <v>0.76923076923076927</v>
      </c>
      <c r="R21" s="8">
        <v>191.08333333333334</v>
      </c>
      <c r="S21" s="8">
        <v>87.319116527037323</v>
      </c>
      <c r="T21" s="8">
        <v>76.210741902286472</v>
      </c>
      <c r="U21" s="8">
        <v>0.88461538461538458</v>
      </c>
      <c r="V21" s="8">
        <v>209.7</v>
      </c>
      <c r="W21" s="8">
        <v>95.826351865955829</v>
      </c>
      <c r="X21" s="8">
        <v>85.90585590580551</v>
      </c>
      <c r="Y21" s="8">
        <v>8.59</v>
      </c>
    </row>
    <row r="22" spans="1:25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6"/>
      <c r="K22" s="8">
        <v>14.5</v>
      </c>
      <c r="L22" s="8">
        <v>14</v>
      </c>
      <c r="M22" s="8">
        <v>10</v>
      </c>
      <c r="N22" s="8">
        <v>12</v>
      </c>
      <c r="O22" s="8">
        <v>47.531666666666666</v>
      </c>
      <c r="P22" s="8">
        <v>183.83333333333334</v>
      </c>
      <c r="Q22" s="8">
        <v>0.7142857142857143</v>
      </c>
      <c r="R22" s="8">
        <v>157.80555555555554</v>
      </c>
      <c r="S22" s="8">
        <v>85.84164400120882</v>
      </c>
      <c r="T22" s="8">
        <v>73.402944402979472</v>
      </c>
      <c r="U22" s="8">
        <v>0.8571428571428571</v>
      </c>
      <c r="V22" s="8">
        <v>171.9186991869918</v>
      </c>
      <c r="W22" s="8">
        <v>93.518784689206782</v>
      </c>
      <c r="X22" s="8">
        <v>86.69077268983709</v>
      </c>
      <c r="Y22" s="8">
        <v>9.67</v>
      </c>
    </row>
    <row r="23" spans="1:25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6"/>
      <c r="K23" s="8">
        <v>18</v>
      </c>
      <c r="L23" s="8">
        <v>17.5</v>
      </c>
      <c r="M23" s="8">
        <v>13.5</v>
      </c>
      <c r="N23" s="8">
        <v>16.5</v>
      </c>
      <c r="O23" s="8">
        <v>55.551666666666655</v>
      </c>
      <c r="P23" s="8">
        <v>201</v>
      </c>
      <c r="Q23" s="8">
        <v>0.77142857142857146</v>
      </c>
      <c r="R23" s="8">
        <v>171.39024390243901</v>
      </c>
      <c r="S23" s="8">
        <v>85.268778060914926</v>
      </c>
      <c r="T23" s="8">
        <v>73.940834394993004</v>
      </c>
      <c r="U23" s="8">
        <v>0.94285714285714284</v>
      </c>
      <c r="V23" s="8">
        <v>189.06201550387607</v>
      </c>
      <c r="W23" s="8">
        <v>94.060704230784111</v>
      </c>
      <c r="X23" s="8">
        <v>82.962784139075794</v>
      </c>
      <c r="Y23" s="8">
        <v>11.42</v>
      </c>
    </row>
    <row r="24" spans="1:25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6"/>
      <c r="K24" s="8">
        <v>16</v>
      </c>
      <c r="L24" s="8">
        <v>16</v>
      </c>
      <c r="M24" s="8">
        <v>11</v>
      </c>
      <c r="N24" s="8">
        <v>14</v>
      </c>
      <c r="O24" s="8">
        <v>59.544999999999995</v>
      </c>
      <c r="P24" s="8">
        <v>192.16666666666666</v>
      </c>
      <c r="Q24" s="8">
        <v>0.6875</v>
      </c>
      <c r="R24" s="8">
        <v>170.51984126984124</v>
      </c>
      <c r="S24" s="8">
        <v>88.735390079709234</v>
      </c>
      <c r="T24" s="8">
        <v>71.412510479602588</v>
      </c>
      <c r="U24" s="8">
        <v>0.875</v>
      </c>
      <c r="V24" s="8">
        <v>181.04444444444445</v>
      </c>
      <c r="W24" s="8">
        <v>94.212200057820183</v>
      </c>
      <c r="X24" s="8">
        <v>89.334552454881631</v>
      </c>
      <c r="Y24" s="8">
        <v>10.48</v>
      </c>
    </row>
    <row r="25" spans="1:25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6"/>
      <c r="K25" s="8">
        <v>17.5</v>
      </c>
      <c r="L25" s="8">
        <v>15.5</v>
      </c>
      <c r="M25" s="8">
        <v>11.5</v>
      </c>
      <c r="N25" s="8">
        <v>13.5</v>
      </c>
      <c r="O25" s="8">
        <v>47.431666666666665</v>
      </c>
      <c r="P25" s="8">
        <v>182.66666666666666</v>
      </c>
      <c r="Q25" s="8">
        <v>0.78</v>
      </c>
      <c r="R25" s="8">
        <v>161.92517006802723</v>
      </c>
      <c r="S25" s="8">
        <v>88.645166095635346</v>
      </c>
      <c r="T25" s="8">
        <v>81.253303176571237</v>
      </c>
      <c r="U25" s="8">
        <v>0.89</v>
      </c>
      <c r="V25" s="8">
        <v>169.98366013071893</v>
      </c>
      <c r="W25" s="8">
        <v>93.056748246743936</v>
      </c>
      <c r="X25" s="8">
        <v>86.016209076835011</v>
      </c>
      <c r="Y25" s="8">
        <v>10.97</v>
      </c>
    </row>
    <row r="26" spans="1:25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6"/>
      <c r="K26" s="8">
        <v>16.5</v>
      </c>
      <c r="L26" s="8">
        <v>16</v>
      </c>
      <c r="M26" s="8">
        <v>12</v>
      </c>
      <c r="N26" s="8">
        <v>14</v>
      </c>
      <c r="O26" s="8">
        <v>53.521666666666668</v>
      </c>
      <c r="P26" s="8">
        <v>181.66666666666666</v>
      </c>
      <c r="Q26" s="8">
        <v>0.75</v>
      </c>
      <c r="R26" s="8">
        <v>154.66666666666669</v>
      </c>
      <c r="S26" s="8">
        <v>85.137614678899098</v>
      </c>
      <c r="T26" s="8">
        <v>77.333726176873824</v>
      </c>
      <c r="U26" s="8">
        <v>0.875</v>
      </c>
      <c r="V26" s="8">
        <v>166.52631578947367</v>
      </c>
      <c r="W26" s="8">
        <v>91.665861902462566</v>
      </c>
      <c r="X26" s="8">
        <v>83.873230549359391</v>
      </c>
      <c r="Y26" s="8">
        <v>7.6</v>
      </c>
    </row>
    <row r="27" spans="1:25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6"/>
      <c r="K27" s="8">
        <v>15</v>
      </c>
      <c r="L27" s="8">
        <v>14.5</v>
      </c>
      <c r="M27" s="8">
        <v>11</v>
      </c>
      <c r="N27" s="8">
        <v>12.5</v>
      </c>
      <c r="O27" s="8">
        <v>41.643333333333338</v>
      </c>
      <c r="P27" s="8">
        <v>201.66666666666666</v>
      </c>
      <c r="Q27" s="8">
        <v>0.75862068965517238</v>
      </c>
      <c r="R27" s="8">
        <v>184.63492063492063</v>
      </c>
      <c r="S27" s="8">
        <v>91.554506099960648</v>
      </c>
      <c r="T27" s="8">
        <v>78.652362783476207</v>
      </c>
      <c r="U27" s="8">
        <v>0.86206896551724133</v>
      </c>
      <c r="V27" s="8">
        <v>190.65128205128207</v>
      </c>
      <c r="W27" s="8">
        <v>94.537825810553102</v>
      </c>
      <c r="X27" s="8">
        <v>83.753178703150681</v>
      </c>
      <c r="Y27" s="8">
        <v>9.7799999999999994</v>
      </c>
    </row>
    <row r="28" spans="1:25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6"/>
      <c r="K28" s="8">
        <v>16.5</v>
      </c>
      <c r="L28" s="8">
        <v>16.5</v>
      </c>
      <c r="M28" s="8">
        <v>12</v>
      </c>
      <c r="N28" s="8">
        <v>15</v>
      </c>
      <c r="O28" s="8">
        <v>49</v>
      </c>
      <c r="P28" s="8">
        <v>179</v>
      </c>
      <c r="Q28" s="8">
        <v>0.72727272727272729</v>
      </c>
      <c r="R28" s="8">
        <v>159.83333333333334</v>
      </c>
      <c r="S28" s="8">
        <v>89.292364990689023</v>
      </c>
      <c r="T28" s="8">
        <v>78.239730507587652</v>
      </c>
      <c r="U28" s="8">
        <v>0.90909090909090906</v>
      </c>
      <c r="V28" s="8">
        <v>170.57894736842104</v>
      </c>
      <c r="W28" s="8">
        <v>95.295501323140243</v>
      </c>
      <c r="X28" s="8">
        <v>92.791800930898674</v>
      </c>
      <c r="Y28" s="8">
        <v>6.41</v>
      </c>
    </row>
    <row r="29" spans="1:25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6"/>
      <c r="K29" s="8">
        <v>18.5</v>
      </c>
      <c r="L29" s="8">
        <v>18</v>
      </c>
      <c r="M29" s="8">
        <v>14.5</v>
      </c>
      <c r="N29" s="8">
        <v>16</v>
      </c>
      <c r="O29" s="8">
        <v>59.634999999999998</v>
      </c>
      <c r="P29" s="8">
        <v>199.83333333333334</v>
      </c>
      <c r="Q29" s="8">
        <v>0.80555555555555558</v>
      </c>
      <c r="R29" s="8">
        <v>181.2094017094017</v>
      </c>
      <c r="S29" s="8">
        <v>90.680267744487935</v>
      </c>
      <c r="T29" s="8">
        <v>79.549094598981398</v>
      </c>
      <c r="U29" s="8">
        <v>0.88888888888888884</v>
      </c>
      <c r="V29" s="8">
        <v>188.02845528455282</v>
      </c>
      <c r="W29" s="8">
        <v>94.092638174088151</v>
      </c>
      <c r="X29" s="8">
        <v>87.849117360964854</v>
      </c>
      <c r="Y29" s="8">
        <v>9.36</v>
      </c>
    </row>
    <row r="30" spans="1:25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6"/>
      <c r="K30" s="8">
        <v>13.5</v>
      </c>
      <c r="L30" s="8">
        <v>13</v>
      </c>
      <c r="M30" s="8">
        <v>10.5</v>
      </c>
      <c r="N30" s="8">
        <v>12</v>
      </c>
      <c r="O30" s="8">
        <v>48.226666666666667</v>
      </c>
      <c r="P30" s="8">
        <v>186.5</v>
      </c>
      <c r="Q30" s="8">
        <v>0.80769230769230771</v>
      </c>
      <c r="R30" s="8">
        <v>178.21428571428572</v>
      </c>
      <c r="S30" s="8">
        <v>95.557257755649175</v>
      </c>
      <c r="T30" s="8">
        <v>82.599859130824001</v>
      </c>
      <c r="U30" s="8">
        <v>0.92307692307692313</v>
      </c>
      <c r="V30" s="8">
        <v>183.69666666666663</v>
      </c>
      <c r="W30" s="8">
        <v>98.496872207327954</v>
      </c>
      <c r="X30" s="8">
        <v>90.024398672933373</v>
      </c>
      <c r="Y30" s="8">
        <v>8.02</v>
      </c>
    </row>
    <row r="31" spans="1:25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6"/>
      <c r="K31" s="8">
        <v>16</v>
      </c>
      <c r="L31" s="8">
        <v>15.5</v>
      </c>
      <c r="M31" s="8">
        <v>11</v>
      </c>
      <c r="N31" s="8">
        <v>14</v>
      </c>
      <c r="O31" s="8">
        <v>52.048333333333339</v>
      </c>
      <c r="P31" s="8">
        <v>167</v>
      </c>
      <c r="Q31" s="8">
        <v>0.70967741935483875</v>
      </c>
      <c r="R31" s="8">
        <v>161.65248226950354</v>
      </c>
      <c r="S31" s="8">
        <v>96.797893574553015</v>
      </c>
      <c r="T31" s="8">
        <v>73.510641704416855</v>
      </c>
      <c r="U31" s="8">
        <v>0.90322580645161288</v>
      </c>
      <c r="V31" s="8">
        <v>155.61538461538461</v>
      </c>
      <c r="W31" s="8">
        <v>93.18286503915246</v>
      </c>
      <c r="X31" s="8">
        <v>85.812619926744617</v>
      </c>
      <c r="Y31" s="8">
        <v>8.94</v>
      </c>
    </row>
    <row r="32" spans="1:25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6"/>
      <c r="K32" s="8">
        <v>14.5</v>
      </c>
      <c r="L32" s="8">
        <v>14</v>
      </c>
      <c r="M32" s="8">
        <v>10.5</v>
      </c>
      <c r="N32" s="8">
        <v>12</v>
      </c>
      <c r="O32" s="8">
        <v>49.491666666666667</v>
      </c>
      <c r="P32" s="8">
        <v>190.5</v>
      </c>
      <c r="Q32" s="8">
        <v>0.75</v>
      </c>
      <c r="R32" s="8">
        <v>170.64124293785312</v>
      </c>
      <c r="S32" s="8">
        <v>89.575455610421585</v>
      </c>
      <c r="T32" s="8">
        <v>78.095096760568595</v>
      </c>
      <c r="U32" s="8">
        <v>0.8571428571428571</v>
      </c>
      <c r="V32" s="8">
        <v>178.39516129032259</v>
      </c>
      <c r="W32" s="8">
        <v>93.645753958174581</v>
      </c>
      <c r="X32" s="8">
        <v>87.583713995513534</v>
      </c>
      <c r="Y32" s="8">
        <v>10.42</v>
      </c>
    </row>
    <row r="33" spans="1:25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6"/>
      <c r="K33" s="8">
        <v>16</v>
      </c>
      <c r="L33" s="8">
        <v>16</v>
      </c>
      <c r="M33" s="8">
        <v>11</v>
      </c>
      <c r="N33" s="8">
        <v>14</v>
      </c>
      <c r="O33" s="8">
        <v>49.485000000000007</v>
      </c>
      <c r="P33" s="8">
        <v>152</v>
      </c>
      <c r="Q33" s="8">
        <v>0.6875</v>
      </c>
      <c r="R33" s="8">
        <v>122.15625</v>
      </c>
      <c r="S33" s="8">
        <v>80.365953947368425</v>
      </c>
      <c r="T33" s="8">
        <v>76.529924893065242</v>
      </c>
      <c r="U33" s="8">
        <v>0.875</v>
      </c>
      <c r="V33" s="8">
        <v>118.9469696969697</v>
      </c>
      <c r="W33" s="8">
        <v>78.254585326953745</v>
      </c>
      <c r="X33" s="8">
        <v>88.153894201181231</v>
      </c>
      <c r="Y33" s="8">
        <v>12.85</v>
      </c>
    </row>
    <row r="34" spans="1:25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6"/>
      <c r="K34" s="8">
        <v>16</v>
      </c>
      <c r="L34" s="8">
        <v>15.5</v>
      </c>
      <c r="M34" s="8">
        <v>11</v>
      </c>
      <c r="N34" s="8">
        <v>13</v>
      </c>
      <c r="O34" s="8">
        <v>49</v>
      </c>
      <c r="P34" s="8">
        <v>199</v>
      </c>
      <c r="Q34" s="8">
        <v>0.70967741935483875</v>
      </c>
      <c r="R34" s="8">
        <v>176.86904761904765</v>
      </c>
      <c r="S34" s="8">
        <v>88.878918401531479</v>
      </c>
      <c r="T34" s="8">
        <v>78.125202461937178</v>
      </c>
      <c r="U34" s="8">
        <v>0.83870967741935487</v>
      </c>
      <c r="V34" s="8">
        <v>188.62418300653596</v>
      </c>
      <c r="W34" s="8">
        <v>94.786021611324614</v>
      </c>
      <c r="X34" s="8">
        <v>88.516539949313056</v>
      </c>
      <c r="Y34" s="8">
        <v>10.49</v>
      </c>
    </row>
    <row r="35" spans="1:25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6"/>
      <c r="K35" s="14" t="s">
        <v>34</v>
      </c>
      <c r="L35" s="14" t="s">
        <v>34</v>
      </c>
      <c r="M35" s="14" t="s">
        <v>34</v>
      </c>
      <c r="N35" s="14" t="s">
        <v>34</v>
      </c>
      <c r="O35" s="14" t="s">
        <v>34</v>
      </c>
      <c r="P35" s="14" t="s">
        <v>34</v>
      </c>
      <c r="Q35" s="14" t="s">
        <v>34</v>
      </c>
      <c r="R35" s="14" t="s">
        <v>34</v>
      </c>
      <c r="S35" s="14" t="s">
        <v>34</v>
      </c>
      <c r="T35" s="14" t="s">
        <v>34</v>
      </c>
      <c r="U35" s="14" t="s">
        <v>34</v>
      </c>
      <c r="V35" s="14" t="s">
        <v>34</v>
      </c>
      <c r="W35" s="14" t="s">
        <v>34</v>
      </c>
      <c r="X35" s="14" t="s">
        <v>34</v>
      </c>
      <c r="Y35" s="14" t="s">
        <v>34</v>
      </c>
    </row>
    <row r="36" spans="1:25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6"/>
      <c r="K36" s="17">
        <v>17</v>
      </c>
      <c r="L36" s="17">
        <v>16.5</v>
      </c>
      <c r="M36" s="17">
        <v>14</v>
      </c>
      <c r="N36" s="17">
        <v>16</v>
      </c>
      <c r="O36" s="17">
        <v>53</v>
      </c>
      <c r="P36" s="17">
        <v>170.66666666666666</v>
      </c>
      <c r="Q36" s="17">
        <v>0.84848484848484851</v>
      </c>
      <c r="R36" s="17">
        <v>154.18750000000003</v>
      </c>
      <c r="S36" s="17">
        <v>90.344238281250028</v>
      </c>
      <c r="T36" s="17">
        <v>86.962106918239002</v>
      </c>
      <c r="U36" s="17">
        <v>0.96969696969696972</v>
      </c>
      <c r="V36" s="17">
        <v>165.30797101449275</v>
      </c>
      <c r="W36" s="17">
        <v>96.860139266304358</v>
      </c>
      <c r="X36" s="17">
        <v>95.744941208640967</v>
      </c>
      <c r="Y36" s="17">
        <v>10.7</v>
      </c>
    </row>
    <row r="37" spans="1:25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6"/>
      <c r="K37" s="8">
        <v>17.5</v>
      </c>
      <c r="L37" s="8">
        <v>17</v>
      </c>
      <c r="M37" s="8">
        <v>13</v>
      </c>
      <c r="N37" s="8">
        <v>15</v>
      </c>
      <c r="O37" s="8">
        <v>60.300000000000004</v>
      </c>
      <c r="P37" s="8">
        <v>187</v>
      </c>
      <c r="Q37" s="8">
        <v>0.76470588235294112</v>
      </c>
      <c r="R37" s="8">
        <v>168.8621794871795</v>
      </c>
      <c r="S37" s="8">
        <v>90.300630741807211</v>
      </c>
      <c r="T37" s="8">
        <v>82.086894586894573</v>
      </c>
      <c r="U37" s="8">
        <v>0.88235294117647056</v>
      </c>
      <c r="V37" s="8">
        <v>177.1547619047619</v>
      </c>
      <c r="W37" s="8">
        <v>94.735166793990331</v>
      </c>
      <c r="X37" s="8">
        <v>87.310520808655141</v>
      </c>
      <c r="Y37" s="8">
        <v>8.98</v>
      </c>
    </row>
    <row r="38" spans="1:25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6"/>
      <c r="K38" s="8">
        <v>15.5</v>
      </c>
      <c r="L38" s="8">
        <v>14.5</v>
      </c>
      <c r="M38" s="8">
        <v>11</v>
      </c>
      <c r="N38" s="8">
        <v>12.5</v>
      </c>
      <c r="O38" s="8">
        <v>55</v>
      </c>
      <c r="P38" s="8">
        <v>203.33333333333334</v>
      </c>
      <c r="Q38" s="8">
        <v>0.75862068965517238</v>
      </c>
      <c r="R38" s="8">
        <v>181.80180180180179</v>
      </c>
      <c r="S38" s="8">
        <v>89.410722197607427</v>
      </c>
      <c r="T38" s="8">
        <v>87.894840294840293</v>
      </c>
      <c r="U38" s="8">
        <v>0.86206896551724133</v>
      </c>
      <c r="V38" s="8">
        <v>190.89024390243901</v>
      </c>
      <c r="W38" s="8">
        <v>93.880447820871638</v>
      </c>
      <c r="X38" s="8">
        <v>91.346563192904668</v>
      </c>
      <c r="Y38" s="8">
        <v>11.02</v>
      </c>
    </row>
    <row r="39" spans="1:25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6"/>
      <c r="K39" s="8">
        <v>13</v>
      </c>
      <c r="L39" s="8">
        <v>12.5</v>
      </c>
      <c r="M39" s="8">
        <v>10</v>
      </c>
      <c r="N39" s="8">
        <v>11</v>
      </c>
      <c r="O39" s="8">
        <v>41.913333333333334</v>
      </c>
      <c r="P39" s="8">
        <v>195</v>
      </c>
      <c r="Q39" s="8">
        <v>0.8</v>
      </c>
      <c r="R39" s="8">
        <v>175.33333333333334</v>
      </c>
      <c r="S39" s="8">
        <v>89.914529914529922</v>
      </c>
      <c r="T39" s="8">
        <v>87.244275792072813</v>
      </c>
      <c r="U39" s="8">
        <v>0.88</v>
      </c>
      <c r="V39" s="8">
        <v>182.06296296296293</v>
      </c>
      <c r="W39" s="8">
        <v>93.365622032288684</v>
      </c>
      <c r="X39" s="8">
        <v>92.773536221126477</v>
      </c>
      <c r="Y39" s="8">
        <v>5.16</v>
      </c>
    </row>
    <row r="40" spans="1:25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6"/>
      <c r="K40" s="8">
        <v>16</v>
      </c>
      <c r="L40" s="8">
        <v>15</v>
      </c>
      <c r="M40" s="8">
        <v>12.5</v>
      </c>
      <c r="N40" s="8">
        <v>13.5</v>
      </c>
      <c r="O40" s="8">
        <v>57.766666666666673</v>
      </c>
      <c r="P40" s="8">
        <v>189</v>
      </c>
      <c r="Q40" s="8">
        <v>0.83333333333333337</v>
      </c>
      <c r="R40" s="8">
        <v>128.80000000000001</v>
      </c>
      <c r="S40" s="8">
        <v>68.148148148148152</v>
      </c>
      <c r="T40" s="8">
        <v>84.007030394385097</v>
      </c>
      <c r="U40" s="8">
        <v>0.9</v>
      </c>
      <c r="V40" s="8">
        <v>186.2</v>
      </c>
      <c r="W40" s="8">
        <v>92.5</v>
      </c>
      <c r="X40" s="8">
        <v>85.814245214380691</v>
      </c>
      <c r="Y40" s="8">
        <v>8.33</v>
      </c>
    </row>
    <row r="41" spans="1:25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6"/>
      <c r="K41" s="8">
        <v>16.5</v>
      </c>
      <c r="L41" s="8">
        <v>16.5</v>
      </c>
      <c r="M41" s="8">
        <v>11.5</v>
      </c>
      <c r="N41" s="8">
        <v>14.5</v>
      </c>
      <c r="O41" s="8">
        <v>49.2</v>
      </c>
      <c r="P41" s="8">
        <v>192.16666666666666</v>
      </c>
      <c r="Q41" s="8">
        <v>0.69696969696969702</v>
      </c>
      <c r="R41" s="8">
        <v>156.06159420289853</v>
      </c>
      <c r="S41" s="8">
        <v>81.211584147215206</v>
      </c>
      <c r="T41" s="8">
        <v>72.164339578178385</v>
      </c>
      <c r="U41" s="8">
        <v>0.87878787878787878</v>
      </c>
      <c r="V41" s="8">
        <v>176.95597484276729</v>
      </c>
      <c r="W41" s="8">
        <v>92.084635651049766</v>
      </c>
      <c r="X41" s="8">
        <v>85.626118525336196</v>
      </c>
      <c r="Y41" s="8">
        <v>7.44</v>
      </c>
    </row>
    <row r="42" spans="1:25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6"/>
      <c r="K42" s="17">
        <v>15.5</v>
      </c>
      <c r="L42" s="17">
        <v>15</v>
      </c>
      <c r="M42" s="17">
        <v>10.5</v>
      </c>
      <c r="N42" s="17">
        <v>13.5</v>
      </c>
      <c r="O42" s="17">
        <v>42</v>
      </c>
      <c r="P42" s="17">
        <v>199.5</v>
      </c>
      <c r="Q42" s="17">
        <v>0.7</v>
      </c>
      <c r="R42" s="17">
        <v>167.95</v>
      </c>
      <c r="S42" s="17">
        <v>84.185463659147871</v>
      </c>
      <c r="T42" s="17">
        <v>77.222916666666663</v>
      </c>
      <c r="U42" s="17">
        <v>0.9</v>
      </c>
      <c r="V42" s="17">
        <v>186.57666666666668</v>
      </c>
      <c r="W42" s="17">
        <v>93.522138680033422</v>
      </c>
      <c r="X42" s="17">
        <v>90.193015873015852</v>
      </c>
      <c r="Y42" s="17">
        <v>13.8</v>
      </c>
    </row>
    <row r="43" spans="1:25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6"/>
      <c r="K43" s="8">
        <v>17.5</v>
      </c>
      <c r="L43" s="8">
        <v>17</v>
      </c>
      <c r="M43" s="8">
        <v>12.5</v>
      </c>
      <c r="N43" s="8">
        <v>14.5</v>
      </c>
      <c r="O43" s="8">
        <v>51.4</v>
      </c>
      <c r="P43" s="8">
        <v>207.33333333333334</v>
      </c>
      <c r="Q43" s="8">
        <v>0.73529411764705888</v>
      </c>
      <c r="R43" s="8">
        <v>180.25471698113208</v>
      </c>
      <c r="S43" s="8">
        <v>86.939574106655343</v>
      </c>
      <c r="T43" s="8">
        <v>80.247656804444105</v>
      </c>
      <c r="U43" s="8">
        <v>0.8529411764705882</v>
      </c>
      <c r="V43" s="8">
        <v>191.66666666666666</v>
      </c>
      <c r="W43" s="8">
        <v>92.443729903536962</v>
      </c>
      <c r="X43" s="8">
        <v>88.700306754781465</v>
      </c>
      <c r="Y43" s="8">
        <v>7.54</v>
      </c>
    </row>
    <row r="44" spans="1:25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6"/>
      <c r="K44" s="8">
        <v>17</v>
      </c>
      <c r="L44" s="8">
        <v>17</v>
      </c>
      <c r="M44" s="8">
        <v>12.5</v>
      </c>
      <c r="N44" s="8">
        <v>15.5</v>
      </c>
      <c r="O44" s="8">
        <v>54.1</v>
      </c>
      <c r="P44" s="8">
        <v>188.83333333333334</v>
      </c>
      <c r="Q44" s="8">
        <v>0.73529411764705888</v>
      </c>
      <c r="R44" s="8">
        <v>161.02836879432624</v>
      </c>
      <c r="S44" s="8">
        <v>85.275393889316618</v>
      </c>
      <c r="T44" s="8">
        <v>78.572121498145023</v>
      </c>
      <c r="U44" s="8">
        <v>0.91176470588235292</v>
      </c>
      <c r="V44" s="8">
        <v>179.83962264150944</v>
      </c>
      <c r="W44" s="8">
        <v>95.237222934603409</v>
      </c>
      <c r="X44" s="8">
        <v>91.574419604970984</v>
      </c>
      <c r="Y44" s="8">
        <v>6.7</v>
      </c>
    </row>
    <row r="45" spans="1:25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6"/>
      <c r="K45" s="8">
        <v>15.5</v>
      </c>
      <c r="L45" s="8">
        <v>15</v>
      </c>
      <c r="M45" s="8">
        <v>12</v>
      </c>
      <c r="N45" s="8">
        <v>13.5</v>
      </c>
      <c r="O45" s="8">
        <v>55.5</v>
      </c>
      <c r="P45" s="8">
        <v>203.66666666666666</v>
      </c>
      <c r="Q45" s="8">
        <v>0.8</v>
      </c>
      <c r="R45" s="8">
        <v>183.20085470085471</v>
      </c>
      <c r="S45" s="8">
        <v>89.951319820386928</v>
      </c>
      <c r="T45" s="8">
        <v>92.635866635866648</v>
      </c>
      <c r="U45" s="8">
        <v>0.9</v>
      </c>
      <c r="V45" s="8">
        <v>189.37037037037035</v>
      </c>
      <c r="W45" s="8">
        <v>92.980541916712127</v>
      </c>
      <c r="X45" s="8">
        <v>94.505772439105769</v>
      </c>
      <c r="Y45" s="8">
        <v>4.12</v>
      </c>
    </row>
    <row r="46" spans="1:25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6"/>
      <c r="K46" s="8">
        <v>16.5</v>
      </c>
      <c r="L46" s="8">
        <v>16</v>
      </c>
      <c r="M46" s="8">
        <v>12</v>
      </c>
      <c r="N46" s="8">
        <v>14.5</v>
      </c>
      <c r="O46" s="8">
        <v>52</v>
      </c>
      <c r="P46" s="8">
        <v>193</v>
      </c>
      <c r="Q46" s="8">
        <v>0.75</v>
      </c>
      <c r="R46" s="8">
        <v>167.11290322580649</v>
      </c>
      <c r="S46" s="8">
        <v>86.586996490055171</v>
      </c>
      <c r="T46" s="8">
        <v>78.070512820512832</v>
      </c>
      <c r="U46" s="8">
        <v>0.90625</v>
      </c>
      <c r="V46" s="8">
        <v>183.50952380952381</v>
      </c>
      <c r="W46" s="8">
        <v>95.082654823587475</v>
      </c>
      <c r="X46" s="8">
        <v>90.884890109890122</v>
      </c>
      <c r="Y46" s="8">
        <v>4.53</v>
      </c>
    </row>
    <row r="47" spans="1:25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6"/>
      <c r="K47" s="8">
        <v>15.5</v>
      </c>
      <c r="L47" s="8">
        <v>15</v>
      </c>
      <c r="M47" s="8">
        <v>11</v>
      </c>
      <c r="N47" s="8">
        <v>13.5</v>
      </c>
      <c r="O47" s="8">
        <v>57.2</v>
      </c>
      <c r="P47" s="8">
        <v>192.33333333333334</v>
      </c>
      <c r="Q47" s="8">
        <v>0.73333333333333328</v>
      </c>
      <c r="R47" s="8">
        <v>165.3245614035088</v>
      </c>
      <c r="S47" s="8">
        <v>85.95731095503055</v>
      </c>
      <c r="T47" s="8">
        <v>77.096368543736929</v>
      </c>
      <c r="U47" s="8">
        <v>0.9</v>
      </c>
      <c r="V47" s="8">
        <v>181.60606060606059</v>
      </c>
      <c r="W47" s="8">
        <v>94.422561840239482</v>
      </c>
      <c r="X47" s="8">
        <v>95.258860457724083</v>
      </c>
      <c r="Y47" s="8">
        <v>7.88</v>
      </c>
    </row>
    <row r="48" spans="1:25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6"/>
      <c r="K48" s="8">
        <v>16</v>
      </c>
      <c r="L48" s="8">
        <v>15.5</v>
      </c>
      <c r="M48" s="8">
        <v>12</v>
      </c>
      <c r="N48" s="8">
        <v>14</v>
      </c>
      <c r="O48" s="8">
        <v>50.6</v>
      </c>
      <c r="P48" s="8">
        <v>182.66666666666666</v>
      </c>
      <c r="Q48" s="8">
        <v>0.77419354838709675</v>
      </c>
      <c r="R48" s="8">
        <v>168.62244897959184</v>
      </c>
      <c r="S48" s="8">
        <v>92.311559660360487</v>
      </c>
      <c r="T48" s="8">
        <v>78.935764028931715</v>
      </c>
      <c r="U48" s="8">
        <v>0.90322580645161288</v>
      </c>
      <c r="V48" s="8">
        <v>175.17836257309941</v>
      </c>
      <c r="W48" s="8">
        <v>95.900563452426681</v>
      </c>
      <c r="X48" s="8">
        <v>86.387502022513459</v>
      </c>
      <c r="Y48" s="8">
        <v>7.25</v>
      </c>
    </row>
    <row r="49" spans="1:25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6"/>
      <c r="K49" s="8">
        <v>18</v>
      </c>
      <c r="L49" s="8">
        <v>17.5</v>
      </c>
      <c r="M49" s="8">
        <v>12</v>
      </c>
      <c r="N49" s="8">
        <v>15</v>
      </c>
      <c r="O49" s="8">
        <v>61</v>
      </c>
      <c r="P49" s="8">
        <v>198.16666666666666</v>
      </c>
      <c r="Q49" s="8">
        <v>0.68571428571428572</v>
      </c>
      <c r="R49" s="8">
        <v>174.26190476190473</v>
      </c>
      <c r="S49" s="8">
        <v>87.937041931995665</v>
      </c>
      <c r="T49" s="8">
        <v>78.772508456934716</v>
      </c>
      <c r="U49" s="8">
        <v>0.8571428571428571</v>
      </c>
      <c r="V49" s="8">
        <v>185.38435374149662</v>
      </c>
      <c r="W49" s="8">
        <v>93.549715933471816</v>
      </c>
      <c r="X49" s="8">
        <v>91.266421322627423</v>
      </c>
      <c r="Y49" s="8">
        <v>15.9</v>
      </c>
    </row>
    <row r="50" spans="1:25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6"/>
      <c r="K50" s="8">
        <v>18</v>
      </c>
      <c r="L50" s="8">
        <v>17</v>
      </c>
      <c r="M50" s="8">
        <v>11.5</v>
      </c>
      <c r="N50" s="8">
        <v>15</v>
      </c>
      <c r="O50" s="8">
        <v>53.2</v>
      </c>
      <c r="P50" s="8">
        <v>190</v>
      </c>
      <c r="Q50" s="8">
        <v>0.67647058823529416</v>
      </c>
      <c r="R50" s="8">
        <v>152.58712121212119</v>
      </c>
      <c r="S50" s="8">
        <v>80.30901116427431</v>
      </c>
      <c r="T50" s="8">
        <v>65.933797562087037</v>
      </c>
      <c r="U50" s="8">
        <v>0.88235294117647056</v>
      </c>
      <c r="V50" s="8">
        <v>173.74358974358972</v>
      </c>
      <c r="W50" s="8">
        <v>91.443994601889329</v>
      </c>
      <c r="X50" s="8">
        <v>85.72705802968963</v>
      </c>
      <c r="Y50" s="8">
        <v>13.31</v>
      </c>
    </row>
    <row r="51" spans="1:25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6"/>
      <c r="K51" s="8">
        <v>17.5</v>
      </c>
      <c r="L51" s="8">
        <v>16.5</v>
      </c>
      <c r="M51" s="8">
        <v>12</v>
      </c>
      <c r="N51" s="8">
        <v>14</v>
      </c>
      <c r="O51" s="8">
        <v>54.9</v>
      </c>
      <c r="P51" s="8">
        <v>200.16666666666666</v>
      </c>
      <c r="Q51" s="8">
        <v>0.72727272727272729</v>
      </c>
      <c r="R51" s="8">
        <v>173.64814814814815</v>
      </c>
      <c r="S51" s="8">
        <v>86.751780923304651</v>
      </c>
      <c r="T51" s="8">
        <v>80.956171715127397</v>
      </c>
      <c r="U51" s="8">
        <v>0.84848484848484851</v>
      </c>
      <c r="V51" s="8">
        <v>183.9166666666666</v>
      </c>
      <c r="W51" s="8">
        <v>91.881765195670255</v>
      </c>
      <c r="X51" s="8">
        <v>90.913580246913597</v>
      </c>
      <c r="Y51" s="8">
        <v>17.809999999999999</v>
      </c>
    </row>
    <row r="52" spans="1:25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6"/>
      <c r="K52" s="8">
        <v>17.5</v>
      </c>
      <c r="L52" s="8">
        <v>17</v>
      </c>
      <c r="M52" s="8">
        <v>12.5</v>
      </c>
      <c r="N52" s="8">
        <v>16</v>
      </c>
      <c r="O52" s="8">
        <v>56.5</v>
      </c>
      <c r="P52" s="8">
        <v>183.33333333333334</v>
      </c>
      <c r="Q52" s="8">
        <v>0.73529411764705888</v>
      </c>
      <c r="R52" s="8">
        <v>155.85658914728688</v>
      </c>
      <c r="S52" s="8">
        <v>85.012684989429204</v>
      </c>
      <c r="T52" s="8">
        <v>77.285038073677697</v>
      </c>
      <c r="U52" s="8">
        <v>0.94117647058823528</v>
      </c>
      <c r="V52" s="8">
        <v>175.07291666666666</v>
      </c>
      <c r="W52" s="8">
        <v>95.494318181818159</v>
      </c>
      <c r="X52" s="8">
        <v>92.258726647000984</v>
      </c>
      <c r="Y52" s="8">
        <v>11.07</v>
      </c>
    </row>
    <row r="53" spans="1:25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6"/>
      <c r="K53" s="8">
        <v>16.5</v>
      </c>
      <c r="L53" s="8">
        <v>15.5</v>
      </c>
      <c r="M53" s="8">
        <v>11.5</v>
      </c>
      <c r="N53" s="8">
        <v>14</v>
      </c>
      <c r="O53" s="8">
        <v>53.9</v>
      </c>
      <c r="P53" s="8">
        <v>172.66666666666666</v>
      </c>
      <c r="Q53" s="8">
        <v>0.74193548387096775</v>
      </c>
      <c r="R53" s="8">
        <v>143.78378378378378</v>
      </c>
      <c r="S53" s="8">
        <v>83.272461650840029</v>
      </c>
      <c r="T53" s="8">
        <v>76.353022781594234</v>
      </c>
      <c r="U53" s="8">
        <v>0.90322580645161288</v>
      </c>
      <c r="V53" s="8">
        <v>159.61764705882354</v>
      </c>
      <c r="W53" s="8">
        <v>92.442652736770384</v>
      </c>
      <c r="X53" s="8">
        <v>89.409096972122171</v>
      </c>
      <c r="Y53" s="8">
        <v>11.17</v>
      </c>
    </row>
    <row r="54" spans="1:25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6"/>
      <c r="K54" s="8">
        <v>15</v>
      </c>
      <c r="L54" s="8">
        <v>14.5</v>
      </c>
      <c r="M54" s="8">
        <v>11</v>
      </c>
      <c r="N54" s="8">
        <v>13</v>
      </c>
      <c r="O54" s="8">
        <v>56.5</v>
      </c>
      <c r="P54" s="8">
        <v>205.83333333333334</v>
      </c>
      <c r="Q54" s="8">
        <v>0.75862068965517238</v>
      </c>
      <c r="R54" s="8">
        <v>181.77160493827162</v>
      </c>
      <c r="S54" s="8">
        <v>88.310091467986211</v>
      </c>
      <c r="T54" s="8">
        <v>73.850759313886144</v>
      </c>
      <c r="U54" s="8">
        <v>0.89655172413793105</v>
      </c>
      <c r="V54" s="8">
        <v>192.1952380952381</v>
      </c>
      <c r="W54" s="8">
        <v>93.374204742625793</v>
      </c>
      <c r="X54" s="8">
        <v>92.515971344289937</v>
      </c>
      <c r="Y54" s="8">
        <v>9.94</v>
      </c>
    </row>
    <row r="55" spans="1:25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6"/>
      <c r="K55" s="8">
        <v>17.5</v>
      </c>
      <c r="L55" s="8">
        <v>17</v>
      </c>
      <c r="M55" s="8">
        <v>13.5</v>
      </c>
      <c r="N55" s="8">
        <v>15.5</v>
      </c>
      <c r="O55" s="8">
        <v>54.755000000000003</v>
      </c>
      <c r="P55" s="8">
        <v>189</v>
      </c>
      <c r="Q55" s="8">
        <v>0.79411764705882348</v>
      </c>
      <c r="R55" s="8">
        <v>166.94871794871796</v>
      </c>
      <c r="S55" s="8">
        <v>88.332654999321676</v>
      </c>
      <c r="T55" s="8">
        <v>80.214545446031138</v>
      </c>
      <c r="U55" s="8">
        <v>0.91176470588235292</v>
      </c>
      <c r="V55" s="8">
        <v>177.65178571428572</v>
      </c>
      <c r="W55" s="8">
        <v>93.995653817082399</v>
      </c>
      <c r="X55" s="8">
        <v>91.049958473024844</v>
      </c>
      <c r="Y55" s="8">
        <v>9.98</v>
      </c>
    </row>
    <row r="56" spans="1:25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6"/>
      <c r="K56" s="8">
        <v>16.5</v>
      </c>
      <c r="L56" s="8">
        <v>15.5</v>
      </c>
      <c r="M56" s="8">
        <v>11.5</v>
      </c>
      <c r="N56" s="8">
        <v>13.5</v>
      </c>
      <c r="O56" s="8">
        <v>47.5</v>
      </c>
      <c r="P56" s="8">
        <v>202.66666666666666</v>
      </c>
      <c r="Q56" s="8">
        <v>0.74193548387096775</v>
      </c>
      <c r="R56" s="8">
        <v>184.43434343434345</v>
      </c>
      <c r="S56" s="8">
        <v>91.003787878787904</v>
      </c>
      <c r="T56" s="8">
        <v>83.350345560871887</v>
      </c>
      <c r="U56" s="8">
        <v>0.87096774193548387</v>
      </c>
      <c r="V56" s="8">
        <v>191.14634146341464</v>
      </c>
      <c r="W56" s="8">
        <v>94.315629011553284</v>
      </c>
      <c r="X56" s="8">
        <v>90.756867779204129</v>
      </c>
      <c r="Y56" s="8">
        <v>10.130000000000001</v>
      </c>
    </row>
    <row r="57" spans="1:25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6"/>
      <c r="K57" s="8">
        <v>15.5</v>
      </c>
      <c r="L57" s="8">
        <v>15</v>
      </c>
      <c r="M57" s="8">
        <v>10.5</v>
      </c>
      <c r="N57" s="8">
        <v>12.5</v>
      </c>
      <c r="O57" s="8">
        <v>52.8</v>
      </c>
      <c r="P57" s="8">
        <v>200.16666666666666</v>
      </c>
      <c r="Q57" s="8">
        <v>0.7</v>
      </c>
      <c r="R57" s="8">
        <v>172.22222222222217</v>
      </c>
      <c r="S57" s="8">
        <v>86.039411601443234</v>
      </c>
      <c r="T57" s="8">
        <v>77.444807927762497</v>
      </c>
      <c r="U57" s="8">
        <v>0.83333333333333337</v>
      </c>
      <c r="V57" s="8">
        <v>182.62857142857141</v>
      </c>
      <c r="W57" s="8">
        <v>91.238253836088973</v>
      </c>
      <c r="X57" s="8">
        <v>87.11598124098127</v>
      </c>
      <c r="Y57" s="8">
        <v>9.9700000000000006</v>
      </c>
    </row>
    <row r="58" spans="1:25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6"/>
      <c r="K58" s="8">
        <v>18</v>
      </c>
      <c r="L58" s="8">
        <v>17</v>
      </c>
      <c r="M58" s="8">
        <v>12</v>
      </c>
      <c r="N58" s="8">
        <v>15.5</v>
      </c>
      <c r="O58" s="8">
        <v>57.5</v>
      </c>
      <c r="P58" s="8">
        <v>189.16666666666666</v>
      </c>
      <c r="Q58" s="8">
        <v>0.70588235294117652</v>
      </c>
      <c r="R58" s="8">
        <v>165.66666666666669</v>
      </c>
      <c r="S58" s="8">
        <v>87.57709251101322</v>
      </c>
      <c r="T58" s="8">
        <v>72.676397515527924</v>
      </c>
      <c r="U58" s="8">
        <v>0.91176470588235292</v>
      </c>
      <c r="V58" s="8">
        <v>177.95833333333334</v>
      </c>
      <c r="W58" s="8">
        <v>94.074889867841421</v>
      </c>
      <c r="X58" s="8">
        <v>91.130362318840596</v>
      </c>
      <c r="Y58" s="8">
        <v>13.08</v>
      </c>
    </row>
    <row r="59" spans="1:25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6" t="s">
        <v>143</v>
      </c>
      <c r="K59" s="8">
        <v>17.5</v>
      </c>
      <c r="L59" s="8">
        <v>17</v>
      </c>
      <c r="M59" s="8">
        <v>12</v>
      </c>
      <c r="N59" s="8">
        <v>15</v>
      </c>
      <c r="O59" s="8">
        <v>52</v>
      </c>
      <c r="P59" s="8">
        <v>203.5</v>
      </c>
      <c r="Q59" s="8">
        <v>0.70588235294117652</v>
      </c>
      <c r="R59" s="8">
        <v>178.14682539682539</v>
      </c>
      <c r="S59" s="8">
        <v>87.541437541437546</v>
      </c>
      <c r="T59" s="8">
        <v>86.222451159951177</v>
      </c>
      <c r="U59" s="8">
        <v>0.88235294117647056</v>
      </c>
      <c r="V59" s="8">
        <v>187.67295597484278</v>
      </c>
      <c r="W59" s="8">
        <v>92.222582788620528</v>
      </c>
      <c r="X59" s="8">
        <v>96.349963715529739</v>
      </c>
      <c r="Y59" s="8">
        <v>16.100000000000001</v>
      </c>
    </row>
    <row r="60" spans="1:25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6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6"/>
      <c r="K61" s="17">
        <v>16.5</v>
      </c>
      <c r="L61" s="17">
        <v>15</v>
      </c>
      <c r="M61" s="17">
        <v>12.5</v>
      </c>
      <c r="N61" s="17">
        <v>14</v>
      </c>
      <c r="O61" s="17">
        <v>50.693333333333335</v>
      </c>
      <c r="P61" s="17">
        <v>181</v>
      </c>
      <c r="Q61" s="17">
        <v>0.63636363636363635</v>
      </c>
      <c r="R61" s="17">
        <v>149.42777777777778</v>
      </c>
      <c r="S61" s="17">
        <v>82.556783302639658</v>
      </c>
      <c r="T61" s="17">
        <v>68.33486761353673</v>
      </c>
      <c r="U61" s="17">
        <v>0.81818181818181823</v>
      </c>
      <c r="V61" s="17">
        <v>163.54504504504504</v>
      </c>
      <c r="W61" s="17">
        <v>90.356378477925432</v>
      </c>
      <c r="X61" s="17">
        <v>78.044628005175085</v>
      </c>
      <c r="Y61" s="17">
        <v>9.5500000000000007</v>
      </c>
    </row>
    <row r="62" spans="1:25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6"/>
      <c r="K62" s="17">
        <v>16</v>
      </c>
      <c r="L62" s="17">
        <v>14.5</v>
      </c>
      <c r="M62" s="17">
        <v>10.5</v>
      </c>
      <c r="N62" s="17">
        <v>12</v>
      </c>
      <c r="O62" s="17">
        <v>27</v>
      </c>
      <c r="P62" s="17">
        <v>165</v>
      </c>
      <c r="Q62" s="17">
        <v>0.63636363636363635</v>
      </c>
      <c r="R62" s="17">
        <v>117.08024691358024</v>
      </c>
      <c r="S62" s="17">
        <v>70.957725402169842</v>
      </c>
      <c r="T62" s="17">
        <v>74.157978966620931</v>
      </c>
      <c r="U62" s="17">
        <v>0.90909090909090906</v>
      </c>
      <c r="V62" s="17">
        <v>142.71875</v>
      </c>
      <c r="W62" s="17">
        <v>86.496212121212125</v>
      </c>
      <c r="X62" s="17">
        <v>94.657214506172849</v>
      </c>
      <c r="Y62" s="17">
        <v>9.57</v>
      </c>
    </row>
    <row r="63" spans="1:25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6"/>
      <c r="K63" s="17">
        <v>15.5</v>
      </c>
      <c r="L63" s="17">
        <v>14.5</v>
      </c>
      <c r="M63" s="17">
        <v>10</v>
      </c>
      <c r="N63" s="17">
        <v>12.5</v>
      </c>
      <c r="O63" s="17">
        <v>50.3</v>
      </c>
      <c r="P63" s="17">
        <v>202.33333333333334</v>
      </c>
      <c r="Q63" s="17">
        <v>0.68965517241379315</v>
      </c>
      <c r="R63" s="17">
        <v>173.73684210526315</v>
      </c>
      <c r="S63" s="17">
        <v>85.866643544611122</v>
      </c>
      <c r="T63" s="17">
        <v>74.686355550905091</v>
      </c>
      <c r="U63" s="17">
        <v>0.86206896551724133</v>
      </c>
      <c r="V63" s="17">
        <v>189.07801418439715</v>
      </c>
      <c r="W63" s="17">
        <v>93.448771425566946</v>
      </c>
      <c r="X63" s="17">
        <v>90.542560241388557</v>
      </c>
      <c r="Y63" s="17">
        <v>11.69</v>
      </c>
    </row>
    <row r="64" spans="1:25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6"/>
      <c r="K64" s="17">
        <v>12</v>
      </c>
      <c r="L64" s="17">
        <v>11.5</v>
      </c>
      <c r="M64" s="17">
        <v>9</v>
      </c>
      <c r="N64" s="17">
        <v>10.5</v>
      </c>
      <c r="O64" s="17">
        <v>40.75</v>
      </c>
      <c r="P64" s="17">
        <v>181</v>
      </c>
      <c r="Q64" s="17">
        <v>0.78260869565217395</v>
      </c>
      <c r="R64" s="17">
        <v>170.20149253731347</v>
      </c>
      <c r="S64" s="17">
        <v>94.033973777521254</v>
      </c>
      <c r="T64" s="17">
        <v>86.138876171290789</v>
      </c>
      <c r="U64" s="17">
        <v>0.91304347826086951</v>
      </c>
      <c r="V64" s="17">
        <v>176.74509803921569</v>
      </c>
      <c r="W64" s="17">
        <v>97.649225436030775</v>
      </c>
      <c r="X64" s="17">
        <v>94.636472994105631</v>
      </c>
      <c r="Y64" s="17">
        <v>4.96</v>
      </c>
    </row>
    <row r="65" spans="1:25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6"/>
      <c r="K65" s="17">
        <v>16</v>
      </c>
      <c r="L65" s="17">
        <v>15.5</v>
      </c>
      <c r="M65" s="17">
        <v>11.5</v>
      </c>
      <c r="N65" s="17">
        <v>14</v>
      </c>
      <c r="O65" s="17">
        <v>51.2</v>
      </c>
      <c r="P65" s="17">
        <v>205</v>
      </c>
      <c r="Q65" s="17">
        <v>0.74193548387096775</v>
      </c>
      <c r="R65" s="17">
        <v>182.60416666666666</v>
      </c>
      <c r="S65" s="17">
        <v>89.075203252032509</v>
      </c>
      <c r="T65" s="17">
        <v>82.653808593749972</v>
      </c>
      <c r="U65" s="17">
        <v>0.90322580645161288</v>
      </c>
      <c r="V65" s="17">
        <v>196.61333333333332</v>
      </c>
      <c r="W65" s="17">
        <v>95.908943089430892</v>
      </c>
      <c r="X65" s="17">
        <v>95.197981770833323</v>
      </c>
      <c r="Y65" s="17">
        <v>8.98</v>
      </c>
    </row>
    <row r="66" spans="1:25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6"/>
      <c r="K66" s="17">
        <v>14</v>
      </c>
      <c r="L66" s="17">
        <v>14</v>
      </c>
      <c r="M66" s="17">
        <v>9.5</v>
      </c>
      <c r="N66" s="17">
        <v>12</v>
      </c>
      <c r="O66" s="17">
        <v>48.5</v>
      </c>
      <c r="P66" s="17">
        <v>192</v>
      </c>
      <c r="Q66" s="17">
        <v>0.6785714285714286</v>
      </c>
      <c r="R66" s="17">
        <v>164.3787878787879</v>
      </c>
      <c r="S66" s="17">
        <v>85.613952020202035</v>
      </c>
      <c r="T66" s="17">
        <v>76.786420910132264</v>
      </c>
      <c r="U66" s="17">
        <v>0.8571428571428571</v>
      </c>
      <c r="V66" s="17">
        <v>183.2456140350877</v>
      </c>
      <c r="W66" s="17">
        <v>95.440423976608187</v>
      </c>
      <c r="X66" s="17">
        <v>93.695062398263673</v>
      </c>
      <c r="Y66" s="17">
        <v>6.35</v>
      </c>
    </row>
    <row r="67" spans="1:25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6"/>
      <c r="K67" s="17">
        <v>15.5</v>
      </c>
      <c r="L67" s="17">
        <v>15.5</v>
      </c>
      <c r="M67" s="17">
        <v>10</v>
      </c>
      <c r="N67" s="17">
        <v>13</v>
      </c>
      <c r="O67" s="17">
        <v>53.4</v>
      </c>
      <c r="P67" s="17">
        <v>200</v>
      </c>
      <c r="Q67" s="17">
        <v>0.64516129032258063</v>
      </c>
      <c r="R67" s="17">
        <v>174.45238095238093</v>
      </c>
      <c r="S67" s="17">
        <v>87.226190476190453</v>
      </c>
      <c r="T67" s="17">
        <v>71.977587539385269</v>
      </c>
      <c r="U67" s="17">
        <v>0.83870967741935487</v>
      </c>
      <c r="V67" s="17">
        <v>188.95185185185181</v>
      </c>
      <c r="W67" s="17">
        <v>94.475925925925907</v>
      </c>
      <c r="X67" s="17">
        <v>89.649257872104315</v>
      </c>
      <c r="Y67" s="17">
        <v>6.34</v>
      </c>
    </row>
    <row r="68" spans="1:25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6"/>
      <c r="K68" s="17">
        <v>11.5</v>
      </c>
      <c r="L68" s="17">
        <v>14</v>
      </c>
      <c r="M68" s="17">
        <v>8.5</v>
      </c>
      <c r="N68" s="17">
        <v>10</v>
      </c>
      <c r="O68" s="17">
        <v>41.435000000000002</v>
      </c>
      <c r="P68" s="17">
        <v>196</v>
      </c>
      <c r="Q68" s="17" t="s">
        <v>34</v>
      </c>
      <c r="R68" s="17">
        <v>179.03666666666663</v>
      </c>
      <c r="S68" s="17">
        <v>91.345238095238088</v>
      </c>
      <c r="T68" s="17">
        <v>87.337918828687464</v>
      </c>
      <c r="U68" s="17" t="s">
        <v>34</v>
      </c>
      <c r="V68" s="17">
        <v>190.31388888888887</v>
      </c>
      <c r="W68" s="17">
        <v>97.098922902494323</v>
      </c>
      <c r="X68" s="17">
        <v>93.843771368810579</v>
      </c>
      <c r="Y68" s="17">
        <v>4.74</v>
      </c>
    </row>
    <row r="69" spans="1:25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6"/>
      <c r="K69" s="17">
        <v>15</v>
      </c>
      <c r="L69" s="17">
        <v>14</v>
      </c>
      <c r="M69" s="17">
        <v>10</v>
      </c>
      <c r="N69" s="17">
        <v>12</v>
      </c>
      <c r="O69" s="17">
        <v>49.5</v>
      </c>
      <c r="P69" s="17">
        <v>180.66666666666666</v>
      </c>
      <c r="Q69" s="17">
        <v>0.7142857142857143</v>
      </c>
      <c r="R69" s="17">
        <v>141.7107843137255</v>
      </c>
      <c r="S69" s="17">
        <v>78.437703494682012</v>
      </c>
      <c r="T69" s="17">
        <v>65.157754010695186</v>
      </c>
      <c r="U69" s="17">
        <v>0.8571428571428571</v>
      </c>
      <c r="V69" s="17">
        <v>162.5245098039216</v>
      </c>
      <c r="W69" s="17">
        <v>89.958215758628199</v>
      </c>
      <c r="X69" s="17">
        <v>82.129233511586435</v>
      </c>
      <c r="Y69" s="17">
        <v>5.75</v>
      </c>
    </row>
    <row r="70" spans="1:25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6"/>
      <c r="K70" s="17">
        <v>13.5</v>
      </c>
      <c r="L70" s="17">
        <v>13</v>
      </c>
      <c r="M70" s="17">
        <v>10</v>
      </c>
      <c r="N70" s="17">
        <v>11.5</v>
      </c>
      <c r="O70" s="17">
        <v>50.4</v>
      </c>
      <c r="P70" s="17">
        <v>189</v>
      </c>
      <c r="Q70" s="17">
        <v>0.76923076923076927</v>
      </c>
      <c r="R70" s="17">
        <v>170.93421052631575</v>
      </c>
      <c r="S70" s="17">
        <v>90.441381230854901</v>
      </c>
      <c r="T70" s="17">
        <v>78.89368160399664</v>
      </c>
      <c r="U70" s="17">
        <v>0.88461538461538458</v>
      </c>
      <c r="V70" s="17">
        <v>182.58</v>
      </c>
      <c r="W70" s="17">
        <v>96.603174603174608</v>
      </c>
      <c r="X70" s="17">
        <v>89.067313045960546</v>
      </c>
      <c r="Y70" s="17">
        <v>9.5299999999999994</v>
      </c>
    </row>
    <row r="71" spans="1:25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6"/>
      <c r="K71" s="17">
        <v>12.5</v>
      </c>
      <c r="L71" s="17">
        <v>12</v>
      </c>
      <c r="M71" s="17">
        <v>9.5</v>
      </c>
      <c r="N71" s="17">
        <v>11</v>
      </c>
      <c r="O71" s="17">
        <v>45.8</v>
      </c>
      <c r="P71" s="17">
        <v>195</v>
      </c>
      <c r="Q71" s="17">
        <v>0.79166666666666663</v>
      </c>
      <c r="R71" s="17">
        <v>175.61261261261265</v>
      </c>
      <c r="S71" s="17">
        <v>90.05775005775007</v>
      </c>
      <c r="T71" s="17">
        <v>95.476120225028524</v>
      </c>
      <c r="U71" s="17">
        <v>0.91666666666666663</v>
      </c>
      <c r="V71" s="17">
        <v>187.70289855072465</v>
      </c>
      <c r="W71" s="17">
        <v>96.257896692679296</v>
      </c>
      <c r="X71" s="17">
        <v>92.837399531675203</v>
      </c>
      <c r="Y71" s="17">
        <v>8.32</v>
      </c>
    </row>
    <row r="72" spans="1:25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6"/>
      <c r="K72" s="17">
        <v>13.5</v>
      </c>
      <c r="L72" s="17">
        <v>13</v>
      </c>
      <c r="M72" s="17">
        <v>10.5</v>
      </c>
      <c r="N72" s="17">
        <v>12</v>
      </c>
      <c r="O72" s="17">
        <v>49.5</v>
      </c>
      <c r="P72" s="17">
        <v>197</v>
      </c>
      <c r="Q72" s="17">
        <v>0.80769230769230771</v>
      </c>
      <c r="R72" s="17">
        <v>176.23118279569891</v>
      </c>
      <c r="S72" s="17">
        <v>89.457453195786258</v>
      </c>
      <c r="T72" s="17">
        <v>83.797762571956099</v>
      </c>
      <c r="U72" s="17">
        <v>0.92307692307692313</v>
      </c>
      <c r="V72" s="17">
        <v>188.90277777777774</v>
      </c>
      <c r="W72" s="17">
        <v>95.889734912577538</v>
      </c>
      <c r="X72" s="17">
        <v>93.598952487841373</v>
      </c>
      <c r="Y72" s="17">
        <v>11.24</v>
      </c>
    </row>
    <row r="73" spans="1:25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6"/>
      <c r="K73" s="17">
        <v>13.5</v>
      </c>
      <c r="L73" s="17">
        <v>13</v>
      </c>
      <c r="M73" s="17">
        <v>10</v>
      </c>
      <c r="N73" s="17">
        <v>11.5</v>
      </c>
      <c r="O73" s="17">
        <v>48.7</v>
      </c>
      <c r="P73" s="17">
        <v>192</v>
      </c>
      <c r="Q73" s="17">
        <v>0.76923076923076927</v>
      </c>
      <c r="R73" s="17">
        <v>177.8947368421052</v>
      </c>
      <c r="S73" s="17">
        <v>92.653508771929793</v>
      </c>
      <c r="T73" s="17">
        <v>76.634965236499866</v>
      </c>
      <c r="U73" s="17">
        <v>0.88461538461538458</v>
      </c>
      <c r="V73" s="17">
        <v>185.51388888888891</v>
      </c>
      <c r="W73" s="17">
        <v>96.621817129629633</v>
      </c>
      <c r="X73" s="17">
        <v>84.540554414784424</v>
      </c>
      <c r="Y73" s="17">
        <v>8.9</v>
      </c>
    </row>
    <row r="74" spans="1:25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6"/>
      <c r="K74" s="17">
        <v>12</v>
      </c>
      <c r="L74" s="17">
        <v>11.5</v>
      </c>
      <c r="M74" s="17">
        <v>8.5</v>
      </c>
      <c r="N74" s="17">
        <v>10</v>
      </c>
      <c r="O74" s="17">
        <v>46.6</v>
      </c>
      <c r="P74" s="17">
        <v>199.83333333333334</v>
      </c>
      <c r="Q74" s="17">
        <v>0.73913043478260865</v>
      </c>
      <c r="R74" s="17">
        <v>177.37962962962965</v>
      </c>
      <c r="S74" s="17">
        <v>88.763784635344265</v>
      </c>
      <c r="T74" s="17">
        <v>76.175290096963906</v>
      </c>
      <c r="U74" s="17">
        <v>0.86956521739130432</v>
      </c>
      <c r="V74" s="17">
        <v>186.72222222222223</v>
      </c>
      <c r="W74" s="17">
        <v>93.438976925215457</v>
      </c>
      <c r="X74" s="17">
        <v>85.51933164594108</v>
      </c>
      <c r="Y74" s="17">
        <v>8.5500000000000007</v>
      </c>
    </row>
    <row r="75" spans="1:25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6"/>
      <c r="K75" s="17">
        <v>12</v>
      </c>
      <c r="L75" s="17">
        <v>11.5</v>
      </c>
      <c r="M75" s="17">
        <v>9</v>
      </c>
      <c r="N75" s="17">
        <v>10.5</v>
      </c>
      <c r="O75" s="17">
        <v>43.8</v>
      </c>
      <c r="P75" s="17">
        <v>201.66666666666666</v>
      </c>
      <c r="Q75" s="17">
        <v>0.78260869565217395</v>
      </c>
      <c r="R75" s="17">
        <v>183.53401360544217</v>
      </c>
      <c r="S75" s="17">
        <v>91.008601787822556</v>
      </c>
      <c r="T75" s="17">
        <v>77.879585624204026</v>
      </c>
      <c r="U75" s="17">
        <v>0.91304347826086951</v>
      </c>
      <c r="V75" s="17">
        <v>191.59302325581396</v>
      </c>
      <c r="W75" s="17">
        <v>95.004804920238342</v>
      </c>
      <c r="X75" s="17">
        <v>92.078687480089229</v>
      </c>
      <c r="Y75" s="17">
        <v>12.34</v>
      </c>
    </row>
    <row r="76" spans="1:25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6"/>
      <c r="K76" s="17">
        <v>13.5</v>
      </c>
      <c r="L76" s="17">
        <v>13.5</v>
      </c>
      <c r="M76" s="17">
        <v>10</v>
      </c>
      <c r="N76" s="17">
        <v>11.5</v>
      </c>
      <c r="O76" s="17">
        <v>50</v>
      </c>
      <c r="P76" s="17">
        <v>202</v>
      </c>
      <c r="Q76" s="17">
        <v>0.7407407407407407</v>
      </c>
      <c r="R76" s="17">
        <v>183.02252252252256</v>
      </c>
      <c r="S76" s="17">
        <v>90.605209169565626</v>
      </c>
      <c r="T76" s="17">
        <v>77.828738738738735</v>
      </c>
      <c r="U76" s="17">
        <v>0.85185185185185186</v>
      </c>
      <c r="V76" s="17">
        <v>192.9430894308943</v>
      </c>
      <c r="W76" s="17">
        <v>95.516380906383304</v>
      </c>
      <c r="X76" s="17">
        <v>89.061382113821168</v>
      </c>
      <c r="Y76" s="17">
        <v>7.15</v>
      </c>
    </row>
    <row r="77" spans="1:25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6"/>
      <c r="K77" s="17">
        <v>16.5</v>
      </c>
      <c r="L77" s="17">
        <v>15.5</v>
      </c>
      <c r="M77" s="17">
        <v>11.5</v>
      </c>
      <c r="N77" s="17">
        <v>14</v>
      </c>
      <c r="O77" s="17">
        <v>51.551666666666669</v>
      </c>
      <c r="P77" s="17">
        <v>192.33333333333334</v>
      </c>
      <c r="Q77" s="17">
        <v>0.74193548387096775</v>
      </c>
      <c r="R77" s="17">
        <v>166.37962962962968</v>
      </c>
      <c r="S77" s="17">
        <v>86.505873290968623</v>
      </c>
      <c r="T77" s="17">
        <v>81.003775428462632</v>
      </c>
      <c r="U77" s="17">
        <v>0.90322580645161288</v>
      </c>
      <c r="V77" s="17">
        <v>179.95495495495496</v>
      </c>
      <c r="W77" s="17">
        <v>93.564101363061496</v>
      </c>
      <c r="X77" s="17">
        <v>90.830942804690821</v>
      </c>
      <c r="Y77" s="17">
        <v>16.5</v>
      </c>
    </row>
    <row r="78" spans="1:25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6"/>
      <c r="K78" s="17">
        <v>14.5</v>
      </c>
      <c r="L78" s="17">
        <v>13.5</v>
      </c>
      <c r="M78" s="17">
        <v>11.5</v>
      </c>
      <c r="N78" s="17">
        <v>13.5</v>
      </c>
      <c r="O78" s="17">
        <v>35.531666666666702</v>
      </c>
      <c r="P78" s="17">
        <v>171</v>
      </c>
      <c r="Q78" s="17" t="s">
        <v>34</v>
      </c>
      <c r="R78" s="17">
        <v>157.36507936507942</v>
      </c>
      <c r="S78" s="17">
        <v>92.026362201800836</v>
      </c>
      <c r="T78" s="17">
        <v>87.686257954563118</v>
      </c>
      <c r="U78" s="17" t="s">
        <v>34</v>
      </c>
      <c r="V78" s="17">
        <v>165.71768707482991</v>
      </c>
      <c r="W78" s="17">
        <v>96.910928113935626</v>
      </c>
      <c r="X78" s="17">
        <v>94.962335982753629</v>
      </c>
      <c r="Y78" s="17">
        <v>8.58</v>
      </c>
    </row>
    <row r="79" spans="1:25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6"/>
      <c r="K79" s="17">
        <v>17</v>
      </c>
      <c r="L79" s="17">
        <v>16.5</v>
      </c>
      <c r="M79" s="17">
        <v>13</v>
      </c>
      <c r="N79" s="17">
        <v>15.5</v>
      </c>
      <c r="O79" s="17">
        <v>64.251666666666665</v>
      </c>
      <c r="P79" s="17">
        <v>192</v>
      </c>
      <c r="Q79" s="17">
        <v>0.78787878787878785</v>
      </c>
      <c r="R79" s="17">
        <v>171.76495726495725</v>
      </c>
      <c r="S79" s="17">
        <v>89.460915242165228</v>
      </c>
      <c r="T79" s="17">
        <v>78.141309979653983</v>
      </c>
      <c r="U79" s="17">
        <v>0.93939393939393945</v>
      </c>
      <c r="V79" s="17">
        <v>185.26587301587301</v>
      </c>
      <c r="W79" s="17">
        <v>96.492642195767189</v>
      </c>
      <c r="X79" s="17">
        <v>92.270103548669624</v>
      </c>
      <c r="Y79" s="17">
        <v>10.9</v>
      </c>
    </row>
    <row r="80" spans="1:25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6"/>
      <c r="K80" s="17">
        <v>14.5</v>
      </c>
      <c r="L80" s="17">
        <v>14.5</v>
      </c>
      <c r="M80" s="17">
        <v>10</v>
      </c>
      <c r="N80" s="17">
        <v>12</v>
      </c>
      <c r="O80" s="17">
        <v>51.2</v>
      </c>
      <c r="P80" s="17">
        <v>175.5</v>
      </c>
      <c r="Q80" s="17">
        <v>0.68965517241379315</v>
      </c>
      <c r="R80" s="17">
        <v>143.63821138211387</v>
      </c>
      <c r="S80" s="17">
        <v>81.845134690663173</v>
      </c>
      <c r="T80" s="17">
        <v>72.863154217479675</v>
      </c>
      <c r="U80" s="17">
        <v>0.82758620689655171</v>
      </c>
      <c r="V80" s="17">
        <v>161.69379844961239</v>
      </c>
      <c r="W80" s="17">
        <v>92.133218489807632</v>
      </c>
      <c r="X80" s="17">
        <v>87.095824249030983</v>
      </c>
      <c r="Y80" s="17">
        <v>7.66</v>
      </c>
    </row>
    <row r="81" spans="1:25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6"/>
      <c r="K81" s="17">
        <v>15.5</v>
      </c>
      <c r="L81" s="17">
        <v>15</v>
      </c>
      <c r="M81" s="17">
        <v>11</v>
      </c>
      <c r="N81" s="17">
        <v>13</v>
      </c>
      <c r="O81" s="17">
        <v>50.8</v>
      </c>
      <c r="P81" s="17">
        <v>195</v>
      </c>
      <c r="Q81" s="17">
        <v>0.73333333333333328</v>
      </c>
      <c r="R81" s="17">
        <v>173.11764705882354</v>
      </c>
      <c r="S81" s="17">
        <v>88.778280542986423</v>
      </c>
      <c r="T81" s="17">
        <v>77.258118470485314</v>
      </c>
      <c r="U81" s="17">
        <v>0.8666666666666667</v>
      </c>
      <c r="V81" s="17">
        <v>186.02564102564099</v>
      </c>
      <c r="W81" s="17">
        <v>95.397764628533835</v>
      </c>
      <c r="X81" s="17">
        <v>89.302253684635559</v>
      </c>
      <c r="Y81" s="17">
        <v>9.49</v>
      </c>
    </row>
    <row r="82" spans="1:25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6"/>
      <c r="K82" s="17">
        <v>16</v>
      </c>
      <c r="L82" s="17">
        <v>15</v>
      </c>
      <c r="M82" s="17">
        <v>11.5</v>
      </c>
      <c r="N82" s="17">
        <v>13.5</v>
      </c>
      <c r="O82" s="17">
        <v>51.99</v>
      </c>
      <c r="P82" s="17">
        <v>193.5</v>
      </c>
      <c r="Q82" s="17">
        <v>0.76666666666666672</v>
      </c>
      <c r="R82" s="17">
        <v>165.92916666666662</v>
      </c>
      <c r="S82" s="17">
        <v>85.75150732127473</v>
      </c>
      <c r="T82" s="17">
        <v>80.329069692889618</v>
      </c>
      <c r="U82" s="17">
        <v>0.9</v>
      </c>
      <c r="V82" s="17">
        <v>179.33333333333337</v>
      </c>
      <c r="W82" s="17">
        <v>92.678725236864778</v>
      </c>
      <c r="X82" s="17">
        <v>91.408909527778505</v>
      </c>
      <c r="Y82" s="17">
        <v>7.95</v>
      </c>
    </row>
    <row r="83" spans="1:25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6"/>
      <c r="K83" s="17">
        <v>15</v>
      </c>
      <c r="L83" s="17">
        <v>14.5</v>
      </c>
      <c r="M83" s="17">
        <v>11.5</v>
      </c>
      <c r="N83" s="17">
        <v>13.5</v>
      </c>
      <c r="O83" s="17">
        <v>51.5</v>
      </c>
      <c r="P83" s="17">
        <v>171</v>
      </c>
      <c r="Q83" s="17">
        <v>0.7931034482758621</v>
      </c>
      <c r="R83" s="17">
        <v>146.06666666666666</v>
      </c>
      <c r="S83" s="17">
        <v>85.419103313840154</v>
      </c>
      <c r="T83" s="17">
        <v>79.45404530744338</v>
      </c>
      <c r="U83" s="17">
        <v>0.93103448275862066</v>
      </c>
      <c r="V83" s="17">
        <v>158.31666666666666</v>
      </c>
      <c r="W83" s="17">
        <v>92.582846003898638</v>
      </c>
      <c r="X83" s="17">
        <v>90.883414239482164</v>
      </c>
      <c r="Y83" s="17">
        <v>11.04</v>
      </c>
    </row>
    <row r="84" spans="1:25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6"/>
      <c r="K84" s="17">
        <v>18</v>
      </c>
      <c r="L84" s="17">
        <v>17.5</v>
      </c>
      <c r="M84" s="17">
        <v>12</v>
      </c>
      <c r="N84" s="17">
        <v>15.5</v>
      </c>
      <c r="O84" s="17">
        <v>56</v>
      </c>
      <c r="P84" s="17">
        <v>191</v>
      </c>
      <c r="Q84" s="17">
        <v>0.68571428571428572</v>
      </c>
      <c r="R84" s="17">
        <v>169.04166666666666</v>
      </c>
      <c r="S84" s="17">
        <v>88.503490401396149</v>
      </c>
      <c r="T84" s="17">
        <v>78.886284722222243</v>
      </c>
      <c r="U84" s="17">
        <v>0.88571428571428568</v>
      </c>
      <c r="V84" s="17">
        <v>177.18787878787876</v>
      </c>
      <c r="W84" s="17">
        <v>92.768522925590972</v>
      </c>
      <c r="X84" s="17">
        <v>90.68517316017315</v>
      </c>
      <c r="Y84" s="17">
        <v>10.35</v>
      </c>
    </row>
    <row r="85" spans="1:25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6"/>
      <c r="K85" s="17">
        <v>17.5</v>
      </c>
      <c r="L85" s="17">
        <v>17.5</v>
      </c>
      <c r="M85" s="17">
        <v>12.5</v>
      </c>
      <c r="N85" s="17">
        <v>15</v>
      </c>
      <c r="O85" s="17">
        <v>52</v>
      </c>
      <c r="P85" s="17">
        <v>195.833333333333</v>
      </c>
      <c r="Q85" s="17">
        <v>0.7142857142857143</v>
      </c>
      <c r="R85" s="17">
        <v>164.2764227642277</v>
      </c>
      <c r="S85" s="17">
        <v>83.885832900882377</v>
      </c>
      <c r="T85" s="17">
        <v>81.012664165103175</v>
      </c>
      <c r="U85" s="17">
        <v>0.8571428571428571</v>
      </c>
      <c r="V85" s="17">
        <v>179.4795918367347</v>
      </c>
      <c r="W85" s="17">
        <v>91.649153278332761</v>
      </c>
      <c r="X85" s="17">
        <v>90.128139717425455</v>
      </c>
      <c r="Y85" s="17">
        <v>9.43</v>
      </c>
    </row>
    <row r="86" spans="1:25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6"/>
      <c r="K86" s="17">
        <v>15.5</v>
      </c>
      <c r="L86" s="17">
        <v>15</v>
      </c>
      <c r="M86" s="17">
        <v>11</v>
      </c>
      <c r="N86" s="17">
        <v>13</v>
      </c>
      <c r="O86" s="17">
        <v>43.2</v>
      </c>
      <c r="P86" s="17">
        <v>206.5</v>
      </c>
      <c r="Q86" s="17">
        <v>0.73333333333333328</v>
      </c>
      <c r="R86" s="17">
        <v>188.51612903225808</v>
      </c>
      <c r="S86" s="17">
        <v>91.291103647582602</v>
      </c>
      <c r="T86" s="17">
        <v>87.496453106332126</v>
      </c>
      <c r="U86" s="17">
        <v>0.8666666666666667</v>
      </c>
      <c r="V86" s="17">
        <v>194.84027777777774</v>
      </c>
      <c r="W86" s="17">
        <v>94.353645412967424</v>
      </c>
      <c r="X86" s="17">
        <v>96.155156893004076</v>
      </c>
      <c r="Y86" s="17">
        <v>11.98</v>
      </c>
    </row>
    <row r="87" spans="1:25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6"/>
      <c r="K87" s="17">
        <v>16</v>
      </c>
      <c r="L87" s="17">
        <v>15.5</v>
      </c>
      <c r="M87" s="17">
        <v>12</v>
      </c>
      <c r="N87" s="17">
        <v>14</v>
      </c>
      <c r="O87" s="17">
        <v>55</v>
      </c>
      <c r="P87" s="17">
        <v>188.83333333333334</v>
      </c>
      <c r="Q87" s="17">
        <v>0.77419354838709675</v>
      </c>
      <c r="R87" s="17">
        <v>169.86111111111114</v>
      </c>
      <c r="S87" s="17">
        <v>89.952927331568119</v>
      </c>
      <c r="T87" s="17">
        <v>83.744646464646436</v>
      </c>
      <c r="U87" s="17">
        <v>0.90322580645161288</v>
      </c>
      <c r="V87" s="17">
        <v>176.83962264150944</v>
      </c>
      <c r="W87" s="17">
        <v>93.648520375027061</v>
      </c>
      <c r="X87" s="17">
        <v>89.918753573470553</v>
      </c>
      <c r="Y87" s="17">
        <v>9.2200000000000006</v>
      </c>
    </row>
    <row r="88" spans="1:25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6"/>
      <c r="K88" s="17">
        <v>17</v>
      </c>
      <c r="L88" s="17">
        <v>16.5</v>
      </c>
      <c r="M88" s="17">
        <v>13</v>
      </c>
      <c r="N88" s="17">
        <v>15</v>
      </c>
      <c r="O88" s="17">
        <v>53.3</v>
      </c>
      <c r="P88" s="17">
        <v>196.83333333333334</v>
      </c>
      <c r="Q88" s="17">
        <v>0.78787878787878785</v>
      </c>
      <c r="R88" s="17">
        <v>173.75988700564969</v>
      </c>
      <c r="S88" s="17">
        <v>88.277673330558684</v>
      </c>
      <c r="T88" s="17">
        <v>78.761779078025455</v>
      </c>
      <c r="U88" s="17">
        <v>0.90909090909090906</v>
      </c>
      <c r="V88" s="17">
        <v>184.8</v>
      </c>
      <c r="W88" s="17">
        <v>93.88653683319221</v>
      </c>
      <c r="X88" s="17">
        <v>89.282003175061334</v>
      </c>
      <c r="Y88" s="17">
        <v>7.96</v>
      </c>
    </row>
    <row r="89" spans="1:25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6"/>
      <c r="K89" s="17">
        <v>15</v>
      </c>
      <c r="L89" s="17">
        <v>14.5</v>
      </c>
      <c r="M89" s="17">
        <v>11</v>
      </c>
      <c r="N89" s="17">
        <v>13.5</v>
      </c>
      <c r="O89" s="17">
        <v>47.7</v>
      </c>
      <c r="P89" s="17">
        <v>173.33333333333334</v>
      </c>
      <c r="Q89" s="17">
        <v>0.75862068965517238</v>
      </c>
      <c r="R89" s="17">
        <v>150.68627450980392</v>
      </c>
      <c r="S89" s="17">
        <v>86.934389140271492</v>
      </c>
      <c r="T89" s="17">
        <v>69.802003261122749</v>
      </c>
      <c r="U89" s="17">
        <v>0.93103448275862066</v>
      </c>
      <c r="V89" s="17">
        <v>164.72727272727272</v>
      </c>
      <c r="W89" s="17">
        <v>95.034965034965026</v>
      </c>
      <c r="X89" s="17">
        <v>87.338542659297374</v>
      </c>
      <c r="Y89" s="17">
        <v>8.41</v>
      </c>
    </row>
    <row r="90" spans="1:25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6"/>
      <c r="K90" s="17">
        <v>11.5</v>
      </c>
      <c r="L90" s="17">
        <v>11</v>
      </c>
      <c r="M90" s="17">
        <v>8.5</v>
      </c>
      <c r="N90" s="17">
        <v>10</v>
      </c>
      <c r="O90" s="17">
        <v>40.200000000000003</v>
      </c>
      <c r="P90" s="17">
        <v>189</v>
      </c>
      <c r="Q90" s="17">
        <v>0.77272727272727271</v>
      </c>
      <c r="R90" s="17">
        <v>171.68560606060606</v>
      </c>
      <c r="S90" s="17">
        <v>90.838945005611677</v>
      </c>
      <c r="T90" s="17">
        <v>84.740219357756658</v>
      </c>
      <c r="U90" s="17">
        <v>0.90909090909090906</v>
      </c>
      <c r="V90" s="17">
        <v>179.33333333333334</v>
      </c>
      <c r="W90" s="17">
        <v>94.885361552028229</v>
      </c>
      <c r="X90" s="17">
        <v>93.788695411829721</v>
      </c>
      <c r="Y90" s="17">
        <v>8.9700000000000006</v>
      </c>
    </row>
    <row r="91" spans="1:25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6"/>
      <c r="K91" s="17">
        <v>17.5</v>
      </c>
      <c r="L91" s="17">
        <v>17</v>
      </c>
      <c r="M91" s="17">
        <v>11.5</v>
      </c>
      <c r="N91" s="17">
        <v>14.5</v>
      </c>
      <c r="O91" s="17">
        <v>51.7</v>
      </c>
      <c r="P91" s="17">
        <v>186.33333333333334</v>
      </c>
      <c r="Q91" s="17">
        <v>0.67647058823529416</v>
      </c>
      <c r="R91" s="17">
        <v>182.65740740740739</v>
      </c>
      <c r="S91" s="17">
        <v>98.027231166766029</v>
      </c>
      <c r="T91" s="17">
        <v>74.942241564581977</v>
      </c>
      <c r="U91" s="17">
        <v>0.8529411764705882</v>
      </c>
      <c r="V91" s="17">
        <v>114.60526315789474</v>
      </c>
      <c r="W91" s="17">
        <v>61.505507955936345</v>
      </c>
      <c r="X91" s="17">
        <v>90.183582747972437</v>
      </c>
      <c r="Y91" s="17">
        <v>9.69</v>
      </c>
    </row>
    <row r="92" spans="1:25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6"/>
      <c r="K92" s="17">
        <v>12</v>
      </c>
      <c r="L92" s="17">
        <v>11.5</v>
      </c>
      <c r="M92" s="17">
        <v>8.5</v>
      </c>
      <c r="N92" s="17">
        <v>11</v>
      </c>
      <c r="O92" s="17">
        <v>39.299999999999997</v>
      </c>
      <c r="P92" s="17">
        <v>193</v>
      </c>
      <c r="Q92" s="17">
        <v>0.73913043478260865</v>
      </c>
      <c r="R92" s="17">
        <v>165.56756756756752</v>
      </c>
      <c r="S92" s="17">
        <v>85.786304439154165</v>
      </c>
      <c r="T92" s="17">
        <v>76.444536139192635</v>
      </c>
      <c r="U92" s="17">
        <v>0.95652173913043481</v>
      </c>
      <c r="V92" s="17">
        <v>186.06666666666666</v>
      </c>
      <c r="W92" s="17">
        <v>96.407599309153724</v>
      </c>
      <c r="X92" s="17">
        <v>95.845737913485976</v>
      </c>
      <c r="Y92" s="17">
        <v>7.96</v>
      </c>
    </row>
    <row r="93" spans="1:25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6"/>
    </row>
    <row r="94" spans="1:25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6"/>
      <c r="K94" s="17">
        <v>12</v>
      </c>
      <c r="L94" s="17">
        <v>11.5</v>
      </c>
      <c r="M94" s="17">
        <v>8.5</v>
      </c>
      <c r="N94" s="17">
        <v>10.5</v>
      </c>
      <c r="O94" s="17">
        <v>42.7</v>
      </c>
      <c r="P94" s="17">
        <v>185.16666666666666</v>
      </c>
      <c r="Q94" s="17">
        <v>0.73913043478260865</v>
      </c>
      <c r="R94" s="17">
        <v>154.11538461538461</v>
      </c>
      <c r="S94" s="17">
        <v>83.230630755383231</v>
      </c>
      <c r="T94" s="17">
        <v>76.057367040973602</v>
      </c>
      <c r="U94" s="17">
        <v>0.91304347826086951</v>
      </c>
      <c r="V94" s="17">
        <v>172.2971014492754</v>
      </c>
      <c r="W94" s="17">
        <v>93.049739756584373</v>
      </c>
      <c r="X94" s="17">
        <v>88.788141058276466</v>
      </c>
      <c r="Y94" s="17">
        <v>9.49</v>
      </c>
    </row>
    <row r="95" spans="1:25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6"/>
      <c r="K95" s="17">
        <v>13</v>
      </c>
      <c r="L95" s="17">
        <v>12.5</v>
      </c>
      <c r="M95" s="17">
        <v>9.5</v>
      </c>
      <c r="N95" s="17">
        <v>11</v>
      </c>
      <c r="O95" s="17">
        <v>46.15</v>
      </c>
      <c r="P95" s="17">
        <v>177.16666666666666</v>
      </c>
      <c r="Q95" s="17">
        <v>0.76</v>
      </c>
      <c r="R95" s="17">
        <v>153.6759259259259</v>
      </c>
      <c r="S95" s="17">
        <v>86.740880108707003</v>
      </c>
      <c r="T95" s="17">
        <v>75.960234340516052</v>
      </c>
      <c r="U95" s="17">
        <v>0.88</v>
      </c>
      <c r="V95" s="17">
        <v>166.70987654320984</v>
      </c>
      <c r="W95" s="17">
        <v>94.097766628340452</v>
      </c>
      <c r="X95" s="17">
        <v>85.233738614020311</v>
      </c>
      <c r="Y95" s="17">
        <v>9.3000000000000007</v>
      </c>
    </row>
    <row r="96" spans="1:25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6"/>
      <c r="K96" s="17">
        <v>13</v>
      </c>
      <c r="L96" s="17">
        <v>12.5</v>
      </c>
      <c r="M96" s="17">
        <v>9</v>
      </c>
      <c r="N96" s="17">
        <v>11</v>
      </c>
      <c r="O96" s="17">
        <v>42</v>
      </c>
      <c r="P96" s="17">
        <v>184.66666666666666</v>
      </c>
      <c r="Q96" s="17">
        <v>0.72</v>
      </c>
      <c r="R96" s="17">
        <v>154.84693877551021</v>
      </c>
      <c r="S96" s="17">
        <v>83.852132910926116</v>
      </c>
      <c r="T96" s="17">
        <v>79.406381600259166</v>
      </c>
      <c r="U96" s="17">
        <v>0.88</v>
      </c>
      <c r="V96" s="17">
        <v>171.29999999999995</v>
      </c>
      <c r="W96" s="17">
        <v>92.761732851985542</v>
      </c>
      <c r="X96" s="17">
        <v>94.690548340548332</v>
      </c>
      <c r="Y96" s="17">
        <v>9.5</v>
      </c>
    </row>
    <row r="97" spans="1:25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6"/>
      <c r="K97" s="17">
        <v>13.5</v>
      </c>
      <c r="L97" s="17">
        <v>12.5</v>
      </c>
      <c r="M97" s="17">
        <v>9</v>
      </c>
      <c r="N97" s="17">
        <v>11</v>
      </c>
      <c r="O97" s="17">
        <v>46.3</v>
      </c>
      <c r="P97" s="17">
        <v>202.33333333333334</v>
      </c>
      <c r="Q97" s="17">
        <v>0.72</v>
      </c>
      <c r="R97" s="17">
        <v>173.83333333333334</v>
      </c>
      <c r="S97" s="17">
        <v>85.914332784184523</v>
      </c>
      <c r="T97" s="17">
        <v>75.176585873130136</v>
      </c>
      <c r="U97" s="17">
        <v>0.88</v>
      </c>
      <c r="V97" s="17">
        <v>191.27642276422762</v>
      </c>
      <c r="W97" s="17">
        <v>94.53529955398399</v>
      </c>
      <c r="X97" s="17">
        <v>88.229117280373657</v>
      </c>
      <c r="Y97" s="17">
        <v>6.53</v>
      </c>
    </row>
    <row r="98" spans="1:25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6"/>
      <c r="K98" s="17">
        <v>19</v>
      </c>
      <c r="L98" s="17">
        <v>18</v>
      </c>
      <c r="M98" s="17">
        <v>12</v>
      </c>
      <c r="N98" s="17">
        <v>16</v>
      </c>
      <c r="O98" s="17">
        <v>64.5</v>
      </c>
      <c r="P98" s="17">
        <v>201.33333333333334</v>
      </c>
      <c r="Q98" s="17">
        <v>0.66666666666666663</v>
      </c>
      <c r="R98" s="17">
        <v>168.97435897435895</v>
      </c>
      <c r="S98" s="17">
        <v>83.927661742231265</v>
      </c>
      <c r="T98" s="17">
        <v>73.415523752733066</v>
      </c>
      <c r="U98" s="17">
        <v>0.88888888888888884</v>
      </c>
      <c r="V98" s="17">
        <v>187.98717948717945</v>
      </c>
      <c r="W98" s="17">
        <v>93.371115639327542</v>
      </c>
      <c r="X98" s="17">
        <v>88.7976545418406</v>
      </c>
      <c r="Y98" s="17">
        <v>14.39</v>
      </c>
    </row>
    <row r="99" spans="1:25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6"/>
      <c r="K99" s="17">
        <v>18</v>
      </c>
      <c r="L99" s="17">
        <v>17.5</v>
      </c>
      <c r="M99" s="17">
        <v>12.5</v>
      </c>
      <c r="N99" s="17">
        <v>15.5</v>
      </c>
      <c r="O99" s="17">
        <v>57.4</v>
      </c>
      <c r="P99" s="17">
        <v>175.83333333333334</v>
      </c>
      <c r="Q99" s="17">
        <v>0.7142857142857143</v>
      </c>
      <c r="R99" s="17">
        <v>146.73529411764704</v>
      </c>
      <c r="S99" s="17">
        <v>83.451352104822959</v>
      </c>
      <c r="T99" s="17">
        <v>78.836766413882629</v>
      </c>
      <c r="U99" s="17">
        <v>0.88571428571428568</v>
      </c>
      <c r="V99" s="17">
        <v>160.16666666666666</v>
      </c>
      <c r="W99" s="17">
        <v>91.090047393364927</v>
      </c>
      <c r="X99" s="17">
        <v>88.541811846689882</v>
      </c>
      <c r="Y99" s="17">
        <v>14.08</v>
      </c>
    </row>
    <row r="100" spans="1:25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66"/>
      <c r="K100" s="17">
        <v>14.5</v>
      </c>
      <c r="L100" s="17">
        <v>14</v>
      </c>
      <c r="M100" s="17">
        <v>11</v>
      </c>
      <c r="N100" s="17">
        <v>13</v>
      </c>
      <c r="O100" s="17">
        <v>48.860000000000007</v>
      </c>
      <c r="P100" s="17">
        <v>204</v>
      </c>
      <c r="Q100" s="17">
        <v>0.72</v>
      </c>
      <c r="R100" s="17">
        <v>184.28968253968253</v>
      </c>
      <c r="S100" s="17">
        <v>90.338079676314976</v>
      </c>
      <c r="T100" s="17">
        <v>84.778261830042425</v>
      </c>
      <c r="U100" s="17">
        <v>0.88</v>
      </c>
      <c r="V100" s="17">
        <v>193.79629629629628</v>
      </c>
      <c r="W100" s="17">
        <v>94.998184458968765</v>
      </c>
      <c r="X100" s="17">
        <v>96.919315959430563</v>
      </c>
      <c r="Y100" s="17">
        <v>6.82</v>
      </c>
    </row>
    <row r="101" spans="1:25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6"/>
    </row>
    <row r="102" spans="1:25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6"/>
    </row>
    <row r="103" spans="1:25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6"/>
    </row>
    <row r="104" spans="1:25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6"/>
    </row>
    <row r="105" spans="1:25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6"/>
    </row>
    <row r="106" spans="1:25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6"/>
    </row>
    <row r="107" spans="1:25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6" t="s">
        <v>143</v>
      </c>
    </row>
    <row r="108" spans="1:25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6"/>
    </row>
    <row r="109" spans="1:25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6"/>
    </row>
    <row r="110" spans="1:25" x14ac:dyDescent="0.25">
      <c r="J110" s="66"/>
    </row>
    <row r="111" spans="1:25" x14ac:dyDescent="0.25">
      <c r="J111" s="66"/>
    </row>
    <row r="112" spans="1:25" x14ac:dyDescent="0.25">
      <c r="J112" s="66"/>
    </row>
    <row r="113" spans="10:10" x14ac:dyDescent="0.25">
      <c r="J113" s="66"/>
    </row>
    <row r="114" spans="10:10" x14ac:dyDescent="0.25">
      <c r="J114" s="66"/>
    </row>
    <row r="115" spans="10:10" x14ac:dyDescent="0.25">
      <c r="J115" s="66"/>
    </row>
    <row r="116" spans="10:10" x14ac:dyDescent="0.25">
      <c r="J116" s="66"/>
    </row>
    <row r="117" spans="10:10" x14ac:dyDescent="0.25">
      <c r="J117" s="66"/>
    </row>
    <row r="118" spans="10:10" x14ac:dyDescent="0.25">
      <c r="J118" s="66"/>
    </row>
    <row r="119" spans="10:10" x14ac:dyDescent="0.25">
      <c r="J119" s="66"/>
    </row>
    <row r="120" spans="10:10" x14ac:dyDescent="0.25">
      <c r="J120" s="66"/>
    </row>
    <row r="121" spans="10:10" x14ac:dyDescent="0.25">
      <c r="J121" s="66"/>
    </row>
    <row r="122" spans="10:10" x14ac:dyDescent="0.25">
      <c r="J122" s="66"/>
    </row>
    <row r="123" spans="10:10" x14ac:dyDescent="0.25">
      <c r="J123" s="66"/>
    </row>
    <row r="124" spans="10:10" x14ac:dyDescent="0.25">
      <c r="J124" s="66"/>
    </row>
    <row r="125" spans="10:10" x14ac:dyDescent="0.25">
      <c r="J125" s="66"/>
    </row>
    <row r="126" spans="10:10" x14ac:dyDescent="0.25">
      <c r="J126" s="66"/>
    </row>
    <row r="127" spans="10:10" x14ac:dyDescent="0.25">
      <c r="J127" s="66"/>
    </row>
    <row r="128" spans="10:10" x14ac:dyDescent="0.25">
      <c r="J128" s="66"/>
    </row>
    <row r="129" spans="10:10" x14ac:dyDescent="0.25">
      <c r="J129" s="66"/>
    </row>
    <row r="130" spans="10:10" x14ac:dyDescent="0.25">
      <c r="J130" s="66"/>
    </row>
    <row r="131" spans="10:10" x14ac:dyDescent="0.25">
      <c r="J131" s="66"/>
    </row>
    <row r="132" spans="10:10" x14ac:dyDescent="0.25">
      <c r="J132" s="66"/>
    </row>
    <row r="133" spans="10:10" x14ac:dyDescent="0.25">
      <c r="J133" s="66"/>
    </row>
    <row r="134" spans="10:10" x14ac:dyDescent="0.25">
      <c r="J134" s="66"/>
    </row>
    <row r="135" spans="10:10" x14ac:dyDescent="0.25">
      <c r="J135" s="66"/>
    </row>
    <row r="136" spans="10:10" x14ac:dyDescent="0.25">
      <c r="J136" s="66"/>
    </row>
    <row r="137" spans="10:10" x14ac:dyDescent="0.25">
      <c r="J137" s="66"/>
    </row>
    <row r="138" spans="10:10" x14ac:dyDescent="0.25">
      <c r="J138" s="66"/>
    </row>
    <row r="139" spans="10:10" x14ac:dyDescent="0.25">
      <c r="J139" s="66"/>
    </row>
    <row r="140" spans="10:10" x14ac:dyDescent="0.25">
      <c r="J140" s="66"/>
    </row>
    <row r="141" spans="10:10" x14ac:dyDescent="0.25">
      <c r="J141" s="66"/>
    </row>
    <row r="142" spans="10:10" x14ac:dyDescent="0.25">
      <c r="J142" s="66"/>
    </row>
    <row r="143" spans="10:10" x14ac:dyDescent="0.25">
      <c r="J143" s="66"/>
    </row>
    <row r="144" spans="10:10" x14ac:dyDescent="0.25">
      <c r="J144" s="66"/>
    </row>
    <row r="145" spans="10:10" x14ac:dyDescent="0.25">
      <c r="J145" s="66"/>
    </row>
    <row r="146" spans="10:10" x14ac:dyDescent="0.25">
      <c r="J146" s="66"/>
    </row>
    <row r="147" spans="10:10" x14ac:dyDescent="0.25">
      <c r="J147" s="66"/>
    </row>
    <row r="148" spans="10:10" x14ac:dyDescent="0.25">
      <c r="J148" s="66"/>
    </row>
    <row r="149" spans="10:10" x14ac:dyDescent="0.25">
      <c r="J149" s="66"/>
    </row>
    <row r="150" spans="10:10" x14ac:dyDescent="0.25">
      <c r="J150" s="66"/>
    </row>
    <row r="151" spans="10:10" x14ac:dyDescent="0.25">
      <c r="J151" s="66"/>
    </row>
    <row r="152" spans="10:10" x14ac:dyDescent="0.25">
      <c r="J152" s="66"/>
    </row>
    <row r="153" spans="10:10" x14ac:dyDescent="0.25">
      <c r="J153" s="66"/>
    </row>
    <row r="154" spans="10:10" x14ac:dyDescent="0.25">
      <c r="J154" s="66"/>
    </row>
  </sheetData>
  <mergeCells count="3">
    <mergeCell ref="J1:J58"/>
    <mergeCell ref="J59:J106"/>
    <mergeCell ref="J107:J1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C464-1A26-462C-8A3C-8AADDFA26FFE}">
  <sheetPr codeName="Feuil11"/>
  <dimension ref="A1:BJ148"/>
  <sheetViews>
    <sheetView zoomScale="55" zoomScaleNormal="55" workbookViewId="0">
      <pane ySplit="1" topLeftCell="A65" activePane="bottomLeft" state="frozen"/>
      <selection pane="bottomLeft" activeCell="A101" sqref="A101:I109"/>
    </sheetView>
  </sheetViews>
  <sheetFormatPr baseColWidth="10" defaultColWidth="11.42578125" defaultRowHeight="15" x14ac:dyDescent="0.25"/>
  <cols>
    <col min="1" max="1" width="16.42578125" style="8" bestFit="1" customWidth="1"/>
    <col min="2" max="2" width="13.7109375" style="8" bestFit="1" customWidth="1"/>
    <col min="3" max="3" width="13.140625" style="8" bestFit="1" customWidth="1"/>
    <col min="4" max="4" width="17.28515625" style="8" bestFit="1" customWidth="1"/>
    <col min="5" max="5" width="17.85546875" style="8" bestFit="1" customWidth="1"/>
    <col min="6" max="6" width="16.42578125" style="8" bestFit="1" customWidth="1"/>
    <col min="7" max="7" width="13.85546875" style="8" bestFit="1" customWidth="1"/>
    <col min="8" max="8" width="6.42578125" style="8" bestFit="1" customWidth="1"/>
    <col min="9" max="9" width="16.42578125" style="8" bestFit="1" customWidth="1"/>
    <col min="10" max="10" width="12.85546875" style="8" bestFit="1" customWidth="1"/>
    <col min="11" max="11" width="10.85546875" style="8" customWidth="1"/>
    <col min="12" max="12" width="19.140625" style="8" bestFit="1" customWidth="1"/>
    <col min="13" max="13" width="16.28515625" style="8" bestFit="1" customWidth="1"/>
    <col min="14" max="14" width="15.140625" style="8" bestFit="1" customWidth="1"/>
    <col min="15" max="15" width="15" style="8" bestFit="1" customWidth="1"/>
    <col min="16" max="16" width="19.140625" style="8" bestFit="1" customWidth="1"/>
    <col min="17" max="17" width="16.42578125" style="8" bestFit="1" customWidth="1"/>
    <col min="18" max="19" width="19.42578125" style="8" bestFit="1" customWidth="1"/>
    <col min="20" max="20" width="19.85546875" style="8" bestFit="1" customWidth="1"/>
    <col min="21" max="22" width="18.42578125" style="8" bestFit="1" customWidth="1"/>
    <col min="23" max="23" width="15.140625" style="8" bestFit="1" customWidth="1"/>
    <col min="24" max="24" width="17" style="8" bestFit="1" customWidth="1"/>
    <col min="25" max="26" width="15.140625" style="8" bestFit="1" customWidth="1"/>
    <col min="27" max="27" width="18" style="8" bestFit="1" customWidth="1"/>
    <col min="28" max="28" width="18.28515625" style="8" bestFit="1" customWidth="1"/>
    <col min="29" max="30" width="15.140625" style="8" bestFit="1" customWidth="1"/>
    <col min="31" max="31" width="21.140625" style="8" bestFit="1" customWidth="1"/>
    <col min="32" max="32" width="20.28515625" style="8" bestFit="1" customWidth="1"/>
    <col min="33" max="33" width="20.42578125" style="8" bestFit="1" customWidth="1"/>
    <col min="34" max="34" width="19.85546875" style="8" bestFit="1" customWidth="1"/>
    <col min="35" max="35" width="20.85546875" style="8" bestFit="1" customWidth="1"/>
    <col min="36" max="36" width="20" style="8" bestFit="1" customWidth="1"/>
    <col min="37" max="37" width="19.42578125" style="8" customWidth="1"/>
    <col min="38" max="38" width="25" style="8" bestFit="1" customWidth="1"/>
    <col min="39" max="39" width="15.7109375" style="8" bestFit="1" customWidth="1"/>
    <col min="40" max="40" width="16.7109375" style="8" bestFit="1" customWidth="1"/>
    <col min="41" max="42" width="15.140625" style="8" bestFit="1" customWidth="1"/>
    <col min="43" max="43" width="16.7109375" style="8" bestFit="1" customWidth="1"/>
    <col min="44" max="44" width="15.140625" style="8" bestFit="1" customWidth="1"/>
    <col min="45" max="45" width="15" style="8" bestFit="1" customWidth="1"/>
    <col min="46" max="46" width="16.7109375" style="8" bestFit="1" customWidth="1"/>
    <col min="47" max="47" width="15.140625" style="8" bestFit="1" customWidth="1"/>
    <col min="48" max="48" width="16.42578125" style="8" bestFit="1" customWidth="1"/>
    <col min="49" max="50" width="17.85546875" style="8" bestFit="1" customWidth="1"/>
    <col min="51" max="52" width="18" style="8" bestFit="1" customWidth="1"/>
    <col min="53" max="53" width="18.28515625" style="8" bestFit="1" customWidth="1"/>
    <col min="54" max="54" width="19" style="8" bestFit="1" customWidth="1"/>
    <col min="55" max="55" width="17.42578125" style="8" bestFit="1" customWidth="1"/>
    <col min="56" max="56" width="18.28515625" style="8" bestFit="1" customWidth="1"/>
    <col min="57" max="57" width="19" style="8" bestFit="1" customWidth="1"/>
    <col min="58" max="58" width="17.28515625" style="8" bestFit="1" customWidth="1"/>
    <col min="59" max="59" width="11.42578125" style="8" bestFit="1" customWidth="1"/>
    <col min="60" max="60" width="13.42578125" style="8" bestFit="1" customWidth="1"/>
    <col min="61" max="186" width="11.42578125" style="8" bestFit="1" customWidth="1"/>
    <col min="187" max="16384" width="11.42578125" style="8"/>
  </cols>
  <sheetData>
    <row r="1" spans="1:62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67" t="s">
        <v>156</v>
      </c>
      <c r="K1" s="51" t="s">
        <v>157</v>
      </c>
      <c r="L1" s="51" t="s">
        <v>24</v>
      </c>
      <c r="M1" s="51" t="s">
        <v>158</v>
      </c>
      <c r="N1" s="51" t="s">
        <v>25</v>
      </c>
      <c r="O1" s="51" t="s">
        <v>159</v>
      </c>
      <c r="P1" s="51" t="s">
        <v>142</v>
      </c>
      <c r="Q1" s="51" t="s">
        <v>160</v>
      </c>
      <c r="R1" s="51" t="s">
        <v>161</v>
      </c>
      <c r="S1" s="51" t="s">
        <v>162</v>
      </c>
      <c r="T1" s="51" t="s">
        <v>163</v>
      </c>
      <c r="U1" s="51" t="s">
        <v>164</v>
      </c>
      <c r="V1" s="51" t="s">
        <v>165</v>
      </c>
      <c r="W1" s="51" t="s">
        <v>166</v>
      </c>
      <c r="X1" s="51" t="s">
        <v>167</v>
      </c>
      <c r="Y1" s="51" t="s">
        <v>168</v>
      </c>
      <c r="Z1" s="51" t="s">
        <v>169</v>
      </c>
      <c r="AA1" s="51" t="s">
        <v>170</v>
      </c>
      <c r="AB1" s="51" t="s">
        <v>171</v>
      </c>
      <c r="AC1" s="51" t="s">
        <v>172</v>
      </c>
      <c r="AD1" s="51" t="s">
        <v>173</v>
      </c>
      <c r="AE1" s="51" t="s">
        <v>174</v>
      </c>
      <c r="AF1" s="51" t="s">
        <v>175</v>
      </c>
      <c r="AG1" s="51" t="s">
        <v>176</v>
      </c>
      <c r="AH1" s="51" t="s">
        <v>177</v>
      </c>
      <c r="AI1" s="51" t="s">
        <v>178</v>
      </c>
      <c r="AJ1" s="51" t="s">
        <v>179</v>
      </c>
      <c r="AK1" s="51" t="s">
        <v>456</v>
      </c>
      <c r="AL1" s="51" t="s">
        <v>180</v>
      </c>
      <c r="AM1" s="51" t="s">
        <v>181</v>
      </c>
      <c r="AN1" s="51" t="s">
        <v>182</v>
      </c>
      <c r="AO1" s="51" t="s">
        <v>183</v>
      </c>
      <c r="AP1" s="51" t="s">
        <v>184</v>
      </c>
      <c r="AQ1" s="51" t="s">
        <v>185</v>
      </c>
      <c r="AR1" s="51" t="s">
        <v>186</v>
      </c>
      <c r="AS1" s="51" t="s">
        <v>187</v>
      </c>
      <c r="AT1" s="51" t="s">
        <v>188</v>
      </c>
      <c r="AU1" s="51" t="s">
        <v>189</v>
      </c>
      <c r="AV1" s="51" t="s">
        <v>190</v>
      </c>
      <c r="AW1" s="51" t="s">
        <v>191</v>
      </c>
      <c r="AX1" s="51" t="s">
        <v>192</v>
      </c>
      <c r="AY1" s="51" t="s">
        <v>193</v>
      </c>
      <c r="AZ1" s="51" t="s">
        <v>194</v>
      </c>
      <c r="BA1" s="51" t="s">
        <v>195</v>
      </c>
      <c r="BB1" s="51" t="s">
        <v>196</v>
      </c>
      <c r="BC1" s="51" t="s">
        <v>127</v>
      </c>
      <c r="BD1" s="51" t="s">
        <v>197</v>
      </c>
      <c r="BE1" s="51" t="s">
        <v>198</v>
      </c>
      <c r="BF1" s="51" t="s">
        <v>126</v>
      </c>
      <c r="BG1" s="19" t="s">
        <v>457</v>
      </c>
      <c r="BH1" s="19" t="s">
        <v>458</v>
      </c>
      <c r="BI1" s="19" t="s">
        <v>459</v>
      </c>
      <c r="BJ1" s="19" t="s">
        <v>460</v>
      </c>
    </row>
    <row r="2" spans="1:62" ht="15.75" x14ac:dyDescent="0.25">
      <c r="A2" s="10">
        <v>1</v>
      </c>
      <c r="B2" s="3" t="s">
        <v>30</v>
      </c>
      <c r="C2" s="3" t="s">
        <v>31</v>
      </c>
      <c r="D2" s="6">
        <v>81.599999999999994</v>
      </c>
      <c r="E2" s="6">
        <v>192</v>
      </c>
      <c r="F2" s="6">
        <v>33</v>
      </c>
      <c r="G2" s="11" t="s">
        <v>32</v>
      </c>
      <c r="H2" s="11" t="s">
        <v>33</v>
      </c>
      <c r="I2" s="12">
        <v>25</v>
      </c>
      <c r="J2" s="67"/>
      <c r="K2" s="19">
        <v>0.92925752676347007</v>
      </c>
      <c r="L2" s="19">
        <v>1970.1468761098322</v>
      </c>
      <c r="M2" s="19">
        <v>24.026181415973564</v>
      </c>
      <c r="N2" s="19">
        <v>2.5945105295792414</v>
      </c>
      <c r="O2" s="19">
        <v>1.1912740083243976</v>
      </c>
      <c r="P2" s="19">
        <v>1277.8917037211522</v>
      </c>
      <c r="Q2" s="19">
        <v>15.584045167331125</v>
      </c>
      <c r="R2" s="19">
        <v>1034.8245194310825</v>
      </c>
      <c r="S2" s="19">
        <v>1034.8245194310825</v>
      </c>
      <c r="T2" s="19">
        <v>1393.0310675881844</v>
      </c>
      <c r="U2" s="19">
        <v>989.35078726342579</v>
      </c>
      <c r="V2" s="19">
        <v>1026.6907811803364</v>
      </c>
      <c r="W2" s="19">
        <v>3.7741915605277176E-2</v>
      </c>
      <c r="X2" s="19">
        <v>2.5081251450083402</v>
      </c>
      <c r="Y2" s="19">
        <v>2.5354931014342514</v>
      </c>
      <c r="Z2" s="19">
        <v>1.0911718851182028E-2</v>
      </c>
      <c r="AA2" s="19">
        <v>620.3538966922988</v>
      </c>
      <c r="AB2" s="19">
        <v>650.79184824722142</v>
      </c>
      <c r="AC2" s="19">
        <v>4.9065463628449102E-2</v>
      </c>
      <c r="AD2" s="19">
        <v>0.6452016317697975</v>
      </c>
      <c r="AE2" s="19">
        <v>0.65859365582969409</v>
      </c>
      <c r="AF2" s="19">
        <v>0.63367847030306845</v>
      </c>
      <c r="AG2" s="19">
        <v>0.48480185270433335</v>
      </c>
      <c r="AH2" s="19">
        <v>0.50894259495405048</v>
      </c>
      <c r="AI2" s="19">
        <v>476.5549939585519</v>
      </c>
      <c r="AJ2" s="19">
        <v>500.28508329875308</v>
      </c>
      <c r="AK2" s="19">
        <f>(AI2+AJ2)/D2</f>
        <v>11.971079378153249</v>
      </c>
      <c r="AL2" s="19">
        <v>4.979507011999762E-2</v>
      </c>
      <c r="AM2" s="19">
        <v>1.3</v>
      </c>
      <c r="AN2" s="19">
        <v>1.26</v>
      </c>
      <c r="AO2" s="19">
        <v>1.27</v>
      </c>
      <c r="AP2" s="19">
        <v>7.9365079365079083E-3</v>
      </c>
      <c r="AQ2" s="19">
        <v>1.5870534765188573</v>
      </c>
      <c r="AR2" s="19">
        <v>0.35815999999999998</v>
      </c>
      <c r="AS2" s="19">
        <v>1.9752945376651234</v>
      </c>
      <c r="AT2" s="19">
        <v>37.712698670032651</v>
      </c>
      <c r="AU2" s="19">
        <v>0.91251754843047606</v>
      </c>
      <c r="AV2" s="19">
        <v>0.91755009072077542</v>
      </c>
      <c r="AW2" s="19">
        <v>407.35387777777783</v>
      </c>
      <c r="AX2" s="19">
        <v>97.074593333333326</v>
      </c>
      <c r="AY2" s="19">
        <v>373.39372222222221</v>
      </c>
      <c r="AZ2" s="19">
        <v>77.818355555555542</v>
      </c>
      <c r="BA2" s="19">
        <v>212.40654305704163</v>
      </c>
      <c r="BB2" s="19">
        <v>184.72582880989125</v>
      </c>
      <c r="BC2" s="19">
        <v>397.56676241838835</v>
      </c>
      <c r="BD2" s="19">
        <v>45.957798779321891</v>
      </c>
      <c r="BE2" s="19">
        <v>-42.536162449750385</v>
      </c>
      <c r="BF2" s="19">
        <v>87.055723236473753</v>
      </c>
      <c r="BG2" s="19"/>
      <c r="BH2" s="19"/>
      <c r="BI2" s="19"/>
      <c r="BJ2" s="19"/>
    </row>
    <row r="3" spans="1:62" ht="15.75" x14ac:dyDescent="0.25">
      <c r="A3" s="10">
        <v>2</v>
      </c>
      <c r="B3" s="3" t="s">
        <v>35</v>
      </c>
      <c r="C3" s="3" t="s">
        <v>36</v>
      </c>
      <c r="D3" s="6">
        <v>64</v>
      </c>
      <c r="E3" s="6">
        <v>173</v>
      </c>
      <c r="F3" s="6">
        <v>23</v>
      </c>
      <c r="G3" s="11" t="s">
        <v>32</v>
      </c>
      <c r="H3" s="11" t="s">
        <v>33</v>
      </c>
      <c r="I3" s="11">
        <v>25</v>
      </c>
      <c r="J3" s="67"/>
      <c r="K3" s="19">
        <v>0.91940953134734427</v>
      </c>
      <c r="L3" s="19">
        <v>1764.3544832568323</v>
      </c>
      <c r="M3" s="19">
        <v>27.568038800888004</v>
      </c>
      <c r="N3" s="19">
        <v>2.4570386041990053</v>
      </c>
      <c r="O3" s="19">
        <v>1.1738767871711626</v>
      </c>
      <c r="P3" s="19">
        <v>1083.7717692134061</v>
      </c>
      <c r="Q3" s="19">
        <v>16.93393389395947</v>
      </c>
      <c r="R3" s="19">
        <v>3867.6757148501433</v>
      </c>
      <c r="S3" s="19">
        <v>3867.6757148501433</v>
      </c>
      <c r="T3" s="19">
        <v>5669.6133895603089</v>
      </c>
      <c r="U3" s="19">
        <v>839.49481081874228</v>
      </c>
      <c r="V3" s="19">
        <v>954.5326720985986</v>
      </c>
      <c r="W3" s="19">
        <v>0.13703224820134641</v>
      </c>
      <c r="X3" s="19">
        <v>2.7383244246999214</v>
      </c>
      <c r="Y3" s="19">
        <v>2.2099543764675453</v>
      </c>
      <c r="Z3" s="19">
        <v>0.23908640551979987</v>
      </c>
      <c r="AA3" s="19">
        <v>574.70228621845047</v>
      </c>
      <c r="AB3" s="19">
        <v>527.3684140463896</v>
      </c>
      <c r="AC3" s="19">
        <v>8.9754848624470585E-2</v>
      </c>
      <c r="AD3" s="19">
        <v>0.59141874747111145</v>
      </c>
      <c r="AE3" s="19">
        <v>0.58342786182911521</v>
      </c>
      <c r="AF3" s="19">
        <v>0.60083149212654063</v>
      </c>
      <c r="AG3" s="19">
        <v>0.52480237025934495</v>
      </c>
      <c r="AH3" s="19">
        <v>0.48037594885960133</v>
      </c>
      <c r="AI3" s="19">
        <v>462.41070493519351</v>
      </c>
      <c r="AJ3" s="19">
        <v>423.26596397860931</v>
      </c>
      <c r="AK3" s="19">
        <f t="shared" ref="AK3:AK48" si="0">(AI3+AJ3)/D3</f>
        <v>13.838697951778169</v>
      </c>
      <c r="AL3" s="19">
        <v>9.2482609725176079E-2</v>
      </c>
      <c r="AM3" s="19">
        <v>1.23</v>
      </c>
      <c r="AN3" s="19">
        <v>1.37</v>
      </c>
      <c r="AO3" s="19">
        <v>1.1100000000000001</v>
      </c>
      <c r="AP3" s="19">
        <v>0.23423423423423428</v>
      </c>
      <c r="AQ3" s="19">
        <v>-5.1510699703596812</v>
      </c>
      <c r="AR3" s="19">
        <v>0.32608499999999996</v>
      </c>
      <c r="AS3" s="19">
        <v>1.8223491610139138</v>
      </c>
      <c r="AT3" s="19">
        <v>39.493819334738937</v>
      </c>
      <c r="AU3" s="19">
        <v>0.87307973950733309</v>
      </c>
      <c r="AV3" s="19">
        <v>0.95984329003377267</v>
      </c>
      <c r="AW3" s="19">
        <v>399.93319999999994</v>
      </c>
      <c r="AX3" s="19">
        <v>104.65778999999999</v>
      </c>
      <c r="AY3" s="19">
        <v>442.80746250000004</v>
      </c>
      <c r="AZ3" s="19">
        <v>111.12488250000001</v>
      </c>
      <c r="BA3" s="19">
        <v>221.57188626089476</v>
      </c>
      <c r="BB3" s="19">
        <v>254.64237342404635</v>
      </c>
      <c r="BC3" s="19">
        <v>476.04167415188107</v>
      </c>
      <c r="BD3" s="19">
        <v>62.722760285951871</v>
      </c>
      <c r="BE3" s="19">
        <v>-65.315430426266246</v>
      </c>
      <c r="BF3" s="19">
        <v>126.20147298462089</v>
      </c>
      <c r="BG3" s="19"/>
      <c r="BH3" s="19"/>
      <c r="BI3" s="19"/>
      <c r="BJ3" s="19"/>
    </row>
    <row r="4" spans="1:62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67"/>
      <c r="K4" s="19">
        <v>0.91675050508952238</v>
      </c>
      <c r="L4" s="19">
        <v>1740.9416486450868</v>
      </c>
      <c r="M4" s="19">
        <v>26.783717671462874</v>
      </c>
      <c r="N4" s="19">
        <v>3.0650823471493691</v>
      </c>
      <c r="O4" s="19">
        <v>1.3137849347411445</v>
      </c>
      <c r="P4" s="19">
        <v>1334.0323786697938</v>
      </c>
      <c r="Q4" s="19">
        <v>20.523575056458366</v>
      </c>
      <c r="R4" s="19">
        <v>1446.1733271628241</v>
      </c>
      <c r="S4" s="19">
        <v>1446.1733271628241</v>
      </c>
      <c r="T4" s="19">
        <v>2128.1841259704875</v>
      </c>
      <c r="U4" s="19">
        <v>921.25570125859383</v>
      </c>
      <c r="V4" s="19">
        <v>815.45767304660194</v>
      </c>
      <c r="W4" s="19">
        <v>0.12974067411337686</v>
      </c>
      <c r="X4" s="19">
        <v>2.8756388757888969</v>
      </c>
      <c r="Y4" s="19">
        <v>3.390038109187679</v>
      </c>
      <c r="Z4" s="19">
        <v>0.17888172180787576</v>
      </c>
      <c r="AA4" s="19">
        <v>662.29967727034364</v>
      </c>
      <c r="AB4" s="19">
        <v>691.10814701437175</v>
      </c>
      <c r="AC4" s="19">
        <v>4.349763518345906E-2</v>
      </c>
      <c r="AD4" s="19">
        <v>0.63272540166829305</v>
      </c>
      <c r="AE4" s="19">
        <v>0.62919329912159738</v>
      </c>
      <c r="AF4" s="19">
        <v>0.63669840880420536</v>
      </c>
      <c r="AG4" s="19">
        <v>0.49442522758712903</v>
      </c>
      <c r="AH4" s="19">
        <v>0.51315071670912671</v>
      </c>
      <c r="AI4" s="19">
        <v>431.09637186819413</v>
      </c>
      <c r="AJ4" s="19">
        <v>447.42339154990719</v>
      </c>
      <c r="AK4" s="19">
        <f t="shared" si="0"/>
        <v>13.515688667970789</v>
      </c>
      <c r="AL4" s="19">
        <v>3.7873247717113756E-2</v>
      </c>
      <c r="AM4" s="19">
        <v>1.53</v>
      </c>
      <c r="AN4" s="19">
        <v>1.44</v>
      </c>
      <c r="AO4" s="19">
        <v>1.7</v>
      </c>
      <c r="AP4" s="19">
        <v>0.18055555555555558</v>
      </c>
      <c r="AQ4" s="19">
        <v>-5.6013835867597992</v>
      </c>
      <c r="AR4" s="19">
        <v>0.36274399999999996</v>
      </c>
      <c r="AS4" s="19">
        <v>2.014180649767944</v>
      </c>
      <c r="AT4" s="19">
        <v>29.983536913552889</v>
      </c>
      <c r="AU4" s="19">
        <v>0.91733078337866136</v>
      </c>
      <c r="AV4" s="19">
        <v>0.92308049650063528</v>
      </c>
      <c r="AW4" s="19">
        <v>371.06841000000003</v>
      </c>
      <c r="AX4" s="19">
        <v>82.280678999999992</v>
      </c>
      <c r="AY4" s="19">
        <v>406.17748</v>
      </c>
      <c r="AZ4" s="19">
        <v>89.139244999999988</v>
      </c>
      <c r="BA4" s="19">
        <v>205.4923623788257</v>
      </c>
      <c r="BB4" s="19">
        <v>222.17525371172911</v>
      </c>
      <c r="BC4" s="19">
        <v>428.33040571113025</v>
      </c>
      <c r="BD4" s="19">
        <v>40.102796564018803</v>
      </c>
      <c r="BE4" s="19">
        <v>-45.616860729711028</v>
      </c>
      <c r="BF4" s="19">
        <v>85.960277747392766</v>
      </c>
      <c r="BG4" s="19"/>
      <c r="BH4" s="19"/>
      <c r="BI4" s="19"/>
      <c r="BJ4" s="19"/>
    </row>
    <row r="5" spans="1:62" ht="15.75" x14ac:dyDescent="0.25">
      <c r="A5" s="10">
        <v>4</v>
      </c>
      <c r="B5" s="3" t="s">
        <v>39</v>
      </c>
      <c r="C5" s="3" t="s">
        <v>40</v>
      </c>
      <c r="D5" s="6">
        <v>68.3</v>
      </c>
      <c r="E5" s="6">
        <v>170</v>
      </c>
      <c r="F5" s="6">
        <v>24</v>
      </c>
      <c r="G5" s="11" t="s">
        <v>32</v>
      </c>
      <c r="H5" s="11" t="s">
        <v>33</v>
      </c>
      <c r="I5" s="11">
        <v>25</v>
      </c>
      <c r="J5" s="67"/>
      <c r="K5" s="19">
        <v>0.91122032318263135</v>
      </c>
      <c r="L5" s="19">
        <v>1395.2782175710418</v>
      </c>
      <c r="M5" s="19">
        <v>22.873413402803962</v>
      </c>
      <c r="N5" s="19">
        <v>4.3125458859397536</v>
      </c>
      <c r="O5" s="19">
        <v>1.3220378038008627</v>
      </c>
      <c r="P5" s="19">
        <v>1504.300334231837</v>
      </c>
      <c r="Q5" s="19">
        <v>24.660661216915361</v>
      </c>
      <c r="R5" s="19">
        <v>8172.6483876631919</v>
      </c>
      <c r="S5" s="19">
        <v>8172.6483876631919</v>
      </c>
      <c r="T5" s="19">
        <v>11483.381238774671</v>
      </c>
      <c r="U5" s="19">
        <v>720.58313980331491</v>
      </c>
      <c r="V5" s="19">
        <v>705.21711304684436</v>
      </c>
      <c r="W5" s="19">
        <v>2.1789072432009782E-2</v>
      </c>
      <c r="X5" s="19">
        <v>4.0810856060758525</v>
      </c>
      <c r="Y5" s="19">
        <v>4.1052022431904218</v>
      </c>
      <c r="Z5" s="19">
        <v>5.9093681050612634E-3</v>
      </c>
      <c r="AA5" s="19">
        <v>735.190369958063</v>
      </c>
      <c r="AB5" s="19">
        <v>723.76471860404467</v>
      </c>
      <c r="AC5" s="19">
        <v>1.5786416580315654E-2</v>
      </c>
      <c r="AD5" s="19">
        <v>0.61892529258573503</v>
      </c>
      <c r="AE5" s="19">
        <v>0.62087319499820981</v>
      </c>
      <c r="AF5" s="19">
        <v>0.61739627049439216</v>
      </c>
      <c r="AG5" s="19">
        <v>0.48705230858763188</v>
      </c>
      <c r="AH5" s="19">
        <v>0.47981469347523159</v>
      </c>
      <c r="AI5" s="19">
        <v>339.19942669082121</v>
      </c>
      <c r="AJ5" s="19">
        <v>334.15891080895614</v>
      </c>
      <c r="AK5" s="19">
        <f t="shared" si="0"/>
        <v>9.8588336383569164</v>
      </c>
      <c r="AL5" s="19">
        <v>1.5084188147676869E-2</v>
      </c>
      <c r="AM5" s="19">
        <v>2.16</v>
      </c>
      <c r="AN5" s="19">
        <v>2.04</v>
      </c>
      <c r="AO5" s="19">
        <v>2.0499999999999998</v>
      </c>
      <c r="AP5" s="19">
        <v>4.9019607843137081E-3</v>
      </c>
      <c r="AQ5" s="19">
        <v>3.540516876148863</v>
      </c>
      <c r="AR5" s="19">
        <v>0.31776714285714286</v>
      </c>
      <c r="AS5" s="19">
        <v>1.7710817565155301</v>
      </c>
      <c r="AT5" s="19">
        <v>20.368233910176006</v>
      </c>
      <c r="AU5" s="19">
        <v>0.95970648710832984</v>
      </c>
      <c r="AV5" s="19">
        <v>0.9752007682835212</v>
      </c>
      <c r="AW5" s="19">
        <v>384.22854285714277</v>
      </c>
      <c r="AX5" s="19">
        <v>88.712527142857127</v>
      </c>
      <c r="AY5" s="19">
        <v>358.50049999999999</v>
      </c>
      <c r="AZ5" s="19">
        <v>92.229207142857149</v>
      </c>
      <c r="BA5" s="19">
        <v>220.35170682173128</v>
      </c>
      <c r="BB5" s="19">
        <v>219.9258157327686</v>
      </c>
      <c r="BC5" s="19">
        <v>439.4428342500625</v>
      </c>
      <c r="BD5" s="19">
        <v>46.185425151426209</v>
      </c>
      <c r="BE5" s="19">
        <v>-47.511676730979573</v>
      </c>
      <c r="BF5" s="19">
        <v>92.648025114453247</v>
      </c>
      <c r="BG5" s="19"/>
      <c r="BH5" s="19"/>
      <c r="BI5" s="19"/>
      <c r="BJ5" s="19"/>
    </row>
    <row r="6" spans="1:62" ht="15.75" x14ac:dyDescent="0.25">
      <c r="A6" s="10">
        <v>5</v>
      </c>
      <c r="B6" s="3" t="s">
        <v>41</v>
      </c>
      <c r="C6" s="3" t="s">
        <v>42</v>
      </c>
      <c r="D6" s="6">
        <v>82.6</v>
      </c>
      <c r="E6" s="6">
        <v>183</v>
      </c>
      <c r="F6" s="6">
        <v>20</v>
      </c>
      <c r="G6" s="11" t="s">
        <v>32</v>
      </c>
      <c r="H6" s="11" t="s">
        <v>33</v>
      </c>
      <c r="I6" s="11">
        <v>27</v>
      </c>
      <c r="J6" s="67"/>
      <c r="K6" s="19">
        <v>0.96352420159691321</v>
      </c>
      <c r="L6" s="19">
        <v>2353.7081187687713</v>
      </c>
      <c r="M6" s="19">
        <v>28.495255675166725</v>
      </c>
      <c r="N6" s="19">
        <v>3.1396251791800163</v>
      </c>
      <c r="O6" s="19">
        <v>1.4316878530341122</v>
      </c>
      <c r="P6" s="19">
        <v>1847.4403185317158</v>
      </c>
      <c r="Q6" s="19">
        <v>22.366105551231428</v>
      </c>
      <c r="R6" s="19">
        <v>7007.6096864374995</v>
      </c>
      <c r="S6" s="19">
        <v>7007.6096864374995</v>
      </c>
      <c r="T6" s="19">
        <v>10420.944190886163</v>
      </c>
      <c r="U6" s="19">
        <v>1152.1421901698893</v>
      </c>
      <c r="V6" s="19">
        <v>1237.9170803689981</v>
      </c>
      <c r="W6" s="19">
        <v>7.4448180902446426E-2</v>
      </c>
      <c r="X6" s="19">
        <v>3.0247289922929905</v>
      </c>
      <c r="Y6" s="19">
        <v>3.0963409089556388</v>
      </c>
      <c r="Z6" s="19">
        <v>2.367548195065261E-2</v>
      </c>
      <c r="AA6" s="19">
        <v>871.22947146270212</v>
      </c>
      <c r="AB6" s="19">
        <v>958.2533244603635</v>
      </c>
      <c r="AC6" s="19">
        <v>9.9886259416313683E-2</v>
      </c>
      <c r="AD6" s="19">
        <v>0.60760409328846943</v>
      </c>
      <c r="AE6" s="19">
        <v>0.61462262571494652</v>
      </c>
      <c r="AF6" s="19">
        <v>0.60147556840397443</v>
      </c>
      <c r="AG6" s="19">
        <v>0.47090244637687428</v>
      </c>
      <c r="AH6" s="19">
        <v>0.51858932177124784</v>
      </c>
      <c r="AI6" s="19">
        <v>554.11729498896239</v>
      </c>
      <c r="AJ6" s="19">
        <v>610.23108799070474</v>
      </c>
      <c r="AK6" s="19">
        <f t="shared" si="0"/>
        <v>14.096227396848271</v>
      </c>
      <c r="AL6" s="19">
        <v>0.10126699438764142</v>
      </c>
      <c r="AM6" s="19">
        <v>1.57</v>
      </c>
      <c r="AN6" s="19">
        <v>1.51</v>
      </c>
      <c r="AO6" s="19">
        <v>1.55</v>
      </c>
      <c r="AP6" s="19">
        <v>2.6490066225165476E-2</v>
      </c>
      <c r="AQ6" s="19">
        <v>7.8675386923735617</v>
      </c>
      <c r="AR6" s="19">
        <v>0.34170499999999998</v>
      </c>
      <c r="AS6" s="19">
        <v>2.1184933952159941</v>
      </c>
      <c r="AT6" s="19">
        <v>35.715312053485256</v>
      </c>
      <c r="AU6" s="19">
        <v>0.9645838787520683</v>
      </c>
      <c r="AV6" s="19">
        <v>0.93555158503250757</v>
      </c>
      <c r="AW6" s="19">
        <v>631.48902222222227</v>
      </c>
      <c r="AX6" s="19">
        <v>145.18131111111111</v>
      </c>
      <c r="AY6" s="19">
        <v>596.22979999999984</v>
      </c>
      <c r="AZ6" s="19">
        <v>99.677704444444458</v>
      </c>
      <c r="BA6" s="19">
        <v>350.85797567988664</v>
      </c>
      <c r="BB6" s="19">
        <v>326.86859572047837</v>
      </c>
      <c r="BC6" s="19">
        <v>680.32092374931869</v>
      </c>
      <c r="BD6" s="19">
        <v>63.350159277780307</v>
      </c>
      <c r="BE6" s="19">
        <v>-34.406892889809278</v>
      </c>
      <c r="BF6" s="19">
        <v>99.906980818700788</v>
      </c>
      <c r="BG6" s="19"/>
      <c r="BH6" s="19"/>
      <c r="BI6" s="19"/>
      <c r="BJ6" s="19"/>
    </row>
    <row r="7" spans="1:62" ht="15.75" x14ac:dyDescent="0.25">
      <c r="A7" s="10">
        <v>6</v>
      </c>
      <c r="B7" s="3" t="s">
        <v>43</v>
      </c>
      <c r="C7" s="3" t="s">
        <v>44</v>
      </c>
      <c r="D7" s="6">
        <v>60</v>
      </c>
      <c r="E7" s="6">
        <v>160</v>
      </c>
      <c r="F7" s="6">
        <v>27</v>
      </c>
      <c r="G7" s="11" t="s">
        <v>45</v>
      </c>
      <c r="H7" s="11" t="s">
        <v>33</v>
      </c>
      <c r="I7" s="11">
        <v>24</v>
      </c>
      <c r="J7" s="67"/>
      <c r="K7" s="19">
        <v>0.82934115848122436</v>
      </c>
      <c r="L7" s="19">
        <v>1405.4121934457755</v>
      </c>
      <c r="M7" s="19">
        <v>23.191620353890684</v>
      </c>
      <c r="N7" s="19">
        <v>4.8345851046743418</v>
      </c>
      <c r="O7" s="19">
        <v>1.3381938003979339</v>
      </c>
      <c r="P7" s="19">
        <v>1698.6462140901601</v>
      </c>
      <c r="Q7" s="19">
        <v>28.030465579045547</v>
      </c>
      <c r="R7" s="19">
        <v>4438.4273244144706</v>
      </c>
      <c r="S7" s="19">
        <v>4438.4273244144706</v>
      </c>
      <c r="T7" s="19">
        <v>6465.0141496599381</v>
      </c>
      <c r="U7" s="19">
        <v>722.48915402243335</v>
      </c>
      <c r="V7" s="19">
        <v>667.69089004334649</v>
      </c>
      <c r="W7" s="19">
        <v>8.2071306941943423E-2</v>
      </c>
      <c r="X7" s="19">
        <v>5.2693442952342107</v>
      </c>
      <c r="Y7" s="19">
        <v>4.9582060729317057</v>
      </c>
      <c r="Z7" s="19">
        <v>6.2752176437582907E-2</v>
      </c>
      <c r="AA7" s="19">
        <v>951.76102552917507</v>
      </c>
      <c r="AB7" s="19">
        <v>827.63725646352407</v>
      </c>
      <c r="AC7" s="19">
        <v>0.14997363651321005</v>
      </c>
      <c r="AD7" s="19">
        <v>0.62619624283356745</v>
      </c>
      <c r="AE7" s="19">
        <v>0.63293380864573556</v>
      </c>
      <c r="AF7" s="19">
        <v>0.61928679731722591</v>
      </c>
      <c r="AG7" s="19">
        <v>0.55658649027988394</v>
      </c>
      <c r="AH7" s="19">
        <v>0.48695713318568928</v>
      </c>
      <c r="AI7" s="19">
        <v>390.67865640214546</v>
      </c>
      <c r="AJ7" s="19">
        <v>341.80448473113336</v>
      </c>
      <c r="AK7" s="19">
        <f t="shared" si="0"/>
        <v>12.208052352221314</v>
      </c>
      <c r="AL7" s="19">
        <v>0.1429886787748178</v>
      </c>
      <c r="AM7" s="19">
        <v>2.42</v>
      </c>
      <c r="AN7" s="19">
        <v>2.63</v>
      </c>
      <c r="AO7" s="19">
        <v>2.48</v>
      </c>
      <c r="AP7" s="19">
        <v>6.0483870967741993E-2</v>
      </c>
      <c r="AQ7" s="19">
        <v>-6.6601508876425823</v>
      </c>
      <c r="AR7" s="19">
        <v>0.33591124999999999</v>
      </c>
      <c r="AS7" s="19">
        <v>2.0139057479471587</v>
      </c>
      <c r="AT7" s="19">
        <v>28.200761078106947</v>
      </c>
      <c r="AU7" s="19">
        <v>0.83811536466812986</v>
      </c>
      <c r="AV7" s="19">
        <v>0.71479360164458672</v>
      </c>
      <c r="AW7" s="19">
        <v>312.8932375</v>
      </c>
      <c r="AX7" s="19">
        <v>114.4572</v>
      </c>
      <c r="AY7" s="19">
        <v>347.31975</v>
      </c>
      <c r="AZ7" s="19">
        <v>109.09044</v>
      </c>
      <c r="BA7" s="19">
        <v>179.78502976509847</v>
      </c>
      <c r="BB7" s="19">
        <v>197.84530750293249</v>
      </c>
      <c r="BC7" s="19">
        <v>378.81196048688082</v>
      </c>
      <c r="BD7" s="19">
        <v>67.819194222626777</v>
      </c>
      <c r="BE7" s="19">
        <v>-61.419156896626134</v>
      </c>
      <c r="BF7" s="19">
        <v>129.00527874811013</v>
      </c>
      <c r="BG7" s="19"/>
      <c r="BH7" s="19"/>
      <c r="BI7" s="19"/>
      <c r="BJ7" s="19"/>
    </row>
    <row r="8" spans="1:62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67"/>
      <c r="K8" s="19">
        <v>0.82262862227068689</v>
      </c>
      <c r="L8" s="19">
        <v>2032.0268964249965</v>
      </c>
      <c r="M8" s="19">
        <v>33.311916334836006</v>
      </c>
      <c r="N8" s="19">
        <v>1.7287079541219326</v>
      </c>
      <c r="O8" s="19">
        <v>1.0420232860887548</v>
      </c>
      <c r="P8" s="19">
        <v>878.19526470989899</v>
      </c>
      <c r="Q8" s="19">
        <v>14.396643683768836</v>
      </c>
      <c r="R8" s="19">
        <v>2985.0637893726434</v>
      </c>
      <c r="S8" s="19">
        <v>2985.0637893726434</v>
      </c>
      <c r="T8" s="19">
        <v>4158.5861919270465</v>
      </c>
      <c r="U8" s="19">
        <v>962.07768107611366</v>
      </c>
      <c r="V8" s="19">
        <v>1098.7546518771633</v>
      </c>
      <c r="W8" s="19">
        <v>0.14206438158732904</v>
      </c>
      <c r="X8" s="19">
        <v>1.6812741216348321</v>
      </c>
      <c r="Y8" s="19">
        <v>1.8118021331521377</v>
      </c>
      <c r="Z8" s="19">
        <v>7.7636365086249715E-2</v>
      </c>
      <c r="AA8" s="19">
        <v>404.37907704892979</v>
      </c>
      <c r="AB8" s="19">
        <v>497.68150552046973</v>
      </c>
      <c r="AC8" s="19">
        <v>0.23073010886824474</v>
      </c>
      <c r="AD8" s="19">
        <v>0.60476570079429837</v>
      </c>
      <c r="AE8" s="19">
        <v>0.60426339866959522</v>
      </c>
      <c r="AF8" s="19">
        <v>0.60667697612869342</v>
      </c>
      <c r="AG8" s="19">
        <v>0.46023339672826868</v>
      </c>
      <c r="AH8" s="19">
        <v>0.56526879848386424</v>
      </c>
      <c r="AI8" s="19">
        <v>469.95876062254365</v>
      </c>
      <c r="AJ8" s="19">
        <v>577.21370470409011</v>
      </c>
      <c r="AK8" s="19">
        <f t="shared" si="0"/>
        <v>17.452874422110561</v>
      </c>
      <c r="AL8" s="19">
        <v>0.22822203365135341</v>
      </c>
      <c r="AM8" s="19">
        <v>0.86</v>
      </c>
      <c r="AN8" s="19">
        <v>0.84</v>
      </c>
      <c r="AO8" s="19">
        <v>0.91</v>
      </c>
      <c r="AP8" s="19">
        <v>8.3333333333333481E-2</v>
      </c>
      <c r="AQ8" s="19">
        <v>14.943666392724355</v>
      </c>
      <c r="AR8" s="19">
        <v>0.27725875</v>
      </c>
      <c r="AS8" s="19">
        <v>1.6967690110674785</v>
      </c>
      <c r="AT8" s="19">
        <v>57.877821344492276</v>
      </c>
      <c r="AU8" s="19">
        <v>0.62738477271643767</v>
      </c>
      <c r="AV8" s="19">
        <v>0.77255972106129911</v>
      </c>
      <c r="AW8" s="19">
        <v>404.24737777777784</v>
      </c>
      <c r="AX8" s="19">
        <v>104.02261333333333</v>
      </c>
      <c r="AY8" s="19">
        <v>372.71465555555551</v>
      </c>
      <c r="AZ8" s="19">
        <v>92.713006666666672</v>
      </c>
      <c r="BA8" s="19">
        <v>207.05336264828023</v>
      </c>
      <c r="BB8" s="19">
        <v>174.94204069643854</v>
      </c>
      <c r="BC8" s="19">
        <v>373.58398627037218</v>
      </c>
      <c r="BD8" s="19">
        <v>49.594576356285536</v>
      </c>
      <c r="BE8" s="19">
        <v>-34.528679478424721</v>
      </c>
      <c r="BF8" s="19">
        <v>82.449129474642632</v>
      </c>
      <c r="BG8" s="19"/>
      <c r="BH8" s="19"/>
      <c r="BI8" s="19"/>
      <c r="BJ8" s="19"/>
    </row>
    <row r="9" spans="1:62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67"/>
      <c r="K9" s="19">
        <v>0.83271307407882422</v>
      </c>
      <c r="L9" s="19">
        <v>1690.9610876799618</v>
      </c>
      <c r="M9" s="19">
        <v>24.471216898407555</v>
      </c>
      <c r="N9" s="19">
        <v>3.5796426248855431</v>
      </c>
      <c r="O9" s="19">
        <v>1.3553145701931859</v>
      </c>
      <c r="P9" s="19">
        <v>1513.2590966205028</v>
      </c>
      <c r="Q9" s="19">
        <v>21.899552773089766</v>
      </c>
      <c r="R9" s="19">
        <v>3460.1583203529062</v>
      </c>
      <c r="S9" s="19">
        <v>3460.1583203529062</v>
      </c>
      <c r="T9" s="19">
        <v>5280.4027591111226</v>
      </c>
      <c r="U9" s="19">
        <v>789.92183142535112</v>
      </c>
      <c r="V9" s="19">
        <v>910.43836033807406</v>
      </c>
      <c r="W9" s="19">
        <v>0.1525676644425189</v>
      </c>
      <c r="X9" s="19">
        <v>3.724582971947636</v>
      </c>
      <c r="Y9" s="19">
        <v>3.441780543694112</v>
      </c>
      <c r="Z9" s="19">
        <v>8.2167478333754485E-2</v>
      </c>
      <c r="AA9" s="19">
        <v>735.53235062413842</v>
      </c>
      <c r="AB9" s="19">
        <v>783.38225871108807</v>
      </c>
      <c r="AC9" s="19">
        <v>6.5054797448876878E-2</v>
      </c>
      <c r="AD9" s="19">
        <v>0.60994978709978764</v>
      </c>
      <c r="AE9" s="19">
        <v>0.63156897616156371</v>
      </c>
      <c r="AF9" s="19">
        <v>0.59208317046201009</v>
      </c>
      <c r="AG9" s="19">
        <v>0.48532600912855911</v>
      </c>
      <c r="AH9" s="19">
        <v>0.51684397872600363</v>
      </c>
      <c r="AI9" s="19">
        <v>410.2927323018057</v>
      </c>
      <c r="AJ9" s="19">
        <v>436.93790198055513</v>
      </c>
      <c r="AK9" s="19">
        <f t="shared" si="0"/>
        <v>12.260935373116656</v>
      </c>
      <c r="AL9" s="19">
        <v>6.4941851466064016E-2</v>
      </c>
      <c r="AM9" s="19">
        <v>1.79</v>
      </c>
      <c r="AN9" s="19">
        <v>1.86</v>
      </c>
      <c r="AO9" s="19">
        <v>1.72</v>
      </c>
      <c r="AP9" s="19">
        <v>8.1395348837209447E-2</v>
      </c>
      <c r="AQ9" s="19">
        <v>9.6357815389411829</v>
      </c>
      <c r="AR9" s="19">
        <v>0.38147300000000001</v>
      </c>
      <c r="AS9" s="19">
        <v>2.1119457336665484</v>
      </c>
      <c r="AT9" s="19">
        <v>42.626135115719251</v>
      </c>
      <c r="AU9" s="19">
        <v>0.68558566502386942</v>
      </c>
      <c r="AV9" s="19">
        <v>0.86609847086184422</v>
      </c>
      <c r="AW9" s="19">
        <v>438.53479166666671</v>
      </c>
      <c r="AX9" s="19">
        <v>145.56798333333333</v>
      </c>
      <c r="AY9" s="19">
        <v>323.16305833333337</v>
      </c>
      <c r="AZ9" s="19">
        <v>119.68704166666667</v>
      </c>
      <c r="BA9" s="19">
        <v>262.5623143072396</v>
      </c>
      <c r="BB9" s="19">
        <v>190.97064090844762</v>
      </c>
      <c r="BC9" s="19">
        <v>445.67939195737841</v>
      </c>
      <c r="BD9" s="19">
        <v>84.394884593702855</v>
      </c>
      <c r="BE9" s="19">
        <v>-65.170897897131042</v>
      </c>
      <c r="BF9" s="19">
        <v>146.70623194667721</v>
      </c>
      <c r="BG9" s="19"/>
      <c r="BH9" s="19"/>
      <c r="BI9" s="19"/>
      <c r="BJ9" s="19"/>
    </row>
    <row r="10" spans="1:62" ht="15.75" x14ac:dyDescent="0.25">
      <c r="A10" s="10">
        <v>9</v>
      </c>
      <c r="B10" s="3" t="s">
        <v>50</v>
      </c>
      <c r="C10" s="3" t="s">
        <v>51</v>
      </c>
      <c r="D10" s="6">
        <v>70.2</v>
      </c>
      <c r="E10" s="6">
        <v>171</v>
      </c>
      <c r="F10" s="6">
        <v>21</v>
      </c>
      <c r="G10" s="11" t="s">
        <v>32</v>
      </c>
      <c r="H10" s="11" t="s">
        <v>33</v>
      </c>
      <c r="I10" s="11">
        <v>27</v>
      </c>
      <c r="J10" s="67"/>
      <c r="K10" s="19">
        <v>0.94586165677870337</v>
      </c>
      <c r="L10" s="19">
        <v>2453.7096005064027</v>
      </c>
      <c r="M10" s="19">
        <v>34.953128212341916</v>
      </c>
      <c r="N10" s="19">
        <v>1.8011355491878789</v>
      </c>
      <c r="O10" s="19">
        <v>1.1048985257119825</v>
      </c>
      <c r="P10" s="19">
        <v>1104.8658972139176</v>
      </c>
      <c r="Q10" s="19">
        <v>15.7388304446427</v>
      </c>
      <c r="R10" s="19">
        <v>1316.6037304955953</v>
      </c>
      <c r="S10" s="19">
        <v>1316.6037304955953</v>
      </c>
      <c r="T10" s="19">
        <v>1666.8054162534954</v>
      </c>
      <c r="U10" s="19">
        <v>1544.6168570099983</v>
      </c>
      <c r="V10" s="19">
        <v>1032.3222199568374</v>
      </c>
      <c r="W10" s="19">
        <v>0.49625458713325044</v>
      </c>
      <c r="X10" s="19">
        <v>1.6089896717286847</v>
      </c>
      <c r="Y10" s="19">
        <v>2.0313334406749259</v>
      </c>
      <c r="Z10" s="19">
        <v>0.26249004351437422</v>
      </c>
      <c r="AA10" s="19">
        <v>621.3181424267774</v>
      </c>
      <c r="AB10" s="19">
        <v>524.24766173752505</v>
      </c>
      <c r="AC10" s="19">
        <v>0.18516149479337618</v>
      </c>
      <c r="AD10" s="19">
        <v>0.63532338406783162</v>
      </c>
      <c r="AE10" s="19">
        <v>0.6490275205059558</v>
      </c>
      <c r="AF10" s="19">
        <v>0.62389890719260177</v>
      </c>
      <c r="AG10" s="19">
        <v>0.55442210273743386</v>
      </c>
      <c r="AH10" s="19">
        <v>0.46833627229498043</v>
      </c>
      <c r="AI10" s="19">
        <v>680.62425610322691</v>
      </c>
      <c r="AJ10" s="19">
        <v>574.94285556629382</v>
      </c>
      <c r="AK10" s="19">
        <f t="shared" si="0"/>
        <v>17.885571391303714</v>
      </c>
      <c r="AL10" s="19">
        <v>0.18381200760002758</v>
      </c>
      <c r="AM10" s="19">
        <v>0.9</v>
      </c>
      <c r="AN10" s="19">
        <v>0.8</v>
      </c>
      <c r="AO10" s="19">
        <v>1.02</v>
      </c>
      <c r="AP10" s="19">
        <v>0.27499999999999991</v>
      </c>
      <c r="AQ10" s="19">
        <v>0.58013447423829068</v>
      </c>
      <c r="AR10" s="19">
        <v>0.34856857142857139</v>
      </c>
      <c r="AS10" s="19">
        <v>2.057693680828272</v>
      </c>
      <c r="AT10" s="19">
        <v>33.575377723363879</v>
      </c>
      <c r="AU10" s="19">
        <v>0.9429523488124536</v>
      </c>
      <c r="AV10" s="19">
        <v>0.84144492691715556</v>
      </c>
      <c r="AW10" s="19">
        <v>412.73621250000002</v>
      </c>
      <c r="AX10" s="19">
        <v>129.79050000000001</v>
      </c>
      <c r="AY10" s="19">
        <v>348.19468749999999</v>
      </c>
      <c r="AZ10" s="19">
        <v>110.61448125000001</v>
      </c>
      <c r="BA10" s="19">
        <v>178.11230675027616</v>
      </c>
      <c r="BB10" s="19">
        <v>180.52965932753119</v>
      </c>
      <c r="BC10" s="19">
        <v>357.36758464490288</v>
      </c>
      <c r="BD10" s="19">
        <v>50.200233967704428</v>
      </c>
      <c r="BE10" s="19">
        <v>-55.38344797661442</v>
      </c>
      <c r="BF10" s="19">
        <v>104.31594033009122</v>
      </c>
      <c r="BG10" s="19"/>
      <c r="BH10" s="19"/>
      <c r="BI10" s="19"/>
      <c r="BJ10" s="19"/>
    </row>
    <row r="11" spans="1:62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67"/>
      <c r="K11" s="19">
        <v>0.84258278858530211</v>
      </c>
      <c r="L11" s="19">
        <v>1638.6447260932919</v>
      </c>
      <c r="M11" s="19">
        <v>21.877766703515242</v>
      </c>
      <c r="N11" s="19">
        <v>5.3895025194845703</v>
      </c>
      <c r="O11" s="19">
        <v>1.4101851985336087</v>
      </c>
      <c r="P11" s="19">
        <v>2207.8699699549752</v>
      </c>
      <c r="Q11" s="19">
        <v>29.477569692322763</v>
      </c>
      <c r="R11" s="19">
        <v>5186.916849459617</v>
      </c>
      <c r="S11" s="19">
        <v>5186.916849459617</v>
      </c>
      <c r="T11" s="19">
        <v>8164.7973386325075</v>
      </c>
      <c r="U11" s="19">
        <v>837.9766996897589</v>
      </c>
      <c r="V11" s="19">
        <v>758.34188473430254</v>
      </c>
      <c r="W11" s="19">
        <v>0.10501175862567269</v>
      </c>
      <c r="X11" s="19">
        <v>6.6165148680590367</v>
      </c>
      <c r="Y11" s="19">
        <v>6.945727544250933</v>
      </c>
      <c r="Z11" s="19">
        <v>4.9756205911537732E-2</v>
      </c>
      <c r="AA11" s="19">
        <v>1386.1213231460831</v>
      </c>
      <c r="AB11" s="19">
        <v>1316.8090291895528</v>
      </c>
      <c r="AC11" s="19">
        <v>5.2636557329189593E-2</v>
      </c>
      <c r="AD11" s="19">
        <v>0.62664889559929404</v>
      </c>
      <c r="AE11" s="19">
        <v>0.6342278885359004</v>
      </c>
      <c r="AF11" s="19">
        <v>0.6205941636425546</v>
      </c>
      <c r="AG11" s="19">
        <v>0.60588476763350874</v>
      </c>
      <c r="AH11" s="19">
        <v>0.56611055711097114</v>
      </c>
      <c r="AI11" s="19">
        <v>497.29019522087202</v>
      </c>
      <c r="AJ11" s="19">
        <v>464.64483760152842</v>
      </c>
      <c r="AK11" s="19">
        <f t="shared" si="0"/>
        <v>12.842924336747668</v>
      </c>
      <c r="AL11" s="19">
        <v>7.0258733074184621E-2</v>
      </c>
      <c r="AM11" s="19">
        <v>2.69</v>
      </c>
      <c r="AN11" s="19">
        <v>3.31</v>
      </c>
      <c r="AO11" s="19">
        <v>3.47</v>
      </c>
      <c r="AP11" s="19">
        <v>4.8338368580060465E-2</v>
      </c>
      <c r="AQ11" s="19">
        <v>-3.645730700852071</v>
      </c>
      <c r="AR11" s="19">
        <v>0.31061285714285713</v>
      </c>
      <c r="AS11" s="19">
        <v>1.7957872188504183</v>
      </c>
      <c r="AT11" s="19">
        <v>26.502200016629075</v>
      </c>
      <c r="AU11" s="19">
        <v>0.49409528601887498</v>
      </c>
      <c r="AV11" s="19">
        <v>0.739424914547957</v>
      </c>
      <c r="AW11" s="19">
        <v>438.57690000000002</v>
      </c>
      <c r="AX11" s="19">
        <v>134.49507777777777</v>
      </c>
      <c r="AY11" s="19">
        <v>456.06686666666673</v>
      </c>
      <c r="AZ11" s="19">
        <v>125.69894444444445</v>
      </c>
      <c r="BA11" s="19">
        <v>225.48791467320802</v>
      </c>
      <c r="BB11" s="19">
        <v>250.10499876311405</v>
      </c>
      <c r="BC11" s="19">
        <v>472.24520990989953</v>
      </c>
      <c r="BD11" s="19">
        <v>77.529297893014743</v>
      </c>
      <c r="BE11" s="19">
        <v>-72.03055363392906</v>
      </c>
      <c r="BF11" s="19">
        <v>143.36898249707053</v>
      </c>
      <c r="BG11" s="19"/>
      <c r="BH11" s="19"/>
      <c r="BI11" s="19"/>
      <c r="BJ11" s="19"/>
    </row>
    <row r="12" spans="1:62" ht="15.75" x14ac:dyDescent="0.25">
      <c r="A12" s="10">
        <v>11</v>
      </c>
      <c r="B12" s="3" t="s">
        <v>54</v>
      </c>
      <c r="C12" s="3" t="s">
        <v>55</v>
      </c>
      <c r="D12" s="6">
        <v>63.6</v>
      </c>
      <c r="E12" s="6">
        <v>168</v>
      </c>
      <c r="F12" s="6">
        <v>24</v>
      </c>
      <c r="G12" s="11" t="s">
        <v>32</v>
      </c>
      <c r="H12" s="11" t="s">
        <v>33</v>
      </c>
      <c r="I12" s="11">
        <v>27</v>
      </c>
      <c r="J12" s="67"/>
      <c r="K12" s="19">
        <v>0.82652648245454752</v>
      </c>
      <c r="L12" s="19">
        <v>1881.4070441285132</v>
      </c>
      <c r="M12" s="19">
        <v>29.581871763026935</v>
      </c>
      <c r="N12" s="19">
        <v>4.3559660301779459</v>
      </c>
      <c r="O12" s="19">
        <v>1.3915392208018778</v>
      </c>
      <c r="P12" s="19">
        <v>2048.836293290326</v>
      </c>
      <c r="Q12" s="19">
        <v>32.214407127206385</v>
      </c>
      <c r="R12" s="19">
        <v>7188.7922490660712</v>
      </c>
      <c r="S12" s="19">
        <v>7188.7922490660712</v>
      </c>
      <c r="T12" s="19">
        <v>12020.201352948892</v>
      </c>
      <c r="U12" s="19">
        <v>1050.5219204204932</v>
      </c>
      <c r="V12" s="19">
        <v>886.10795129916062</v>
      </c>
      <c r="W12" s="19">
        <v>0.18554620673505773</v>
      </c>
      <c r="X12" s="19">
        <v>3.5075112782399835</v>
      </c>
      <c r="Y12" s="19">
        <v>5.4604847593459089</v>
      </c>
      <c r="Z12" s="19">
        <v>0.55679749149257129</v>
      </c>
      <c r="AA12" s="19">
        <v>921.17937097830156</v>
      </c>
      <c r="AB12" s="19">
        <v>1209.6447408010733</v>
      </c>
      <c r="AC12" s="19">
        <v>0.31314788293230955</v>
      </c>
      <c r="AD12" s="19">
        <v>0.64654054515512116</v>
      </c>
      <c r="AE12" s="19">
        <v>0.63510908888854367</v>
      </c>
      <c r="AF12" s="19">
        <v>0.65892680265286063</v>
      </c>
      <c r="AG12" s="19">
        <v>0.42305211403249238</v>
      </c>
      <c r="AH12" s="19">
        <v>0.56642585145067625</v>
      </c>
      <c r="AI12" s="19">
        <v>397.59806505777226</v>
      </c>
      <c r="AJ12" s="19">
        <v>532.34534248939565</v>
      </c>
      <c r="AK12" s="19">
        <f t="shared" si="0"/>
        <v>14.621751690993205</v>
      </c>
      <c r="AL12" s="19">
        <v>0.33890325248953146</v>
      </c>
      <c r="AM12" s="19">
        <v>2.1800000000000002</v>
      </c>
      <c r="AN12" s="19">
        <v>1.75</v>
      </c>
      <c r="AO12" s="19">
        <v>2.73</v>
      </c>
      <c r="AP12" s="19">
        <v>0.56000000000000005</v>
      </c>
      <c r="AQ12" s="19">
        <v>0.73977432003204124</v>
      </c>
      <c r="AR12" s="19">
        <v>0.30123111111111117</v>
      </c>
      <c r="AS12" s="19">
        <v>2.1994367091118345</v>
      </c>
      <c r="AT12" s="19">
        <v>28.440031397530845</v>
      </c>
      <c r="AU12" s="19">
        <v>0.87552180564121007</v>
      </c>
      <c r="AV12" s="19">
        <v>0.52386965690207066</v>
      </c>
      <c r="AW12" s="19">
        <v>403.80581000000006</v>
      </c>
      <c r="AX12" s="19">
        <v>83.643062999999998</v>
      </c>
      <c r="AY12" s="19">
        <v>442.30257999999992</v>
      </c>
      <c r="AZ12" s="19">
        <v>86.204152999999991</v>
      </c>
      <c r="BA12" s="19">
        <v>229.35577174748732</v>
      </c>
      <c r="BB12" s="19">
        <v>255.30040644661352</v>
      </c>
      <c r="BC12" s="19">
        <v>480.84754960394656</v>
      </c>
      <c r="BD12" s="19">
        <v>40.541683430481967</v>
      </c>
      <c r="BE12" s="19">
        <v>-41.339572676193356</v>
      </c>
      <c r="BF12" s="19">
        <v>79.690728915491249</v>
      </c>
      <c r="BG12" s="19"/>
      <c r="BH12" s="19"/>
      <c r="BI12" s="19"/>
      <c r="BJ12" s="19"/>
    </row>
    <row r="13" spans="1:62" ht="15.75" x14ac:dyDescent="0.25">
      <c r="A13" s="10">
        <v>12</v>
      </c>
      <c r="B13" s="3" t="s">
        <v>56</v>
      </c>
      <c r="C13" s="3" t="s">
        <v>57</v>
      </c>
      <c r="D13" s="6">
        <v>49.8</v>
      </c>
      <c r="E13" s="6">
        <v>160</v>
      </c>
      <c r="F13" s="6">
        <v>20</v>
      </c>
      <c r="G13" s="11" t="s">
        <v>45</v>
      </c>
      <c r="H13" s="11" t="s">
        <v>33</v>
      </c>
      <c r="I13" s="11">
        <v>24</v>
      </c>
      <c r="J13" s="67"/>
      <c r="K13" s="19">
        <v>0.88592872244792198</v>
      </c>
      <c r="L13" s="19">
        <v>1518.6610381553317</v>
      </c>
      <c r="M13" s="19">
        <v>30.495201569384172</v>
      </c>
      <c r="N13" s="19">
        <v>3.064536849827562</v>
      </c>
      <c r="O13" s="19">
        <v>1.2239983416061084</v>
      </c>
      <c r="P13" s="19">
        <v>1163.4981784560987</v>
      </c>
      <c r="Q13" s="19">
        <v>23.363417238074273</v>
      </c>
      <c r="R13" s="19">
        <v>1435.2436587789425</v>
      </c>
      <c r="S13" s="19">
        <v>1435.2436587789425</v>
      </c>
      <c r="T13" s="19">
        <v>2211.4070672072621</v>
      </c>
      <c r="U13" s="19">
        <v>824.15802856904475</v>
      </c>
      <c r="V13" s="19">
        <v>775.17467379773848</v>
      </c>
      <c r="W13" s="19">
        <v>6.319008660503167E-2</v>
      </c>
      <c r="X13" s="19">
        <v>2.9112431573216258</v>
      </c>
      <c r="Y13" s="19">
        <v>3.0124307703287987</v>
      </c>
      <c r="Z13" s="19">
        <v>3.475752712468938E-2</v>
      </c>
      <c r="AA13" s="19">
        <v>599.83110530582815</v>
      </c>
      <c r="AB13" s="19">
        <v>583.79000993197417</v>
      </c>
      <c r="AC13" s="19">
        <v>2.7477509208701845E-2</v>
      </c>
      <c r="AD13" s="19">
        <v>0.60136031065233375</v>
      </c>
      <c r="AE13" s="19">
        <v>0.60043208329540509</v>
      </c>
      <c r="AF13" s="19">
        <v>0.60486922506391094</v>
      </c>
      <c r="AG13" s="19">
        <v>0.51419615809356689</v>
      </c>
      <c r="AH13" s="19">
        <v>0.50163010905347138</v>
      </c>
      <c r="AI13" s="19">
        <v>391.02286411554144</v>
      </c>
      <c r="AJ13" s="19">
        <v>381.46695357647366</v>
      </c>
      <c r="AK13" s="19">
        <f t="shared" si="0"/>
        <v>15.511843728755323</v>
      </c>
      <c r="AL13" s="19">
        <v>2.5050428220519727E-2</v>
      </c>
      <c r="AM13" s="19">
        <v>1.53</v>
      </c>
      <c r="AN13" s="19">
        <v>1.46</v>
      </c>
      <c r="AO13" s="19">
        <v>1.51</v>
      </c>
      <c r="AP13" s="19">
        <v>3.424657534246589E-2</v>
      </c>
      <c r="AQ13" s="19">
        <v>0.41835989877131946</v>
      </c>
      <c r="AR13" s="19">
        <v>0.30181000000000002</v>
      </c>
      <c r="AS13" s="19">
        <v>1.9953873616565345</v>
      </c>
      <c r="AT13" s="19">
        <v>23.309263617473331</v>
      </c>
      <c r="AU13" s="19">
        <v>0.8547776614159468</v>
      </c>
      <c r="AV13" s="19">
        <v>0.82069219625008327</v>
      </c>
      <c r="AW13" s="19">
        <v>356.07606666666669</v>
      </c>
      <c r="AX13" s="19">
        <v>125.15830833333332</v>
      </c>
      <c r="AY13" s="19">
        <v>388.47</v>
      </c>
      <c r="AZ13" s="19">
        <v>101.41668083333333</v>
      </c>
      <c r="BA13" s="19">
        <v>199.45883818245377</v>
      </c>
      <c r="BB13" s="19">
        <v>204.61799413263489</v>
      </c>
      <c r="BC13" s="19">
        <v>391.58796794182655</v>
      </c>
      <c r="BD13" s="19">
        <v>64.776539668777744</v>
      </c>
      <c r="BE13" s="19">
        <v>-50.801218610329592</v>
      </c>
      <c r="BF13" s="19">
        <v>110.7555087226727</v>
      </c>
      <c r="BG13" s="19"/>
      <c r="BH13" s="19"/>
      <c r="BI13" s="19"/>
      <c r="BJ13" s="19"/>
    </row>
    <row r="14" spans="1:62" ht="15.75" x14ac:dyDescent="0.25">
      <c r="A14" s="10">
        <v>13</v>
      </c>
      <c r="B14" s="3" t="s">
        <v>58</v>
      </c>
      <c r="C14" s="3" t="s">
        <v>59</v>
      </c>
      <c r="D14" s="6">
        <v>74</v>
      </c>
      <c r="E14" s="6">
        <v>184</v>
      </c>
      <c r="F14" s="6">
        <v>20</v>
      </c>
      <c r="G14" s="11" t="s">
        <v>32</v>
      </c>
      <c r="H14" s="11" t="s">
        <v>33</v>
      </c>
      <c r="I14" s="11">
        <v>25</v>
      </c>
      <c r="J14" s="67"/>
      <c r="K14" s="19">
        <v>0.8455442148952218</v>
      </c>
      <c r="L14" s="19">
        <v>2432.0777951241444</v>
      </c>
      <c r="M14" s="19">
        <v>32.865916150326278</v>
      </c>
      <c r="N14" s="19">
        <v>2.226204161278091</v>
      </c>
      <c r="O14" s="19">
        <v>1.2107332394434065</v>
      </c>
      <c r="P14" s="19">
        <v>1353.5754270143536</v>
      </c>
      <c r="Q14" s="19">
        <v>18.291559824518291</v>
      </c>
      <c r="R14" s="19">
        <v>1832.8890716991132</v>
      </c>
      <c r="S14" s="19">
        <v>1832.8890716991132</v>
      </c>
      <c r="T14" s="19">
        <v>2754.1594395378888</v>
      </c>
      <c r="U14" s="19">
        <v>1334.9130884107169</v>
      </c>
      <c r="V14" s="19">
        <v>1200.2887569882209</v>
      </c>
      <c r="W14" s="19">
        <v>0.11215995371005305</v>
      </c>
      <c r="X14" s="19">
        <v>1.9298115222196148</v>
      </c>
      <c r="Y14" s="19">
        <v>2.5804849790508135</v>
      </c>
      <c r="Z14" s="19">
        <v>0.33716943304536406</v>
      </c>
      <c r="AA14" s="19">
        <v>644.03266479419324</v>
      </c>
      <c r="AB14" s="19">
        <v>774.33177698291911</v>
      </c>
      <c r="AC14" s="19">
        <v>0.20231755206137603</v>
      </c>
      <c r="AD14" s="19">
        <v>0.59612447934963764</v>
      </c>
      <c r="AE14" s="19">
        <v>0.60707034007473748</v>
      </c>
      <c r="AF14" s="19">
        <v>0.58900798315969016</v>
      </c>
      <c r="AG14" s="19">
        <v>0.4650460975468495</v>
      </c>
      <c r="AH14" s="19">
        <v>0.56090445005231038</v>
      </c>
      <c r="AI14" s="19">
        <v>567.09016317933231</v>
      </c>
      <c r="AJ14" s="19">
        <v>683.98250794080502</v>
      </c>
      <c r="AK14" s="19">
        <f t="shared" si="0"/>
        <v>16.906387447569422</v>
      </c>
      <c r="AL14" s="19">
        <v>0.20612656037997179</v>
      </c>
      <c r="AM14" s="19">
        <v>1.1100000000000001</v>
      </c>
      <c r="AN14" s="19">
        <v>0.97</v>
      </c>
      <c r="AO14" s="19">
        <v>1.29</v>
      </c>
      <c r="AP14" s="19">
        <v>0.32989690721649501</v>
      </c>
      <c r="AQ14" s="19">
        <v>10.540814816792203</v>
      </c>
      <c r="AR14" s="19">
        <v>0.31913200000000003</v>
      </c>
      <c r="AS14" s="19">
        <v>1.809953588004285</v>
      </c>
      <c r="AT14" s="19">
        <v>56.300960999754189</v>
      </c>
      <c r="AU14" s="19">
        <v>0.80489143068445435</v>
      </c>
      <c r="AV14" s="19">
        <v>0.89052429396358512</v>
      </c>
      <c r="AW14" s="19">
        <v>509.46758888888894</v>
      </c>
      <c r="AX14" s="19">
        <v>152.26572222222222</v>
      </c>
      <c r="AY14" s="19">
        <v>429.46836666666672</v>
      </c>
      <c r="AZ14" s="19">
        <v>123.58569555555556</v>
      </c>
      <c r="BA14" s="19">
        <v>266.11594256369142</v>
      </c>
      <c r="BB14" s="19">
        <v>209.70927127283332</v>
      </c>
      <c r="BC14" s="19">
        <v>473.97495778504151</v>
      </c>
      <c r="BD14" s="19">
        <v>85.737805471975079</v>
      </c>
      <c r="BE14" s="19">
        <v>-66.898948274508982</v>
      </c>
      <c r="BF14" s="19">
        <v>148.45413634598253</v>
      </c>
      <c r="BG14" s="19"/>
      <c r="BH14" s="19"/>
      <c r="BI14" s="19"/>
      <c r="BJ14" s="19"/>
    </row>
    <row r="15" spans="1:62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67"/>
      <c r="K15" s="19">
        <v>0.94977897687701263</v>
      </c>
      <c r="L15" s="19">
        <v>1904.228358307616</v>
      </c>
      <c r="M15" s="19">
        <v>30.862696244856011</v>
      </c>
      <c r="N15" s="19">
        <v>3.1225241783238054</v>
      </c>
      <c r="O15" s="19">
        <v>1.3274126342988304</v>
      </c>
      <c r="P15" s="19">
        <v>1486.4997724663444</v>
      </c>
      <c r="Q15" s="19">
        <v>24.092378808206554</v>
      </c>
      <c r="R15" s="19">
        <v>4429.7808049632349</v>
      </c>
      <c r="S15" s="19">
        <v>4429.7808049632349</v>
      </c>
      <c r="T15" s="19">
        <v>6834.6523442892358</v>
      </c>
      <c r="U15" s="19">
        <v>899.6464640611282</v>
      </c>
      <c r="V15" s="19">
        <v>1118.9927143956738</v>
      </c>
      <c r="W15" s="19">
        <v>0.24381383031772996</v>
      </c>
      <c r="X15" s="19">
        <v>3.0660853487833455</v>
      </c>
      <c r="Y15" s="19">
        <v>2.8467955282412181</v>
      </c>
      <c r="Z15" s="19">
        <v>7.7030407827571423E-2</v>
      </c>
      <c r="AA15" s="19">
        <v>689.59821063564198</v>
      </c>
      <c r="AB15" s="19">
        <v>796.38586386902671</v>
      </c>
      <c r="AC15" s="19">
        <v>0.15485488736253017</v>
      </c>
      <c r="AD15" s="19">
        <v>0.62686925820123229</v>
      </c>
      <c r="AE15" s="19">
        <v>0.6245381045481615</v>
      </c>
      <c r="AF15" s="19">
        <v>0.62976296624869865</v>
      </c>
      <c r="AG15" s="19">
        <v>0.46376423822391494</v>
      </c>
      <c r="AH15" s="19">
        <v>0.53081179185239025</v>
      </c>
      <c r="AI15" s="19">
        <v>441.91345134761622</v>
      </c>
      <c r="AJ15" s="19">
        <v>505.80198217061661</v>
      </c>
      <c r="AK15" s="19">
        <f t="shared" si="0"/>
        <v>15.360055648593725</v>
      </c>
      <c r="AL15" s="19">
        <v>0.14457249632970481</v>
      </c>
      <c r="AM15" s="19">
        <v>1.56</v>
      </c>
      <c r="AN15" s="19">
        <v>1.53</v>
      </c>
      <c r="AO15" s="19">
        <v>1.42</v>
      </c>
      <c r="AP15" s="19">
        <v>7.7464788732394485E-2</v>
      </c>
      <c r="AQ15" s="19">
        <v>11.11610289465637</v>
      </c>
      <c r="AR15" s="19">
        <v>0.28454874999999996</v>
      </c>
      <c r="AS15" s="19">
        <v>2.0287754373438003</v>
      </c>
      <c r="AT15" s="19">
        <v>22.837616531806557</v>
      </c>
      <c r="AU15" s="19">
        <v>0.78281647058048243</v>
      </c>
      <c r="AV15" s="19">
        <v>0.87610875731133597</v>
      </c>
      <c r="AW15" s="19">
        <v>447.64552000000003</v>
      </c>
      <c r="AX15" s="19">
        <v>100.28924299999998</v>
      </c>
      <c r="AY15" s="19">
        <v>379.28787</v>
      </c>
      <c r="AZ15" s="19">
        <v>96.167820000000006</v>
      </c>
      <c r="BA15" s="19">
        <v>229.50090444480185</v>
      </c>
      <c r="BB15" s="19">
        <v>184.72168768679956</v>
      </c>
      <c r="BC15" s="19">
        <v>412.43228555803609</v>
      </c>
      <c r="BD15" s="19">
        <v>55.511599201617194</v>
      </c>
      <c r="BE15" s="19">
        <v>-49.804941969790029</v>
      </c>
      <c r="BF15" s="19">
        <v>103.75534511830503</v>
      </c>
      <c r="BG15" s="19"/>
      <c r="BH15" s="19"/>
      <c r="BI15" s="19"/>
      <c r="BJ15" s="19"/>
    </row>
    <row r="16" spans="1:62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67"/>
      <c r="K16" s="19">
        <v>0.89340744754657719</v>
      </c>
      <c r="L16" s="19">
        <v>2211.2142822633014</v>
      </c>
      <c r="M16" s="19">
        <v>27.814016129098132</v>
      </c>
      <c r="N16" s="19">
        <v>3.7320644287288327</v>
      </c>
      <c r="O16" s="19">
        <v>1.4076968172972</v>
      </c>
      <c r="P16" s="19">
        <v>2063.0985417830061</v>
      </c>
      <c r="Q16" s="19">
        <v>25.95092505387429</v>
      </c>
      <c r="R16" s="19">
        <v>3826.9257651968987</v>
      </c>
      <c r="S16" s="19">
        <v>3826.9257651968987</v>
      </c>
      <c r="T16" s="19">
        <v>5827.5856297266346</v>
      </c>
      <c r="U16" s="19">
        <v>1088.9757306804572</v>
      </c>
      <c r="V16" s="19">
        <v>1132.5117730352456</v>
      </c>
      <c r="W16" s="19">
        <v>3.9978891290427976E-2</v>
      </c>
      <c r="X16" s="19">
        <v>3.8715454663398865</v>
      </c>
      <c r="Y16" s="19">
        <v>3.5890727991739451</v>
      </c>
      <c r="Z16" s="19">
        <v>7.8703521207748928E-2</v>
      </c>
      <c r="AA16" s="19">
        <v>1054.0047632675223</v>
      </c>
      <c r="AB16" s="19">
        <v>1016.1667998362641</v>
      </c>
      <c r="AC16" s="19">
        <v>3.723597684686708E-2</v>
      </c>
      <c r="AD16" s="19">
        <v>0.5878919086181803</v>
      </c>
      <c r="AE16" s="19">
        <v>0.5778673298515733</v>
      </c>
      <c r="AF16" s="19">
        <v>0.59827243835772226</v>
      </c>
      <c r="AG16" s="19">
        <v>0.51029685878210651</v>
      </c>
      <c r="AH16" s="19">
        <v>0.49167522421371695</v>
      </c>
      <c r="AI16" s="19">
        <v>562.98820604016692</v>
      </c>
      <c r="AJ16" s="19">
        <v>542.44377105341403</v>
      </c>
      <c r="AK16" s="19">
        <f t="shared" si="0"/>
        <v>14.54515759333659</v>
      </c>
      <c r="AL16" s="19">
        <v>3.7873851785330759E-2</v>
      </c>
      <c r="AM16" s="19">
        <v>1.87</v>
      </c>
      <c r="AN16" s="19">
        <v>1.94</v>
      </c>
      <c r="AO16" s="19">
        <v>1.8</v>
      </c>
      <c r="AP16" s="19">
        <v>7.7777777777777724E-2</v>
      </c>
      <c r="AQ16" s="19">
        <v>-2.7097885019941312</v>
      </c>
      <c r="AR16" s="19">
        <v>0.3149088888888889</v>
      </c>
      <c r="AS16" s="19">
        <v>2.1727795628545383</v>
      </c>
      <c r="AT16" s="19">
        <v>102.48180393037237</v>
      </c>
      <c r="AU16" s="19">
        <v>0.86313806644846269</v>
      </c>
      <c r="AV16" s="19">
        <v>23.249244607068594</v>
      </c>
      <c r="AW16" s="19">
        <v>564.11580909090924</v>
      </c>
      <c r="AX16" s="19">
        <v>147.85931818181817</v>
      </c>
      <c r="AY16" s="19">
        <v>577.79407272727269</v>
      </c>
      <c r="AZ16" s="19">
        <v>205.78301818181816</v>
      </c>
      <c r="BA16" s="19">
        <v>289.03479293522332</v>
      </c>
      <c r="BB16" s="19">
        <v>306.91959700929186</v>
      </c>
      <c r="BC16" s="19">
        <v>592.19743404510984</v>
      </c>
      <c r="BD16" s="19">
        <v>78.137075587723999</v>
      </c>
      <c r="BE16" s="19">
        <v>-109.53341983863506</v>
      </c>
      <c r="BF16" s="19">
        <v>185.18958970788725</v>
      </c>
      <c r="BG16" s="19"/>
      <c r="BH16" s="19"/>
      <c r="BI16" s="19"/>
      <c r="BJ16" s="19"/>
    </row>
    <row r="17" spans="1:62" ht="15.75" x14ac:dyDescent="0.25">
      <c r="A17" s="10">
        <v>16</v>
      </c>
      <c r="B17" s="3" t="s">
        <v>64</v>
      </c>
      <c r="C17" s="3" t="s">
        <v>65</v>
      </c>
      <c r="D17" s="6">
        <v>58.1</v>
      </c>
      <c r="E17" s="6">
        <v>173</v>
      </c>
      <c r="F17" s="6">
        <v>20</v>
      </c>
      <c r="G17" s="11" t="s">
        <v>45</v>
      </c>
      <c r="H17" s="11" t="s">
        <v>33</v>
      </c>
      <c r="I17" s="11">
        <v>25</v>
      </c>
      <c r="J17" s="67"/>
      <c r="K17" s="19">
        <v>0.8096831512355851</v>
      </c>
      <c r="L17" s="19">
        <v>1345.651381708112</v>
      </c>
      <c r="M17" s="19">
        <v>23.160953213564749</v>
      </c>
      <c r="N17" s="19">
        <v>4.9774794080400531</v>
      </c>
      <c r="O17" s="19">
        <v>1.2527714657395503</v>
      </c>
      <c r="P17" s="19">
        <v>1674.4880107131933</v>
      </c>
      <c r="Q17" s="19">
        <v>28.820791922774411</v>
      </c>
      <c r="R17" s="19">
        <v>10985.508865287266</v>
      </c>
      <c r="S17" s="19">
        <v>10985.508865287266</v>
      </c>
      <c r="T17" s="19">
        <v>13935.892374439063</v>
      </c>
      <c r="U17" s="19">
        <v>678.61273000739072</v>
      </c>
      <c r="V17" s="19">
        <v>732.46249126650991</v>
      </c>
      <c r="W17" s="19">
        <v>7.9352713083547188E-2</v>
      </c>
      <c r="X17" s="19">
        <v>5.4048243455879401</v>
      </c>
      <c r="Y17" s="19">
        <v>3.8210655609622775</v>
      </c>
      <c r="Z17" s="19">
        <v>0.41448092406632697</v>
      </c>
      <c r="AA17" s="19">
        <v>916.94565109246025</v>
      </c>
      <c r="AB17" s="19">
        <v>699.6968000187735</v>
      </c>
      <c r="AC17" s="19">
        <v>0.31048998804604766</v>
      </c>
      <c r="AD17" s="19">
        <v>0.60721794039284627</v>
      </c>
      <c r="AE17" s="19">
        <v>0.63814508525355162</v>
      </c>
      <c r="AF17" s="19">
        <v>0.57883852200316499</v>
      </c>
      <c r="AG17" s="19">
        <v>0.54421464232289674</v>
      </c>
      <c r="AH17" s="19">
        <v>0.37941785421302215</v>
      </c>
      <c r="AI17" s="19">
        <v>365.97616872898868</v>
      </c>
      <c r="AJ17" s="19">
        <v>255.15280522325202</v>
      </c>
      <c r="AK17" s="19">
        <f t="shared" si="0"/>
        <v>10.690688019832026</v>
      </c>
      <c r="AL17" s="19">
        <v>0.43434115258411188</v>
      </c>
      <c r="AM17" s="19">
        <v>2.4900000000000002</v>
      </c>
      <c r="AN17" s="19">
        <v>2.7</v>
      </c>
      <c r="AO17" s="19">
        <v>1.9100000000000001</v>
      </c>
      <c r="AP17" s="19">
        <v>0.41361256544502623</v>
      </c>
      <c r="AQ17" s="19">
        <v>-0.40339802913070266</v>
      </c>
      <c r="AR17" s="19">
        <v>0.30091888888888885</v>
      </c>
      <c r="AS17" s="19">
        <v>1.8640009520409377</v>
      </c>
      <c r="AT17" s="19">
        <v>21.982623179783442</v>
      </c>
      <c r="AU17" s="19">
        <v>0.63286606263157585</v>
      </c>
      <c r="AV17" s="19">
        <v>0.85123639130857753</v>
      </c>
      <c r="AW17" s="19">
        <v>444.15356666666662</v>
      </c>
      <c r="AX17" s="19">
        <v>78.038325555555559</v>
      </c>
      <c r="AY17" s="19">
        <v>363.65116666666665</v>
      </c>
      <c r="AZ17" s="19">
        <v>82.271388888888893</v>
      </c>
      <c r="BA17" s="19">
        <v>276.14531708112906</v>
      </c>
      <c r="BB17" s="19">
        <v>215.85233810293801</v>
      </c>
      <c r="BC17" s="19">
        <v>477.35934089347415</v>
      </c>
      <c r="BD17" s="19">
        <v>40.958227295060659</v>
      </c>
      <c r="BE17" s="19">
        <v>-38.418782187053694</v>
      </c>
      <c r="BF17" s="19">
        <v>77.704974081730171</v>
      </c>
      <c r="BG17" s="19"/>
      <c r="BH17" s="19"/>
      <c r="BI17" s="19"/>
      <c r="BJ17" s="19"/>
    </row>
    <row r="18" spans="1:62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67"/>
      <c r="K18" s="19">
        <v>0.96565732309585361</v>
      </c>
      <c r="L18" s="19">
        <v>1587.7834798997956</v>
      </c>
      <c r="M18" s="19">
        <v>20.252340304844331</v>
      </c>
      <c r="N18" s="19">
        <v>5.081464959145098</v>
      </c>
      <c r="O18" s="19">
        <v>1.4129541970304724</v>
      </c>
      <c r="P18" s="19">
        <v>2017.0665289550691</v>
      </c>
      <c r="Q18" s="19">
        <v>25.727889399937105</v>
      </c>
      <c r="R18" s="19">
        <v>9231.9335723971781</v>
      </c>
      <c r="S18" s="19">
        <v>9231.9335723971781</v>
      </c>
      <c r="T18" s="19">
        <v>12609.889457567482</v>
      </c>
      <c r="U18" s="19">
        <v>726.63722342383392</v>
      </c>
      <c r="V18" s="19">
        <v>915.62160150456896</v>
      </c>
      <c r="W18" s="19">
        <v>0.26008078307667981</v>
      </c>
      <c r="X18" s="19">
        <v>6.7466671683089681</v>
      </c>
      <c r="Y18" s="19">
        <v>3.9676857235000269</v>
      </c>
      <c r="Z18" s="19">
        <v>0.70040362026393299</v>
      </c>
      <c r="AA18" s="19">
        <v>1225.5948746361921</v>
      </c>
      <c r="AB18" s="19">
        <v>908.22468910447731</v>
      </c>
      <c r="AC18" s="19">
        <v>0.34944016534569911</v>
      </c>
      <c r="AD18" s="19">
        <v>0.64732773313453729</v>
      </c>
      <c r="AE18" s="19">
        <v>0.63876715725745803</v>
      </c>
      <c r="AF18" s="19">
        <v>0.65727261153998828</v>
      </c>
      <c r="AG18" s="19">
        <v>0.57053203901610905</v>
      </c>
      <c r="AH18" s="19">
        <v>0.41488230463107423</v>
      </c>
      <c r="AI18" s="19">
        <v>453.07125352300261</v>
      </c>
      <c r="AJ18" s="19">
        <v>329.46659077704419</v>
      </c>
      <c r="AK18" s="19">
        <f t="shared" si="0"/>
        <v>10.032536465385215</v>
      </c>
      <c r="AL18" s="19">
        <v>0.37516599924270877</v>
      </c>
      <c r="AM18" s="19">
        <v>2.54</v>
      </c>
      <c r="AN18" s="19">
        <v>3.38</v>
      </c>
      <c r="AO18" s="19">
        <v>1.98</v>
      </c>
      <c r="AP18" s="19">
        <v>0.70707070707070696</v>
      </c>
      <c r="AQ18" s="19">
        <v>4.7728180068963795</v>
      </c>
      <c r="AR18" s="19">
        <v>0.32014999999999999</v>
      </c>
      <c r="AS18" s="19">
        <v>2.0249018207783074</v>
      </c>
      <c r="AT18" s="19">
        <v>13.59579352631609</v>
      </c>
      <c r="AU18" s="19">
        <v>0.50121376000196338</v>
      </c>
      <c r="AV18" s="19">
        <v>0.90366642542904729</v>
      </c>
      <c r="AW18" s="19">
        <v>375.29092222222221</v>
      </c>
      <c r="AX18" s="19">
        <v>102.61087444444445</v>
      </c>
      <c r="AY18" s="19">
        <v>373.1169888888889</v>
      </c>
      <c r="AZ18" s="19">
        <v>100.35442666666667</v>
      </c>
      <c r="BA18" s="19">
        <v>215.12108669107604</v>
      </c>
      <c r="BB18" s="19">
        <v>212.96033072735179</v>
      </c>
      <c r="BC18" s="19">
        <v>421.58704629263985</v>
      </c>
      <c r="BD18" s="19">
        <v>58.028028852445281</v>
      </c>
      <c r="BE18" s="19">
        <v>-58.289368088827082</v>
      </c>
      <c r="BF18" s="19">
        <v>114.19468542527592</v>
      </c>
      <c r="BG18" s="19"/>
      <c r="BH18" s="19"/>
      <c r="BI18" s="19"/>
      <c r="BJ18" s="19"/>
    </row>
    <row r="19" spans="1:62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67"/>
      <c r="K19" s="19">
        <v>0.82789056715910525</v>
      </c>
      <c r="L19" s="19">
        <v>3161.9800416415333</v>
      </c>
      <c r="M19" s="19">
        <v>31.619800416415334</v>
      </c>
      <c r="N19" s="19">
        <v>2.1481934813406194</v>
      </c>
      <c r="O19" s="19">
        <v>1.2178666074322302</v>
      </c>
      <c r="P19" s="19">
        <v>1698.1362283958706</v>
      </c>
      <c r="Q19" s="19">
        <v>16.981362283958706</v>
      </c>
      <c r="R19" s="19">
        <v>7910.2023178098761</v>
      </c>
      <c r="S19" s="19">
        <v>7910.2023178098761</v>
      </c>
      <c r="T19" s="19">
        <v>11402.032976640983</v>
      </c>
      <c r="U19" s="19">
        <v>1683.4163602516539</v>
      </c>
      <c r="V19" s="19">
        <v>1651.1018508138427</v>
      </c>
      <c r="W19" s="19">
        <v>1.9571481566617477E-2</v>
      </c>
      <c r="X19" s="19">
        <v>1.9875946048409761</v>
      </c>
      <c r="Y19" s="19">
        <v>2.0808724544797501</v>
      </c>
      <c r="Z19" s="19">
        <v>4.6930017525498968E-2</v>
      </c>
      <c r="AA19" s="19">
        <v>836.48731883430503</v>
      </c>
      <c r="AB19" s="19">
        <v>858.93309022476478</v>
      </c>
      <c r="AC19" s="19">
        <v>2.6833367207215186E-2</v>
      </c>
      <c r="AD19" s="19">
        <v>0.60040258925430801</v>
      </c>
      <c r="AE19" s="19">
        <v>0.5956593445146634</v>
      </c>
      <c r="AF19" s="19">
        <v>0.60528240234123443</v>
      </c>
      <c r="AG19" s="19">
        <v>0.48970231147286453</v>
      </c>
      <c r="AH19" s="19">
        <v>0.50540825801502964</v>
      </c>
      <c r="AI19" s="19">
        <v>777.16741940519546</v>
      </c>
      <c r="AJ19" s="19">
        <v>802.0930725163239</v>
      </c>
      <c r="AK19" s="19">
        <f t="shared" si="0"/>
        <v>15.952126181025449</v>
      </c>
      <c r="AL19" s="19">
        <v>3.2072437017760302E-2</v>
      </c>
      <c r="AM19" s="19">
        <v>1.07</v>
      </c>
      <c r="AN19" s="19">
        <v>1</v>
      </c>
      <c r="AO19" s="19">
        <v>1.05</v>
      </c>
      <c r="AP19" s="19">
        <v>5.0000000000000044E-2</v>
      </c>
      <c r="AQ19" s="19">
        <v>5.4715708298052421</v>
      </c>
      <c r="AR19" s="19">
        <v>0.373645</v>
      </c>
      <c r="AS19" s="19">
        <v>1.9941627990003601</v>
      </c>
      <c r="AT19" s="19">
        <v>100.82199305813145</v>
      </c>
      <c r="AU19" s="19">
        <v>0.83506234498661791</v>
      </c>
      <c r="AV19" s="19">
        <v>0.94275363036090121</v>
      </c>
      <c r="AW19" s="19">
        <v>665.67171111111111</v>
      </c>
      <c r="AX19" s="19">
        <v>120.41346333333334</v>
      </c>
      <c r="AY19" s="19">
        <v>667.93346666666673</v>
      </c>
      <c r="AZ19" s="19">
        <v>105.78014666666667</v>
      </c>
      <c r="BA19" s="19">
        <v>355.92757692152099</v>
      </c>
      <c r="BB19" s="19">
        <v>372.22207905925143</v>
      </c>
      <c r="BC19" s="19">
        <v>733.46175749242752</v>
      </c>
      <c r="BD19" s="19">
        <v>60.596597353435904</v>
      </c>
      <c r="BE19" s="19">
        <v>-51.306767375948155</v>
      </c>
      <c r="BF19" s="19">
        <v>110.99293498148047</v>
      </c>
      <c r="BG19" s="19"/>
      <c r="BH19" s="19"/>
      <c r="BI19" s="19"/>
      <c r="BJ19" s="19"/>
    </row>
    <row r="20" spans="1:62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67"/>
      <c r="K20" s="19">
        <v>0.80339500192555824</v>
      </c>
      <c r="L20" s="19">
        <v>2719.0283878412624</v>
      </c>
      <c r="M20" s="19">
        <v>28.651510936156608</v>
      </c>
      <c r="N20" s="19">
        <v>3.6066602858130499</v>
      </c>
      <c r="O20" s="19">
        <v>1.452335431396067</v>
      </c>
      <c r="P20" s="19">
        <v>2451.6529256063409</v>
      </c>
      <c r="Q20" s="19">
        <v>25.834066655493579</v>
      </c>
      <c r="R20" s="19">
        <v>8409.4965526055294</v>
      </c>
      <c r="S20" s="19">
        <v>8409.4965526055294</v>
      </c>
      <c r="T20" s="19">
        <v>12882.897332215791</v>
      </c>
      <c r="U20" s="19">
        <v>1425.2005646385428</v>
      </c>
      <c r="V20" s="19">
        <v>1317.7106653800008</v>
      </c>
      <c r="W20" s="19">
        <v>8.1573217916957486E-2</v>
      </c>
      <c r="X20" s="19">
        <v>3.1997864550856123</v>
      </c>
      <c r="Y20" s="19">
        <v>4.5128468703043998</v>
      </c>
      <c r="Z20" s="19">
        <v>0.41035876413935735</v>
      </c>
      <c r="AA20" s="19">
        <v>1140.0843656276941</v>
      </c>
      <c r="AB20" s="19">
        <v>1486.6566130567162</v>
      </c>
      <c r="AC20" s="19">
        <v>0.30398824672787317</v>
      </c>
      <c r="AD20" s="19">
        <v>0.62108198118800684</v>
      </c>
      <c r="AE20" s="19">
        <v>0.64601462138474075</v>
      </c>
      <c r="AF20" s="19">
        <v>0.60010079495195168</v>
      </c>
      <c r="AG20" s="19">
        <v>0.45775360660659914</v>
      </c>
      <c r="AH20" s="19">
        <v>0.58158037330564449</v>
      </c>
      <c r="AI20" s="19">
        <v>623.47174543184383</v>
      </c>
      <c r="AJ20" s="19">
        <v>792.12686742498317</v>
      </c>
      <c r="AK20" s="19">
        <f t="shared" si="0"/>
        <v>14.901038030071863</v>
      </c>
      <c r="AL20" s="19">
        <v>0.2705096473559061</v>
      </c>
      <c r="AM20" s="19">
        <v>1.8</v>
      </c>
      <c r="AN20" s="19">
        <v>1.6</v>
      </c>
      <c r="AO20" s="19">
        <v>2.2600000000000002</v>
      </c>
      <c r="AP20" s="19">
        <v>0.41250000000000009</v>
      </c>
      <c r="AQ20" s="19">
        <v>5.2047445401835812</v>
      </c>
      <c r="AR20" s="19">
        <v>0.32787200000000005</v>
      </c>
      <c r="AS20" s="19">
        <v>2.2525955016065589</v>
      </c>
      <c r="AT20" s="19">
        <v>72.746410086377651</v>
      </c>
      <c r="AU20" s="19">
        <v>0.87955206607581204</v>
      </c>
      <c r="AV20" s="19">
        <v>0.57139996482875421</v>
      </c>
      <c r="AW20" s="19">
        <v>687.2989727272726</v>
      </c>
      <c r="AX20" s="19">
        <v>239.46339999999998</v>
      </c>
      <c r="AY20" s="19">
        <v>576.57010000000002</v>
      </c>
      <c r="AZ20" s="19">
        <v>162.33330000000001</v>
      </c>
      <c r="BA20" s="19">
        <v>371.56344339606841</v>
      </c>
      <c r="BB20" s="19">
        <v>284.04620005809539</v>
      </c>
      <c r="BC20" s="19">
        <v>645.51582611265565</v>
      </c>
      <c r="BD20" s="19">
        <v>127.81196083260366</v>
      </c>
      <c r="BE20" s="19">
        <v>-83.170141766620205</v>
      </c>
      <c r="BF20" s="19">
        <v>204.73075069034576</v>
      </c>
      <c r="BG20" s="19"/>
      <c r="BH20" s="19"/>
      <c r="BI20" s="19"/>
      <c r="BJ20" s="19"/>
    </row>
    <row r="21" spans="1:62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67"/>
      <c r="K21" s="19">
        <v>0.95270289870649305</v>
      </c>
      <c r="L21" s="19">
        <v>2212.0494173288535</v>
      </c>
      <c r="M21" s="19">
        <v>21.269705935854361</v>
      </c>
      <c r="N21" s="19">
        <v>6.0011924509984373</v>
      </c>
      <c r="O21" s="19">
        <v>1.7910685860067805</v>
      </c>
      <c r="P21" s="19">
        <v>3318.7335661273519</v>
      </c>
      <c r="Q21" s="19">
        <v>31.910899674301461</v>
      </c>
      <c r="R21" s="19">
        <v>15326.94890703405</v>
      </c>
      <c r="S21" s="19">
        <v>15326.94890703405</v>
      </c>
      <c r="T21" s="19">
        <v>24686.052246071566</v>
      </c>
      <c r="U21" s="19">
        <v>1052.0475508067818</v>
      </c>
      <c r="V21" s="19">
        <v>1175.2637128180932</v>
      </c>
      <c r="W21" s="19">
        <v>0.11712033540387101</v>
      </c>
      <c r="X21" s="19">
        <v>6.2123260552709665</v>
      </c>
      <c r="Y21" s="19">
        <v>5.7869188502355469</v>
      </c>
      <c r="Z21" s="19">
        <v>7.3511866339391219E-2</v>
      </c>
      <c r="AA21" s="19">
        <v>1633.9156028152443</v>
      </c>
      <c r="AB21" s="19">
        <v>1700.28893342621</v>
      </c>
      <c r="AC21" s="19">
        <v>4.062225153894361E-2</v>
      </c>
      <c r="AD21" s="19">
        <v>0.63510149053208675</v>
      </c>
      <c r="AE21" s="19">
        <v>0.63593845973186147</v>
      </c>
      <c r="AF21" s="19">
        <v>0.63469081619205669</v>
      </c>
      <c r="AG21" s="19">
        <v>0.49175596006164918</v>
      </c>
      <c r="AH21" s="19">
        <v>0.51163605536926171</v>
      </c>
      <c r="AI21" s="19">
        <v>544.00231552128741</v>
      </c>
      <c r="AJ21" s="19">
        <v>565.99456118470403</v>
      </c>
      <c r="AK21" s="19">
        <f t="shared" si="0"/>
        <v>10.776668705883411</v>
      </c>
      <c r="AL21" s="19">
        <v>4.0426750100029718E-2</v>
      </c>
      <c r="AM21" s="19">
        <v>3</v>
      </c>
      <c r="AN21" s="19">
        <v>3.11</v>
      </c>
      <c r="AO21" s="19">
        <v>2.89</v>
      </c>
      <c r="AP21" s="19">
        <v>7.6124567474048277E-2</v>
      </c>
      <c r="AQ21" s="19">
        <v>3.7355518464711719</v>
      </c>
      <c r="AR21" s="19">
        <v>0.47301000000000004</v>
      </c>
      <c r="AS21" s="19">
        <v>2.5046769011067584</v>
      </c>
      <c r="AT21" s="19">
        <v>25.276668155049887</v>
      </c>
      <c r="AU21" s="19">
        <v>0.80714318800695162</v>
      </c>
      <c r="AV21" s="19">
        <v>0.92269732509888014</v>
      </c>
      <c r="AW21" s="19">
        <v>522.03778999999997</v>
      </c>
      <c r="AX21" s="19">
        <v>158.75324999999998</v>
      </c>
      <c r="AY21" s="19">
        <v>499.00214999999997</v>
      </c>
      <c r="AZ21" s="19">
        <v>151.45079000000004</v>
      </c>
      <c r="BA21" s="19">
        <v>313.45801194319978</v>
      </c>
      <c r="BB21" s="19">
        <v>287.94163240439082</v>
      </c>
      <c r="BC21" s="19">
        <v>597.94484429800889</v>
      </c>
      <c r="BD21" s="19">
        <v>100.67704228039651</v>
      </c>
      <c r="BE21" s="19">
        <v>-84.617272362448674</v>
      </c>
      <c r="BF21" s="19">
        <v>183.08742309661415</v>
      </c>
      <c r="BG21" s="19"/>
      <c r="BH21" s="19"/>
      <c r="BI21" s="19"/>
      <c r="BJ21" s="19"/>
    </row>
    <row r="22" spans="1:62" ht="15.75" x14ac:dyDescent="0.25">
      <c r="A22" s="10">
        <v>21</v>
      </c>
      <c r="B22" s="3" t="s">
        <v>74</v>
      </c>
      <c r="C22" s="3" t="s">
        <v>75</v>
      </c>
      <c r="D22" s="6">
        <v>113</v>
      </c>
      <c r="E22" s="6">
        <v>207</v>
      </c>
      <c r="F22" s="6">
        <v>25</v>
      </c>
      <c r="G22" s="11" t="s">
        <v>32</v>
      </c>
      <c r="H22" s="11" t="s">
        <v>63</v>
      </c>
      <c r="I22" s="11">
        <v>25</v>
      </c>
      <c r="J22" s="67"/>
      <c r="K22" s="19">
        <v>0.87936406871678185</v>
      </c>
      <c r="L22" s="19">
        <v>2576.3389685085485</v>
      </c>
      <c r="M22" s="19">
        <v>23.00302650454061</v>
      </c>
      <c r="N22" s="19">
        <v>3.5797245363598225</v>
      </c>
      <c r="O22" s="19">
        <v>1.6171268572095763</v>
      </c>
      <c r="P22" s="19">
        <v>2305.6459548875018</v>
      </c>
      <c r="Q22" s="19">
        <v>20.586124597209839</v>
      </c>
      <c r="R22" s="19">
        <v>10334.591182942817</v>
      </c>
      <c r="S22" s="19">
        <v>10334.591182942817</v>
      </c>
      <c r="T22" s="19">
        <v>15691.725470805961</v>
      </c>
      <c r="U22" s="19">
        <v>1269.8273724174508</v>
      </c>
      <c r="V22" s="19">
        <v>1349.1988426314942</v>
      </c>
      <c r="W22" s="19">
        <v>6.2505716869954542E-2</v>
      </c>
      <c r="X22" s="19">
        <v>3.6902109578772939</v>
      </c>
      <c r="Y22" s="19">
        <v>3.4649566900079694</v>
      </c>
      <c r="Z22" s="19">
        <v>6.5009259284221077E-2</v>
      </c>
      <c r="AA22" s="19">
        <v>1171.4827210768522</v>
      </c>
      <c r="AB22" s="19">
        <v>1168.7288889817514</v>
      </c>
      <c r="AC22" s="19">
        <v>2.356262535360143E-3</v>
      </c>
      <c r="AD22" s="19">
        <v>0.65182612504477389</v>
      </c>
      <c r="AE22" s="19">
        <v>0.65809312042214485</v>
      </c>
      <c r="AF22" s="19">
        <v>0.64615880543584625</v>
      </c>
      <c r="AG22" s="19">
        <v>0.5076398679074493</v>
      </c>
      <c r="AH22" s="19">
        <v>0.50633989253840894</v>
      </c>
      <c r="AI22" s="19">
        <v>653.87586650822732</v>
      </c>
      <c r="AJ22" s="19">
        <v>652.20140676893504</v>
      </c>
      <c r="AK22" s="19">
        <f t="shared" si="0"/>
        <v>11.558205958204978</v>
      </c>
      <c r="AL22" s="19">
        <v>2.5673966997215025E-3</v>
      </c>
      <c r="AM22" s="19">
        <v>1.79</v>
      </c>
      <c r="AN22" s="19">
        <v>1.84</v>
      </c>
      <c r="AO22" s="19">
        <v>1.73</v>
      </c>
      <c r="AP22" s="19">
        <v>6.3583815028901869E-2</v>
      </c>
      <c r="AQ22" s="19">
        <v>3.4641725402221915</v>
      </c>
      <c r="AR22" s="19">
        <v>0.48969875000000007</v>
      </c>
      <c r="AS22" s="19">
        <v>2.3104248482684615</v>
      </c>
      <c r="AT22" s="19">
        <v>72.720290812752395</v>
      </c>
      <c r="AU22" s="19">
        <v>0.83682128674343936</v>
      </c>
      <c r="AV22" s="19">
        <v>0.81148015590193667</v>
      </c>
      <c r="AW22" s="19">
        <v>529.51299090909095</v>
      </c>
      <c r="AX22" s="19">
        <v>158.5448909090909</v>
      </c>
      <c r="AY22" s="19">
        <v>497.05823636363624</v>
      </c>
      <c r="AZ22" s="19">
        <v>148.58845272727271</v>
      </c>
      <c r="BA22" s="19">
        <v>296.94078365021835</v>
      </c>
      <c r="BB22" s="19">
        <v>271.56574491072854</v>
      </c>
      <c r="BC22" s="19">
        <v>570.44264844953557</v>
      </c>
      <c r="BD22" s="19">
        <v>72.227049752124529</v>
      </c>
      <c r="BE22" s="19">
        <v>-66.106866410020373</v>
      </c>
      <c r="BF22" s="19">
        <v>135.44919608893508</v>
      </c>
      <c r="BG22" s="19"/>
      <c r="BH22" s="19"/>
      <c r="BI22" s="19"/>
      <c r="BJ22" s="19"/>
    </row>
    <row r="23" spans="1:62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67"/>
      <c r="K23" s="19">
        <v>0.88250049361231486</v>
      </c>
      <c r="L23" s="19">
        <v>2659.6369758330638</v>
      </c>
      <c r="M23" s="19">
        <v>27.646954010738707</v>
      </c>
      <c r="N23" s="19">
        <v>4.143535055211661</v>
      </c>
      <c r="O23" s="19">
        <v>1.5491101127249467</v>
      </c>
      <c r="P23" s="19">
        <v>2755.0747608753572</v>
      </c>
      <c r="Q23" s="19">
        <v>28.639030778330117</v>
      </c>
      <c r="R23" s="19">
        <v>18141.919858975849</v>
      </c>
      <c r="S23" s="19">
        <v>18141.919858975849</v>
      </c>
      <c r="T23" s="19">
        <v>26984.251004889069</v>
      </c>
      <c r="U23" s="19">
        <v>1302.1126408295186</v>
      </c>
      <c r="V23" s="19">
        <v>1390.0459141142605</v>
      </c>
      <c r="W23" s="19">
        <v>6.7531233879062569E-2</v>
      </c>
      <c r="X23" s="19">
        <v>4.4489210894325009</v>
      </c>
      <c r="Y23" s="19">
        <v>3.7969845286777177</v>
      </c>
      <c r="Z23" s="19">
        <v>0.17169850333359582</v>
      </c>
      <c r="AA23" s="19">
        <v>1448.2490971507732</v>
      </c>
      <c r="AB23" s="19">
        <v>1319.4957075108807</v>
      </c>
      <c r="AC23" s="19">
        <v>9.7577725268068516E-2</v>
      </c>
      <c r="AD23" s="19">
        <v>0.62482614244716206</v>
      </c>
      <c r="AE23" s="19">
        <v>0.63417553571660412</v>
      </c>
      <c r="AF23" s="19">
        <v>0.61575765390377268</v>
      </c>
      <c r="AG23" s="19">
        <v>0.52313184990219419</v>
      </c>
      <c r="AH23" s="19">
        <v>0.47502453141813578</v>
      </c>
      <c r="AI23" s="19">
        <v>696.26391653557471</v>
      </c>
      <c r="AJ23" s="19">
        <v>632.2353356185514</v>
      </c>
      <c r="AK23" s="19">
        <f t="shared" si="0"/>
        <v>13.695868578908518</v>
      </c>
      <c r="AL23" s="19">
        <v>0.1012733349590158</v>
      </c>
      <c r="AM23" s="19">
        <v>2.0699999999999998</v>
      </c>
      <c r="AN23" s="19">
        <v>2.2200000000000002</v>
      </c>
      <c r="AO23" s="19">
        <v>1.9000000000000001</v>
      </c>
      <c r="AP23" s="19">
        <v>0.16842105263157903</v>
      </c>
      <c r="AQ23" s="19">
        <v>2.3604292282087214E-2</v>
      </c>
      <c r="AR23" s="19">
        <v>0.37610125000000005</v>
      </c>
      <c r="AS23" s="19">
        <v>2.3489111031774303</v>
      </c>
      <c r="AT23" s="19">
        <v>50.514134317164768</v>
      </c>
      <c r="AU23" s="19">
        <v>0.87124061038576339</v>
      </c>
      <c r="AV23" s="19">
        <v>0.94142112463520644</v>
      </c>
      <c r="AW23" s="19">
        <v>616.47399999999993</v>
      </c>
      <c r="AX23" s="19">
        <v>188.61487500000001</v>
      </c>
      <c r="AY23" s="19">
        <v>656.51091250000002</v>
      </c>
      <c r="AZ23" s="19">
        <v>127.49838249999999</v>
      </c>
      <c r="BA23" s="19">
        <v>378.73805919005474</v>
      </c>
      <c r="BB23" s="19">
        <v>386.00886630294713</v>
      </c>
      <c r="BC23" s="19">
        <v>763.20532698287445</v>
      </c>
      <c r="BD23" s="19">
        <v>89.728554207475852</v>
      </c>
      <c r="BE23" s="19">
        <v>-43.231089442291577</v>
      </c>
      <c r="BF23" s="19">
        <v>135.27591366119168</v>
      </c>
      <c r="BG23" s="19"/>
      <c r="BH23" s="19"/>
      <c r="BI23" s="19"/>
      <c r="BJ23" s="19"/>
    </row>
    <row r="24" spans="1:62" ht="15.75" x14ac:dyDescent="0.25">
      <c r="A24" s="10">
        <v>23</v>
      </c>
      <c r="B24" s="3" t="s">
        <v>78</v>
      </c>
      <c r="C24" s="3" t="s">
        <v>79</v>
      </c>
      <c r="D24" s="3">
        <v>73</v>
      </c>
      <c r="E24" s="3">
        <v>190</v>
      </c>
      <c r="F24" s="3">
        <v>19</v>
      </c>
      <c r="G24" s="11" t="s">
        <v>32</v>
      </c>
      <c r="H24" s="11" t="s">
        <v>63</v>
      </c>
      <c r="I24" s="11">
        <v>24</v>
      </c>
      <c r="J24" s="67"/>
      <c r="K24" s="19">
        <v>0.83444548794876117</v>
      </c>
      <c r="L24" s="19">
        <v>2810.8058840265994</v>
      </c>
      <c r="M24" s="19">
        <v>38.504190192145195</v>
      </c>
      <c r="N24" s="19">
        <v>1.7913728653008476</v>
      </c>
      <c r="O24" s="19">
        <v>1.23</v>
      </c>
      <c r="P24" s="19">
        <v>1258.8003475683029</v>
      </c>
      <c r="Q24" s="19">
        <v>17.243840377647999</v>
      </c>
      <c r="R24" s="19">
        <v>1527.6105677999999</v>
      </c>
      <c r="S24" s="19">
        <v>1527.6105677999999</v>
      </c>
      <c r="T24" s="19">
        <v>0</v>
      </c>
      <c r="U24" s="19">
        <v>1294.1310542906665</v>
      </c>
      <c r="V24" s="19">
        <v>1533.4622958338216</v>
      </c>
      <c r="W24" s="19">
        <v>0.18493586159582298</v>
      </c>
      <c r="X24" s="19">
        <v>2.1650739576317917</v>
      </c>
      <c r="Y24" s="19">
        <v>1.5763157721492398</v>
      </c>
      <c r="Z24" s="19">
        <v>0.3735026927249514</v>
      </c>
      <c r="AA24" s="19">
        <v>700.47236085182408</v>
      </c>
      <c r="AB24" s="19">
        <v>604.30520072975912</v>
      </c>
      <c r="AC24" s="19">
        <v>0.1591367408487192</v>
      </c>
      <c r="AD24" s="19">
        <v>0.64463755667569134</v>
      </c>
      <c r="AE24" s="19">
        <v>0.6464761154731492</v>
      </c>
      <c r="AF24" s="19">
        <v>0.64301800669042941</v>
      </c>
      <c r="AG24" s="19">
        <v>0.54065119378537441</v>
      </c>
      <c r="AH24" s="19">
        <v>0.47040846132078606</v>
      </c>
      <c r="AI24" s="19">
        <v>756.17347332396571</v>
      </c>
      <c r="AJ24" s="19">
        <v>657.92955636962802</v>
      </c>
      <c r="AK24" s="19">
        <f t="shared" si="0"/>
        <v>19.371274379364298</v>
      </c>
      <c r="AL24" s="19">
        <v>0.14932285075690355</v>
      </c>
      <c r="AM24" s="19">
        <v>0.9</v>
      </c>
      <c r="AN24" s="19">
        <v>1.08</v>
      </c>
      <c r="AO24" s="19">
        <v>0.79</v>
      </c>
      <c r="AP24" s="19">
        <v>0.36708860759493667</v>
      </c>
      <c r="AQ24" s="19">
        <v>-15.244911931081477</v>
      </c>
      <c r="AR24" s="19">
        <v>0.3208516666666667</v>
      </c>
      <c r="AS24" s="19">
        <v>1.693561823158392</v>
      </c>
      <c r="AT24" s="19">
        <v>52.530792736505333</v>
      </c>
      <c r="AU24" s="19">
        <v>0.93125773743658669</v>
      </c>
      <c r="AV24" s="19">
        <v>0.68302719095454822</v>
      </c>
      <c r="AW24" s="19">
        <v>355.94072857142856</v>
      </c>
      <c r="AX24" s="19">
        <v>131.31587142857143</v>
      </c>
      <c r="AY24" s="19">
        <v>441.93401428571423</v>
      </c>
      <c r="AZ24" s="19">
        <v>119.65801428571429</v>
      </c>
      <c r="BA24" s="19">
        <v>182.53784660315856</v>
      </c>
      <c r="BB24" s="19">
        <v>222.25864117643761</v>
      </c>
      <c r="BC24" s="19">
        <v>390.72025523521319</v>
      </c>
      <c r="BD24" s="19">
        <v>70.448428838238357</v>
      </c>
      <c r="BE24" s="19">
        <v>-64.1222723948284</v>
      </c>
      <c r="BF24" s="19">
        <v>127.50033211004971</v>
      </c>
      <c r="BG24" s="19"/>
      <c r="BH24" s="19"/>
      <c r="BI24" s="19"/>
      <c r="BJ24" s="19"/>
    </row>
    <row r="25" spans="1:62" ht="15.75" x14ac:dyDescent="0.25">
      <c r="A25" s="10">
        <v>24</v>
      </c>
      <c r="B25" s="6" t="s">
        <v>80</v>
      </c>
      <c r="C25" s="3" t="s">
        <v>81</v>
      </c>
      <c r="D25" s="6">
        <v>83</v>
      </c>
      <c r="E25" s="6">
        <v>193</v>
      </c>
      <c r="F25" s="6">
        <v>19</v>
      </c>
      <c r="G25" s="11" t="s">
        <v>32</v>
      </c>
      <c r="H25" s="11" t="s">
        <v>63</v>
      </c>
      <c r="I25" s="11">
        <v>24</v>
      </c>
      <c r="J25" s="67"/>
      <c r="K25" s="19">
        <v>0.96219974339322767</v>
      </c>
      <c r="L25" s="19">
        <v>2104.7532532718997</v>
      </c>
      <c r="M25" s="19">
        <v>25.952567857853264</v>
      </c>
      <c r="N25" s="19">
        <v>4.147509755735947</v>
      </c>
      <c r="O25" s="19">
        <v>1.3534585306670261</v>
      </c>
      <c r="P25" s="19">
        <v>2182.371162840544</v>
      </c>
      <c r="Q25" s="19">
        <v>26.909632094211396</v>
      </c>
      <c r="R25" s="19">
        <v>8193.6966064129247</v>
      </c>
      <c r="S25" s="19">
        <v>8193.6966064129247</v>
      </c>
      <c r="T25" s="19">
        <v>12108.011961615361</v>
      </c>
      <c r="U25" s="19">
        <v>1107.176293045384</v>
      </c>
      <c r="V25" s="19">
        <v>1065.2735269642956</v>
      </c>
      <c r="W25" s="19">
        <v>3.9335217688642343E-2</v>
      </c>
      <c r="X25" s="19">
        <v>3.9434018442290308</v>
      </c>
      <c r="Y25" s="19">
        <v>3.9751787490713468</v>
      </c>
      <c r="Z25" s="19">
        <v>8.0582466858709623E-3</v>
      </c>
      <c r="AA25" s="19">
        <v>1091.5102589704572</v>
      </c>
      <c r="AB25" s="19">
        <v>1058.6631715841875</v>
      </c>
      <c r="AC25" s="19">
        <v>3.1026948200264082E-2</v>
      </c>
      <c r="AD25" s="19">
        <v>0.65958588016536746</v>
      </c>
      <c r="AE25" s="19">
        <v>0.64491696831452683</v>
      </c>
      <c r="AF25" s="19">
        <v>0.67591517673390267</v>
      </c>
      <c r="AG25" s="19">
        <v>0.49890728003107276</v>
      </c>
      <c r="AH25" s="19">
        <v>0.4842653058003441</v>
      </c>
      <c r="AI25" s="19">
        <v>525.98902957692508</v>
      </c>
      <c r="AJ25" s="19">
        <v>510.55225780596265</v>
      </c>
      <c r="AK25" s="19">
        <f t="shared" si="0"/>
        <v>12.488449245576961</v>
      </c>
      <c r="AL25" s="19">
        <v>3.0235439242400242E-2</v>
      </c>
      <c r="AM25" s="19">
        <v>2.0699999999999998</v>
      </c>
      <c r="AN25" s="19">
        <v>1.97</v>
      </c>
      <c r="AO25" s="19">
        <v>1.99</v>
      </c>
      <c r="AP25" s="19">
        <v>1.0152284263959421E-2</v>
      </c>
      <c r="AQ25" s="19">
        <v>-3.180341119082629</v>
      </c>
      <c r="AR25" s="19">
        <v>0.33130199999999999</v>
      </c>
      <c r="AS25" s="19">
        <v>2.2016137093894881</v>
      </c>
      <c r="AT25" s="19">
        <v>22.472787864641024</v>
      </c>
      <c r="AU25" s="19">
        <v>0.848056669009977</v>
      </c>
      <c r="AV25" s="19">
        <v>0.80238848999732681</v>
      </c>
      <c r="AW25" s="19">
        <v>464.72810769230767</v>
      </c>
      <c r="AX25" s="19">
        <v>111.13669307692307</v>
      </c>
      <c r="AY25" s="19">
        <v>505.46781538461539</v>
      </c>
      <c r="AZ25" s="19">
        <v>114.20041692307697</v>
      </c>
      <c r="BA25" s="19">
        <v>226.4599732761196</v>
      </c>
      <c r="BB25" s="19">
        <v>272.44602275229499</v>
      </c>
      <c r="BC25" s="19">
        <v>513.11851623209702</v>
      </c>
      <c r="BD25" s="19">
        <v>42.358216193011046</v>
      </c>
      <c r="BE25" s="19">
        <v>-53.182426501868932</v>
      </c>
      <c r="BF25" s="19">
        <v>99.181166440739361</v>
      </c>
      <c r="BG25" s="19"/>
      <c r="BH25" s="19"/>
      <c r="BI25" s="19"/>
      <c r="BJ25" s="19"/>
    </row>
    <row r="26" spans="1:62" ht="15.75" x14ac:dyDescent="0.25">
      <c r="A26" s="10">
        <v>25</v>
      </c>
      <c r="B26" s="3" t="s">
        <v>82</v>
      </c>
      <c r="C26" s="3" t="s">
        <v>83</v>
      </c>
      <c r="D26" s="6">
        <v>90</v>
      </c>
      <c r="E26" s="6">
        <v>201</v>
      </c>
      <c r="F26" s="6">
        <v>19</v>
      </c>
      <c r="G26" s="11" t="s">
        <v>32</v>
      </c>
      <c r="H26" s="11" t="s">
        <v>63</v>
      </c>
      <c r="I26" s="11">
        <v>24</v>
      </c>
      <c r="J26" s="67"/>
      <c r="K26" s="19">
        <v>0.89434033388719647</v>
      </c>
      <c r="L26" s="19">
        <v>1288.3024283380889</v>
      </c>
      <c r="M26" s="19">
        <v>14.689879456534651</v>
      </c>
      <c r="N26" s="19">
        <v>4.1710456942252003</v>
      </c>
      <c r="O26" s="19">
        <v>1.2808948507205735</v>
      </c>
      <c r="P26" s="19">
        <v>11005.660286680517</v>
      </c>
      <c r="Q26" s="19">
        <v>125.49213553797624</v>
      </c>
      <c r="R26" s="19">
        <v>7670.410010655728</v>
      </c>
      <c r="S26" s="19">
        <v>7670.410010655728</v>
      </c>
      <c r="T26" s="19">
        <v>9510.4338362890321</v>
      </c>
      <c r="U26" s="19">
        <v>531.76356633885769</v>
      </c>
      <c r="V26" s="19">
        <v>899.27514045458224</v>
      </c>
      <c r="W26" s="19">
        <v>0.69111837925641906</v>
      </c>
      <c r="X26" s="19">
        <v>237.38499678503291</v>
      </c>
      <c r="Y26" s="19">
        <v>6.1276449044827608</v>
      </c>
      <c r="Z26" s="19">
        <v>37.740005415681111</v>
      </c>
      <c r="AA26" s="19">
        <v>31558.173121436841</v>
      </c>
      <c r="AB26" s="19">
        <v>1377.6096830336351</v>
      </c>
      <c r="AC26" s="19">
        <v>21.907920516312409</v>
      </c>
      <c r="AD26" s="19">
        <v>0.63112813691751013</v>
      </c>
      <c r="AE26" s="19">
        <v>0.66610107767279036</v>
      </c>
      <c r="AF26" s="19">
        <v>0.61006560953233913</v>
      </c>
      <c r="AG26" s="19">
        <v>0.76629489854861077</v>
      </c>
      <c r="AH26" s="19">
        <v>-2.4982094848502157</v>
      </c>
      <c r="AI26" s="19">
        <v>493.48044199734471</v>
      </c>
      <c r="AJ26" s="19">
        <v>1608.8029857967799</v>
      </c>
      <c r="AK26" s="19">
        <f t="shared" si="0"/>
        <v>23.358704753268054</v>
      </c>
      <c r="AL26" s="19">
        <v>-1.3067376467808725</v>
      </c>
      <c r="AM26" s="19">
        <v>17.09</v>
      </c>
      <c r="AN26" s="19">
        <v>118.69</v>
      </c>
      <c r="AO26" s="19">
        <v>3.06</v>
      </c>
      <c r="AP26" s="19">
        <v>37.787581699346404</v>
      </c>
      <c r="AQ26" s="19">
        <v>25.546013618870983</v>
      </c>
      <c r="AR26" s="19">
        <v>0.45809499999999997</v>
      </c>
      <c r="AS26" s="19">
        <v>1.5569439485897887</v>
      </c>
      <c r="AT26" s="19">
        <v>3.1134642230300797</v>
      </c>
      <c r="AU26" s="19">
        <v>8.2453797077497448E-5</v>
      </c>
      <c r="AV26" s="19">
        <v>0.76463685895421807</v>
      </c>
      <c r="AW26" s="19">
        <v>622.40452500000004</v>
      </c>
      <c r="AX26" s="19">
        <v>182.50129999999999</v>
      </c>
      <c r="AY26" s="19">
        <v>402.26037500000001</v>
      </c>
      <c r="AZ26" s="19">
        <v>114.43599999999999</v>
      </c>
      <c r="BA26" s="19">
        <v>298.0907050989095</v>
      </c>
      <c r="BB26" s="19">
        <v>173.27703287861317</v>
      </c>
      <c r="BC26" s="19">
        <v>479.98640579696757</v>
      </c>
      <c r="BD26" s="19">
        <v>71.594385332986903</v>
      </c>
      <c r="BE26" s="19">
        <v>-36.268604833348675</v>
      </c>
      <c r="BF26" s="19">
        <v>108.45038586483975</v>
      </c>
      <c r="BG26" s="19"/>
      <c r="BH26" s="19"/>
      <c r="BI26" s="19"/>
      <c r="BJ26" s="19"/>
    </row>
    <row r="27" spans="1:62" ht="15.75" x14ac:dyDescent="0.25">
      <c r="A27" s="10">
        <v>26</v>
      </c>
      <c r="B27" s="3" t="s">
        <v>84</v>
      </c>
      <c r="C27" s="3" t="s">
        <v>85</v>
      </c>
      <c r="D27" s="6">
        <v>94</v>
      </c>
      <c r="E27" s="6">
        <v>203</v>
      </c>
      <c r="F27" s="6">
        <v>19</v>
      </c>
      <c r="G27" s="11" t="s">
        <v>45</v>
      </c>
      <c r="H27" s="11" t="s">
        <v>63</v>
      </c>
      <c r="I27" s="11">
        <v>24</v>
      </c>
      <c r="J27" s="67"/>
      <c r="K27" s="19">
        <v>0.46989607245108955</v>
      </c>
      <c r="L27" s="19">
        <v>1915.1312021533995</v>
      </c>
      <c r="M27" s="19">
        <v>20.816643501667386</v>
      </c>
      <c r="N27" s="19">
        <v>4.0746617062472135</v>
      </c>
      <c r="O27" s="19">
        <v>1.6</v>
      </c>
      <c r="P27" s="19">
        <v>1950.8779429634119</v>
      </c>
      <c r="Q27" s="19">
        <v>21.205195032210998</v>
      </c>
      <c r="R27" s="19">
        <v>15865.014728609247</v>
      </c>
      <c r="S27" s="19">
        <v>15865.014728609247</v>
      </c>
      <c r="T27" s="19">
        <v>0</v>
      </c>
      <c r="U27" s="19">
        <v>1123.5832676110895</v>
      </c>
      <c r="V27" s="19">
        <v>1010.5054024648758</v>
      </c>
      <c r="W27" s="19">
        <v>0.1119022865888577</v>
      </c>
      <c r="X27" s="19">
        <v>2.9667495598680165</v>
      </c>
      <c r="Y27" s="19">
        <v>3.7547293706657197</v>
      </c>
      <c r="Z27" s="19">
        <v>0.26560375080421639</v>
      </c>
      <c r="AA27" s="19">
        <v>833.3475411650669</v>
      </c>
      <c r="AB27" s="19">
        <v>948.54357846281323</v>
      </c>
      <c r="AC27" s="19">
        <v>0.13823288796976074</v>
      </c>
      <c r="AD27" s="19">
        <v>0.63288873640218124</v>
      </c>
      <c r="AE27" s="19">
        <v>0.65389794476203023</v>
      </c>
      <c r="AF27" s="19">
        <v>0.61404246116600325</v>
      </c>
      <c r="AG27" s="19">
        <v>0.3670181816578027</v>
      </c>
      <c r="AH27" s="19">
        <v>0.48256564576658445</v>
      </c>
      <c r="AI27" s="19">
        <v>350.9835521067605</v>
      </c>
      <c r="AJ27" s="19">
        <v>461.4828718043367</v>
      </c>
      <c r="AK27" s="19">
        <f t="shared" si="0"/>
        <v>8.6432598288414599</v>
      </c>
      <c r="AL27" s="19">
        <v>0.31482762948380283</v>
      </c>
      <c r="AM27" s="19">
        <v>2.04</v>
      </c>
      <c r="AN27" s="19">
        <v>1.48</v>
      </c>
      <c r="AO27" s="19">
        <v>1.8800000000000001</v>
      </c>
      <c r="AP27" s="19">
        <v>0.2702702702702704</v>
      </c>
      <c r="AQ27" s="19">
        <v>2.3479687244093603</v>
      </c>
      <c r="AR27" s="19">
        <v>0.38446166666666665</v>
      </c>
      <c r="AS27" s="19">
        <v>1.909318100678334</v>
      </c>
      <c r="AT27" s="19">
        <v>65.996597319075605</v>
      </c>
      <c r="AU27" s="19">
        <v>0.46933673918470187</v>
      </c>
      <c r="AV27" s="19">
        <v>0.76691006904853576</v>
      </c>
      <c r="AW27" s="19">
        <v>579.77152222222219</v>
      </c>
      <c r="AX27" s="19">
        <v>122.04579222222222</v>
      </c>
      <c r="AY27" s="19">
        <v>493.38437777777784</v>
      </c>
      <c r="AZ27" s="19">
        <v>113.02535777777776</v>
      </c>
      <c r="BA27" s="19">
        <v>310.82452334727327</v>
      </c>
      <c r="BB27" s="19">
        <v>274.6819947646415</v>
      </c>
      <c r="BC27" s="19">
        <v>560.13133263176769</v>
      </c>
      <c r="BD27" s="19">
        <v>53.230138513641712</v>
      </c>
      <c r="BE27" s="19">
        <v>-40.626357418324545</v>
      </c>
      <c r="BF27" s="19">
        <v>92.186707544272139</v>
      </c>
      <c r="BG27" s="19"/>
      <c r="BH27" s="19"/>
      <c r="BI27" s="19"/>
      <c r="BJ27" s="19"/>
    </row>
    <row r="28" spans="1:62" ht="15.75" x14ac:dyDescent="0.25">
      <c r="A28" s="10">
        <v>27</v>
      </c>
      <c r="B28" s="3" t="s">
        <v>86</v>
      </c>
      <c r="C28" s="3" t="s">
        <v>87</v>
      </c>
      <c r="D28" s="6">
        <v>87</v>
      </c>
      <c r="E28" s="6">
        <v>203</v>
      </c>
      <c r="F28" s="6">
        <v>19</v>
      </c>
      <c r="G28" s="11" t="s">
        <v>32</v>
      </c>
      <c r="H28" s="11" t="s">
        <v>63</v>
      </c>
      <c r="I28" s="11">
        <v>24</v>
      </c>
      <c r="J28" s="67"/>
      <c r="K28" s="19">
        <v>0.80061116646765784</v>
      </c>
      <c r="L28" s="19">
        <v>1718.9024754178213</v>
      </c>
      <c r="M28" s="19">
        <v>20.270076361059214</v>
      </c>
      <c r="N28" s="19">
        <v>4.0073717094944783</v>
      </c>
      <c r="O28" s="19">
        <v>1.4007519675761084</v>
      </c>
      <c r="P28" s="19">
        <v>1722.0702878423513</v>
      </c>
      <c r="Q28" s="19">
        <v>20.307432639650369</v>
      </c>
      <c r="R28" s="19">
        <v>10086.162549350953</v>
      </c>
      <c r="S28" s="19">
        <v>10086.162549350953</v>
      </c>
      <c r="T28" s="19">
        <v>12628.590318700128</v>
      </c>
      <c r="U28" s="19">
        <v>871.60115541794937</v>
      </c>
      <c r="V28" s="19">
        <v>899.36400659064793</v>
      </c>
      <c r="W28" s="19">
        <v>3.1852701204125644E-2</v>
      </c>
      <c r="X28" s="19">
        <v>3.9111321925082629</v>
      </c>
      <c r="Y28" s="19">
        <v>3.8745597778026362</v>
      </c>
      <c r="Z28" s="19">
        <v>9.439114842194618E-3</v>
      </c>
      <c r="AA28" s="19">
        <v>852.23683449563487</v>
      </c>
      <c r="AB28" s="19">
        <v>871.15990138488735</v>
      </c>
      <c r="AC28" s="19">
        <v>2.2204000253581491E-2</v>
      </c>
      <c r="AD28" s="19">
        <v>0.64319187652195897</v>
      </c>
      <c r="AE28" s="19">
        <v>0.66546558135047207</v>
      </c>
      <c r="AF28" s="19">
        <v>0.62340238005052073</v>
      </c>
      <c r="AG28" s="19">
        <v>0.49463702582702379</v>
      </c>
      <c r="AH28" s="19">
        <v>0.50535087599836626</v>
      </c>
      <c r="AI28" s="19">
        <v>425.89842152033617</v>
      </c>
      <c r="AJ28" s="19">
        <v>435.12339182811058</v>
      </c>
      <c r="AK28" s="19">
        <f t="shared" si="0"/>
        <v>9.8968024522809976</v>
      </c>
      <c r="AL28" s="19">
        <v>2.1660024648233911E-2</v>
      </c>
      <c r="AM28" s="19">
        <v>2</v>
      </c>
      <c r="AN28" s="19">
        <v>1.96</v>
      </c>
      <c r="AO28" s="19">
        <v>1.94</v>
      </c>
      <c r="AP28" s="19">
        <v>1.0309278350515427E-2</v>
      </c>
      <c r="AQ28" s="19">
        <v>7.7695658318664993</v>
      </c>
      <c r="AR28" s="19">
        <v>0.38884999999999997</v>
      </c>
      <c r="AS28" s="19">
        <v>1.8849518029275276</v>
      </c>
      <c r="AT28" s="19">
        <v>49.457314124274035</v>
      </c>
      <c r="AU28" s="19">
        <v>0.86494064596582021</v>
      </c>
      <c r="AV28" s="19">
        <v>0.70044665157986807</v>
      </c>
      <c r="AW28" s="19">
        <v>472.67136249999999</v>
      </c>
      <c r="AX28" s="19">
        <v>87.34230125000002</v>
      </c>
      <c r="AY28" s="19">
        <v>372.76318750000007</v>
      </c>
      <c r="AZ28" s="19">
        <v>64.303251250000002</v>
      </c>
      <c r="BA28" s="19">
        <v>282.58639693459389</v>
      </c>
      <c r="BB28" s="19">
        <v>240.43914028665912</v>
      </c>
      <c r="BC28" s="19">
        <v>516.90821992148267</v>
      </c>
      <c r="BD28" s="19">
        <v>46.852426254561664</v>
      </c>
      <c r="BE28" s="19">
        <v>-30.495221519200818</v>
      </c>
      <c r="BF28" s="19">
        <v>76.294333512027464</v>
      </c>
      <c r="BG28" s="19"/>
      <c r="BH28" s="19"/>
      <c r="BI28" s="19"/>
      <c r="BJ28" s="19"/>
    </row>
    <row r="29" spans="1:62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67"/>
      <c r="K29" s="19">
        <v>0.96175429004537238</v>
      </c>
      <c r="L29" s="19">
        <v>2134.1879400097055</v>
      </c>
      <c r="M29" s="19">
        <v>29.235451233009663</v>
      </c>
      <c r="N29" s="19">
        <v>2.4640534907924776</v>
      </c>
      <c r="O29" s="19">
        <v>1.1463634928333795</v>
      </c>
      <c r="P29" s="19">
        <v>1314.6883108970303</v>
      </c>
      <c r="Q29" s="19">
        <v>18.009428916397674</v>
      </c>
      <c r="R29" s="19">
        <v>7822.2893750663579</v>
      </c>
      <c r="S29" s="19">
        <v>7822.2893750663579</v>
      </c>
      <c r="T29" s="19">
        <v>9929.0595275795022</v>
      </c>
      <c r="U29" s="19">
        <v>987.00095662196327</v>
      </c>
      <c r="V29" s="19">
        <v>1197.9406558805808</v>
      </c>
      <c r="W29" s="19">
        <v>0.2137178265566877</v>
      </c>
      <c r="X29" s="19">
        <v>2.6076101993071901</v>
      </c>
      <c r="Y29" s="19">
        <v>2.2889303983759364</v>
      </c>
      <c r="Z29" s="19">
        <v>0.13922651433934652</v>
      </c>
      <c r="AA29" s="19">
        <v>643.42844030334618</v>
      </c>
      <c r="AB29" s="19">
        <v>685.50069567386709</v>
      </c>
      <c r="AC29" s="19">
        <v>6.5387621583350874E-2</v>
      </c>
      <c r="AD29" s="19">
        <v>0.64546502545144258</v>
      </c>
      <c r="AE29" s="19">
        <v>0.66097231001656176</v>
      </c>
      <c r="AF29" s="19">
        <v>0.63239345172612182</v>
      </c>
      <c r="AG29" s="19">
        <v>0.48784823397713495</v>
      </c>
      <c r="AH29" s="19">
        <v>0.51850579935157759</v>
      </c>
      <c r="AI29" s="19">
        <v>521.43628864836705</v>
      </c>
      <c r="AJ29" s="19">
        <v>554.20460878252027</v>
      </c>
      <c r="AK29" s="19">
        <f t="shared" si="0"/>
        <v>14.535687803120101</v>
      </c>
      <c r="AL29" s="19">
        <v>6.284242360479575E-2</v>
      </c>
      <c r="AM29" s="19">
        <v>1.23</v>
      </c>
      <c r="AN29" s="19">
        <v>1.3</v>
      </c>
      <c r="AO29" s="19">
        <v>1.1400000000000001</v>
      </c>
      <c r="AP29" s="19">
        <v>0.14035087719298245</v>
      </c>
      <c r="AQ29" s="19">
        <v>11.211565212654639</v>
      </c>
      <c r="AR29" s="19">
        <v>0.30234714285714281</v>
      </c>
      <c r="AS29" s="19">
        <v>1.7940735451624423</v>
      </c>
      <c r="AT29" s="19">
        <v>21.07627478160056</v>
      </c>
      <c r="AU29" s="19">
        <v>0.91335290851630868</v>
      </c>
      <c r="AV29" s="19">
        <v>0.9496452848182394</v>
      </c>
      <c r="AW29" s="19">
        <v>455.31694285714286</v>
      </c>
      <c r="AX29" s="19">
        <v>168.9515857142857</v>
      </c>
      <c r="AY29" s="19">
        <v>359.24334285714286</v>
      </c>
      <c r="AZ29" s="19">
        <v>113.08471571428571</v>
      </c>
      <c r="BA29" s="19">
        <v>233.42610282362395</v>
      </c>
      <c r="BB29" s="19">
        <v>208.37283834839496</v>
      </c>
      <c r="BC29" s="19">
        <v>430.75799824098675</v>
      </c>
      <c r="BD29" s="19">
        <v>79.878520144909913</v>
      </c>
      <c r="BE29" s="19">
        <v>-51.557031358008196</v>
      </c>
      <c r="BF29" s="19">
        <v>130.83068735313412</v>
      </c>
      <c r="BG29" s="19"/>
      <c r="BH29" s="19"/>
      <c r="BI29" s="19"/>
      <c r="BJ29" s="19"/>
    </row>
    <row r="30" spans="1:62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67"/>
      <c r="K30" s="19">
        <v>0.97824586788968848</v>
      </c>
      <c r="L30" s="19">
        <v>1708.4404824084843</v>
      </c>
      <c r="M30" s="19">
        <v>19.414096391005504</v>
      </c>
      <c r="N30" s="19">
        <v>4.1705873923398764</v>
      </c>
      <c r="O30" s="19">
        <v>1.3160265891433334</v>
      </c>
      <c r="P30" s="19">
        <v>1781.3000841239702</v>
      </c>
      <c r="Q30" s="19">
        <v>20.242046410499661</v>
      </c>
      <c r="R30" s="19">
        <v>4020.2126352175492</v>
      </c>
      <c r="S30" s="19">
        <v>4020.2126352175492</v>
      </c>
      <c r="T30" s="19">
        <v>6027.8476576029479</v>
      </c>
      <c r="U30" s="19">
        <v>857.04254605038398</v>
      </c>
      <c r="V30" s="19">
        <v>850.82191176609217</v>
      </c>
      <c r="W30" s="19">
        <v>7.311323554631155E-3</v>
      </c>
      <c r="X30" s="19">
        <v>5.221594371253742</v>
      </c>
      <c r="Y30" s="19">
        <v>3.5984238013428933</v>
      </c>
      <c r="Z30" s="19">
        <v>0.45107821077247734</v>
      </c>
      <c r="AA30" s="19">
        <v>1118.7821335954152</v>
      </c>
      <c r="AB30" s="19">
        <v>765.40445450079233</v>
      </c>
      <c r="AC30" s="19">
        <v>0.46168751307451017</v>
      </c>
      <c r="AD30" s="19">
        <v>0.62514857022178361</v>
      </c>
      <c r="AE30" s="19">
        <v>0.62280779302763323</v>
      </c>
      <c r="AF30" s="19">
        <v>0.62896737450647644</v>
      </c>
      <c r="AG30" s="19">
        <v>0.60308171915726716</v>
      </c>
      <c r="AH30" s="19">
        <v>0.41846692883349496</v>
      </c>
      <c r="AI30" s="19">
        <v>514.0019354839186</v>
      </c>
      <c r="AJ30" s="19">
        <v>356.6561620488074</v>
      </c>
      <c r="AK30" s="19">
        <f t="shared" si="0"/>
        <v>9.164822079291854</v>
      </c>
      <c r="AL30" s="19">
        <v>0.44116936752540625</v>
      </c>
      <c r="AM30" s="19">
        <v>2.09</v>
      </c>
      <c r="AN30" s="19">
        <v>2.61</v>
      </c>
      <c r="AO30" s="19">
        <v>1.8</v>
      </c>
      <c r="AP30" s="19">
        <v>0.44999999999999996</v>
      </c>
      <c r="AQ30" s="19">
        <v>-11.664790392210652</v>
      </c>
      <c r="AR30" s="19">
        <v>0.39284600000000003</v>
      </c>
      <c r="AS30" s="19">
        <v>1.8461406640485669</v>
      </c>
      <c r="AT30" s="19">
        <v>18.153992310524504</v>
      </c>
      <c r="AU30" s="19">
        <v>0.81712611359299803</v>
      </c>
      <c r="AV30" s="19">
        <v>0.86562988366330518</v>
      </c>
      <c r="AW30" s="19">
        <v>357.94263999999993</v>
      </c>
      <c r="AX30" s="19">
        <v>121.93953500000001</v>
      </c>
      <c r="AY30" s="19">
        <v>416.68798000000004</v>
      </c>
      <c r="AZ30" s="19">
        <v>146.97346999999999</v>
      </c>
      <c r="BA30" s="19">
        <v>225.94976389385201</v>
      </c>
      <c r="BB30" s="19">
        <v>251.18511927850403</v>
      </c>
      <c r="BC30" s="19">
        <v>470.09109269532348</v>
      </c>
      <c r="BD30" s="19">
        <v>64.688440332889513</v>
      </c>
      <c r="BE30" s="19">
        <v>-72.587564303560342</v>
      </c>
      <c r="BF30" s="19">
        <v>134.92469887562746</v>
      </c>
      <c r="BG30" s="19"/>
      <c r="BH30" s="19"/>
      <c r="BI30" s="19"/>
      <c r="BJ30" s="19"/>
    </row>
    <row r="31" spans="1:62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67"/>
      <c r="K31" s="19">
        <v>0.9836055106651509</v>
      </c>
      <c r="L31" s="19">
        <v>2363.6629662238356</v>
      </c>
      <c r="M31" s="19">
        <v>24.698672583321166</v>
      </c>
      <c r="N31" s="19">
        <v>3.0974673043595815</v>
      </c>
      <c r="O31" s="19">
        <v>1.3588660420506189</v>
      </c>
      <c r="P31" s="19">
        <v>1830.3421891009791</v>
      </c>
      <c r="Q31" s="19">
        <v>19.125832696979927</v>
      </c>
      <c r="R31" s="19">
        <v>14266.748061486316</v>
      </c>
      <c r="S31" s="19">
        <v>14266.748061486316</v>
      </c>
      <c r="T31" s="19">
        <v>17670.494692032167</v>
      </c>
      <c r="U31" s="19">
        <v>993.61317574244401</v>
      </c>
      <c r="V31" s="19">
        <v>1369.5071928327309</v>
      </c>
      <c r="W31" s="19">
        <v>0.37831021796728148</v>
      </c>
      <c r="X31" s="19">
        <v>3.5121142792544675</v>
      </c>
      <c r="Y31" s="19">
        <v>2.8801738333611784</v>
      </c>
      <c r="Z31" s="19">
        <v>0.21941052257801097</v>
      </c>
      <c r="AA31" s="19">
        <v>872.42075564510412</v>
      </c>
      <c r="AB31" s="19">
        <v>986.10469534918821</v>
      </c>
      <c r="AC31" s="19">
        <v>0.13030861424201379</v>
      </c>
      <c r="AD31" s="19">
        <v>0.64897788063209971</v>
      </c>
      <c r="AE31" s="19">
        <v>0.67054711844618997</v>
      </c>
      <c r="AF31" s="19">
        <v>0.63273565613567051</v>
      </c>
      <c r="AG31" s="19">
        <v>0.47008100180396695</v>
      </c>
      <c r="AH31" s="19">
        <v>0.53561621442414709</v>
      </c>
      <c r="AI31" s="19">
        <v>555.10226751319578</v>
      </c>
      <c r="AJ31" s="19">
        <v>632.49051547007036</v>
      </c>
      <c r="AK31" s="19">
        <f t="shared" si="0"/>
        <v>12.37075815607569</v>
      </c>
      <c r="AL31" s="19">
        <v>0.13941259563497455</v>
      </c>
      <c r="AM31" s="19">
        <v>1.55</v>
      </c>
      <c r="AN31" s="19">
        <v>1.76</v>
      </c>
      <c r="AO31" s="19">
        <v>1.44</v>
      </c>
      <c r="AP31" s="19">
        <v>0.22222222222222232</v>
      </c>
      <c r="AQ31" s="19">
        <v>19.027534802434559</v>
      </c>
      <c r="AR31" s="19">
        <v>0.36283142857142858</v>
      </c>
      <c r="AS31" s="19">
        <v>2.1155301677972123</v>
      </c>
      <c r="AT31" s="19">
        <v>20.995986693823479</v>
      </c>
      <c r="AU31" s="19">
        <v>0.92446894123090639</v>
      </c>
      <c r="AV31" s="19">
        <v>0.98319122320224361</v>
      </c>
      <c r="AW31" s="19">
        <v>561.96370000000002</v>
      </c>
      <c r="AX31" s="19">
        <v>165.42431249999998</v>
      </c>
      <c r="AY31" s="19">
        <v>433.71360000000004</v>
      </c>
      <c r="AZ31" s="19">
        <v>79.72776875000001</v>
      </c>
      <c r="BA31" s="19">
        <v>325.5929917996732</v>
      </c>
      <c r="BB31" s="19">
        <v>250.2037574517677</v>
      </c>
      <c r="BC31" s="19">
        <v>581.56698732107486</v>
      </c>
      <c r="BD31" s="19">
        <v>93.433148647510222</v>
      </c>
      <c r="BE31" s="19">
        <v>-34.332502168385297</v>
      </c>
      <c r="BF31" s="19">
        <v>128.95548973326157</v>
      </c>
      <c r="BG31" s="19"/>
      <c r="BH31" s="19"/>
      <c r="BI31" s="19"/>
      <c r="BJ31" s="19"/>
    </row>
    <row r="32" spans="1:62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67"/>
      <c r="K32" s="19">
        <v>0.81081402717819873</v>
      </c>
      <c r="L32" s="19">
        <v>1394.1921801711148</v>
      </c>
      <c r="M32" s="19">
        <v>17.148735303457748</v>
      </c>
      <c r="N32" s="19">
        <v>4.3068899594901451</v>
      </c>
      <c r="O32" s="19">
        <v>1.197246830450919</v>
      </c>
      <c r="P32" s="19">
        <v>1501.15807559466</v>
      </c>
      <c r="Q32" s="19">
        <v>18.464428974104091</v>
      </c>
      <c r="R32" s="19">
        <v>7750.7835678563906</v>
      </c>
      <c r="S32" s="19">
        <v>7750.7835678563906</v>
      </c>
      <c r="T32" s="19">
        <v>11699.29623739921</v>
      </c>
      <c r="U32" s="19">
        <v>737.84715866196143</v>
      </c>
      <c r="V32" s="19">
        <v>673.24157285412298</v>
      </c>
      <c r="W32" s="19">
        <v>9.5961967312789609E-2</v>
      </c>
      <c r="X32" s="19">
        <v>4.4976014224011278</v>
      </c>
      <c r="Y32" s="19">
        <v>3.9698444593788147</v>
      </c>
      <c r="Z32" s="19">
        <v>0.13294147123962996</v>
      </c>
      <c r="AA32" s="19">
        <v>829.63560757816708</v>
      </c>
      <c r="AB32" s="19">
        <v>668.16608195460469</v>
      </c>
      <c r="AC32" s="19">
        <v>0.2416607636700312</v>
      </c>
      <c r="AD32" s="19">
        <v>0.70789549236701832</v>
      </c>
      <c r="AE32" s="19">
        <v>0.70373668759185726</v>
      </c>
      <c r="AF32" s="19">
        <v>0.71308578974699655</v>
      </c>
      <c r="AG32" s="19">
        <v>0.55159834191689694</v>
      </c>
      <c r="AH32" s="19">
        <v>0.44202298184441752</v>
      </c>
      <c r="AI32" s="19">
        <v>385.13217969072497</v>
      </c>
      <c r="AJ32" s="19">
        <v>308.62542820475335</v>
      </c>
      <c r="AK32" s="19">
        <f t="shared" si="0"/>
        <v>8.8943283063522856</v>
      </c>
      <c r="AL32" s="19">
        <v>0.24789516512299259</v>
      </c>
      <c r="AM32" s="19">
        <v>2.15</v>
      </c>
      <c r="AN32" s="19">
        <v>2.25</v>
      </c>
      <c r="AO32" s="19">
        <v>1.98</v>
      </c>
      <c r="AP32" s="19">
        <v>0.13636363636363646</v>
      </c>
      <c r="AQ32" s="19">
        <v>-13.539559906468352</v>
      </c>
      <c r="AR32" s="19">
        <v>0.33132500000000004</v>
      </c>
      <c r="AS32" s="19">
        <v>1.5565690824705454</v>
      </c>
      <c r="AT32" s="19">
        <v>32.541889146804557</v>
      </c>
      <c r="AU32" s="19">
        <v>0.63863546938567817</v>
      </c>
      <c r="AV32" s="19">
        <v>0.90001542526674416</v>
      </c>
      <c r="AW32" s="19">
        <v>188.09833749999999</v>
      </c>
      <c r="AX32" s="19">
        <v>106.34406375</v>
      </c>
      <c r="AY32" s="19">
        <v>234.25916250000003</v>
      </c>
      <c r="AZ32" s="19">
        <v>115.04058125000002</v>
      </c>
      <c r="BA32" s="19">
        <v>111.32615755711184</v>
      </c>
      <c r="BB32" s="19">
        <v>145.11404424277816</v>
      </c>
      <c r="BC32" s="19">
        <v>259.33792364527847</v>
      </c>
      <c r="BD32" s="19">
        <v>60.859361623948175</v>
      </c>
      <c r="BE32" s="19">
        <v>-66.612808764042114</v>
      </c>
      <c r="BF32" s="19">
        <v>125.56278412387793</v>
      </c>
      <c r="BG32" s="19"/>
      <c r="BH32" s="19"/>
      <c r="BI32" s="19"/>
      <c r="BJ32" s="19"/>
    </row>
    <row r="33" spans="1:62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67"/>
      <c r="K33" s="19">
        <v>0.91545094457991139</v>
      </c>
      <c r="L33" s="19">
        <v>1929.8709831449505</v>
      </c>
      <c r="M33" s="19">
        <v>25.260091402420816</v>
      </c>
      <c r="N33" s="19">
        <v>4.5575045077582423</v>
      </c>
      <c r="O33" s="19">
        <v>1.3897739224408272</v>
      </c>
      <c r="P33" s="19">
        <v>2198.8489262687358</v>
      </c>
      <c r="Q33" s="19">
        <v>28.780745108229524</v>
      </c>
      <c r="R33" s="19">
        <v>10396.095369305593</v>
      </c>
      <c r="S33" s="19">
        <v>10396.095369305593</v>
      </c>
      <c r="T33" s="19">
        <v>13812.586985752878</v>
      </c>
      <c r="U33" s="19">
        <v>922.91448213894648</v>
      </c>
      <c r="V33" s="19">
        <v>1013.6655270451816</v>
      </c>
      <c r="W33" s="19">
        <v>9.8330936032025917E-2</v>
      </c>
      <c r="X33" s="19">
        <v>4.5018849321372523</v>
      </c>
      <c r="Y33" s="19">
        <v>4.6500680978258178</v>
      </c>
      <c r="Z33" s="19">
        <v>3.2915804806724847E-2</v>
      </c>
      <c r="AA33" s="19">
        <v>1038.7137001981446</v>
      </c>
      <c r="AB33" s="19">
        <v>1178.4034322946482</v>
      </c>
      <c r="AC33" s="19">
        <v>0.13448338273564353</v>
      </c>
      <c r="AD33" s="19">
        <v>0.63895466758562203</v>
      </c>
      <c r="AE33" s="19">
        <v>0.66162827140275693</v>
      </c>
      <c r="AF33" s="19">
        <v>0.62001129978543956</v>
      </c>
      <c r="AG33" s="19">
        <v>0.47231117342485185</v>
      </c>
      <c r="AH33" s="19">
        <v>0.53571742679257695</v>
      </c>
      <c r="AI33" s="19">
        <v>455.50026542821064</v>
      </c>
      <c r="AJ33" s="19">
        <v>516.64970855778847</v>
      </c>
      <c r="AK33" s="19">
        <f t="shared" si="0"/>
        <v>12.961999653146655</v>
      </c>
      <c r="AL33" s="19">
        <v>0.13424677825838782</v>
      </c>
      <c r="AM33" s="19">
        <v>2.2800000000000002</v>
      </c>
      <c r="AN33" s="19">
        <v>2.25</v>
      </c>
      <c r="AO33" s="19">
        <v>2.3199999999999998</v>
      </c>
      <c r="AP33" s="19">
        <v>3.1111111111111089E-2</v>
      </c>
      <c r="AQ33" s="19">
        <v>11.01745169317881</v>
      </c>
      <c r="AR33" s="19">
        <v>0.31424428571428564</v>
      </c>
      <c r="AS33" s="19">
        <v>2.0154230631917227</v>
      </c>
      <c r="AT33" s="19">
        <v>25.743295682532498</v>
      </c>
      <c r="AU33" s="19">
        <v>0.79864846114491672</v>
      </c>
      <c r="AV33" s="19">
        <v>0.94033792045613596</v>
      </c>
      <c r="AW33" s="19">
        <v>453.02935555555564</v>
      </c>
      <c r="AX33" s="19">
        <v>180.93512222222225</v>
      </c>
      <c r="AY33" s="19">
        <v>382.60356666666667</v>
      </c>
      <c r="AZ33" s="19">
        <v>108.01489555555555</v>
      </c>
      <c r="BA33" s="19">
        <v>273.13836219443255</v>
      </c>
      <c r="BB33" s="19">
        <v>228.827139419622</v>
      </c>
      <c r="BC33" s="19">
        <v>493.91868057634292</v>
      </c>
      <c r="BD33" s="19">
        <v>96.186730864568361</v>
      </c>
      <c r="BE33" s="19">
        <v>-53.247976051739442</v>
      </c>
      <c r="BF33" s="19">
        <v>145.22491613709337</v>
      </c>
      <c r="BG33" s="19"/>
      <c r="BH33" s="19"/>
      <c r="BI33" s="19"/>
      <c r="BJ33" s="19"/>
    </row>
    <row r="34" spans="1:62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67"/>
      <c r="K34" s="19">
        <v>0.98364791328159695</v>
      </c>
      <c r="L34" s="19">
        <v>2091.6123615638708</v>
      </c>
      <c r="M34" s="19">
        <v>23.660773320858265</v>
      </c>
      <c r="N34" s="19">
        <v>3.3544844517907819</v>
      </c>
      <c r="O34" s="19">
        <v>1.216580432361577</v>
      </c>
      <c r="P34" s="19">
        <v>1754.070286509851</v>
      </c>
      <c r="Q34" s="19">
        <v>19.842424055541301</v>
      </c>
      <c r="R34" s="19">
        <v>7812.0504258039673</v>
      </c>
      <c r="S34" s="19">
        <v>7812.0504258039673</v>
      </c>
      <c r="T34" s="19">
        <v>9721.5387780676701</v>
      </c>
      <c r="U34" s="19">
        <v>1059.8230680373542</v>
      </c>
      <c r="V34" s="19">
        <v>1055.7787249489199</v>
      </c>
      <c r="W34" s="19">
        <v>3.8306730310653236E-3</v>
      </c>
      <c r="X34" s="19">
        <v>3.377513259852615</v>
      </c>
      <c r="Y34" s="19">
        <v>3.2835740525938837</v>
      </c>
      <c r="Z34" s="19">
        <v>2.8608828597766367E-2</v>
      </c>
      <c r="AA34" s="19">
        <v>894.89161634846096</v>
      </c>
      <c r="AB34" s="19">
        <v>866.6819066307321</v>
      </c>
      <c r="AC34" s="19">
        <v>3.2549092696991355E-2</v>
      </c>
      <c r="AD34" s="19">
        <v>0.6546052710173883</v>
      </c>
      <c r="AE34" s="19">
        <v>0.66108075702518931</v>
      </c>
      <c r="AF34" s="19">
        <v>0.64879480791878741</v>
      </c>
      <c r="AG34" s="19">
        <v>0.51016768352758235</v>
      </c>
      <c r="AH34" s="19">
        <v>0.49383125747540274</v>
      </c>
      <c r="AI34" s="19">
        <v>532.65925924731823</v>
      </c>
      <c r="AJ34" s="19">
        <v>515.60261516603521</v>
      </c>
      <c r="AK34" s="19">
        <f t="shared" si="0"/>
        <v>12.332492640157097</v>
      </c>
      <c r="AL34" s="19">
        <v>3.3080988302959691E-2</v>
      </c>
      <c r="AM34" s="19">
        <v>1.68</v>
      </c>
      <c r="AN34" s="19">
        <v>1.69</v>
      </c>
      <c r="AO34" s="19">
        <v>1.6400000000000001</v>
      </c>
      <c r="AP34" s="19">
        <v>3.0487804878048586E-2</v>
      </c>
      <c r="AQ34" s="19">
        <v>4.5293683397155204</v>
      </c>
      <c r="AR34" s="19">
        <v>0.32066571428571428</v>
      </c>
      <c r="AS34" s="19">
        <v>1.9680114244912641</v>
      </c>
      <c r="AT34" s="19">
        <v>16.757968816861773</v>
      </c>
      <c r="AU34" s="19">
        <v>0.84712220114760706</v>
      </c>
      <c r="AV34" s="19">
        <v>0.90500898663883833</v>
      </c>
      <c r="AW34" s="19">
        <v>512.11304444444443</v>
      </c>
      <c r="AX34" s="19">
        <v>133.86988888888891</v>
      </c>
      <c r="AY34" s="19">
        <v>449.94002222222224</v>
      </c>
      <c r="AZ34" s="19">
        <v>112.78966777777777</v>
      </c>
      <c r="BA34" s="19">
        <v>251.49497840720727</v>
      </c>
      <c r="BB34" s="19">
        <v>252.05489858464054</v>
      </c>
      <c r="BC34" s="19">
        <v>502.57463972314207</v>
      </c>
      <c r="BD34" s="19">
        <v>68.454813255294013</v>
      </c>
      <c r="BE34" s="19">
        <v>-61.957706706268219</v>
      </c>
      <c r="BF34" s="19">
        <v>127.9241485001285</v>
      </c>
      <c r="BG34" s="19"/>
      <c r="BH34" s="19"/>
      <c r="BI34" s="19"/>
      <c r="BJ34" s="19"/>
    </row>
    <row r="35" spans="1:62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67"/>
      <c r="K35" s="19">
        <v>0.94003298327261164</v>
      </c>
      <c r="L35" s="19">
        <v>1682.8763075123343</v>
      </c>
      <c r="M35" s="19">
        <v>19.058621829131759</v>
      </c>
      <c r="N35" s="19">
        <v>3.3685224858629557</v>
      </c>
      <c r="O35" s="19">
        <v>1.2561531437887221</v>
      </c>
      <c r="P35" s="19">
        <v>1417.20167069533</v>
      </c>
      <c r="Q35" s="19">
        <v>16.049849045247225</v>
      </c>
      <c r="R35" s="19">
        <v>7618.5022973297237</v>
      </c>
      <c r="S35" s="19">
        <v>7618.5022973297237</v>
      </c>
      <c r="T35" s="19">
        <v>9749.8904942718473</v>
      </c>
      <c r="U35" s="19">
        <v>839.41438553105684</v>
      </c>
      <c r="V35" s="19">
        <v>856.27324702171427</v>
      </c>
      <c r="W35" s="19">
        <v>2.0084075018552028E-2</v>
      </c>
      <c r="X35" s="19">
        <v>3.7491726867010193</v>
      </c>
      <c r="Y35" s="19">
        <v>3.5435755427631643</v>
      </c>
      <c r="Z35" s="19">
        <v>5.8019687024235767E-2</v>
      </c>
      <c r="AA35" s="19">
        <v>786.77737176423943</v>
      </c>
      <c r="AB35" s="19">
        <v>758.56723401713703</v>
      </c>
      <c r="AC35" s="19">
        <v>3.7188711141279196E-2</v>
      </c>
      <c r="AD35" s="19">
        <v>0.62732382583607937</v>
      </c>
      <c r="AE35" s="19">
        <v>0.64632849283132854</v>
      </c>
      <c r="AF35" s="19">
        <v>0.6093143185975548</v>
      </c>
      <c r="AG35" s="19">
        <v>0.5491842913144751</v>
      </c>
      <c r="AH35" s="19">
        <v>0.53382399121014856</v>
      </c>
      <c r="AI35" s="19">
        <v>463.27375784152355</v>
      </c>
      <c r="AJ35" s="19">
        <v>450.31631520624228</v>
      </c>
      <c r="AK35" s="19">
        <f t="shared" si="0"/>
        <v>11.007109313828504</v>
      </c>
      <c r="AL35" s="19">
        <v>2.8774091006111613E-2</v>
      </c>
      <c r="AM35" s="19">
        <v>1.68</v>
      </c>
      <c r="AN35" s="19">
        <v>1.8800000000000001</v>
      </c>
      <c r="AO35" s="19">
        <v>1.77</v>
      </c>
      <c r="AP35" s="19">
        <v>6.2146892655367214E-2</v>
      </c>
      <c r="AQ35" s="19">
        <v>-0.62136805489678348</v>
      </c>
      <c r="AR35" s="19">
        <v>0.36235714285714282</v>
      </c>
      <c r="AS35" s="19">
        <v>1.7870760442699056</v>
      </c>
      <c r="AT35" s="19">
        <v>25.009328392508632</v>
      </c>
      <c r="AU35" s="19">
        <v>0.96623834469700476</v>
      </c>
      <c r="AV35" s="19">
        <v>0.95634851194506998</v>
      </c>
      <c r="AW35" s="19">
        <v>397.83317499999998</v>
      </c>
      <c r="AX35" s="19">
        <v>146.41515000000001</v>
      </c>
      <c r="AY35" s="19">
        <v>362.2098125</v>
      </c>
      <c r="AZ35" s="19">
        <v>103.67195375</v>
      </c>
      <c r="BA35" s="19">
        <v>248.81356321260733</v>
      </c>
      <c r="BB35" s="19">
        <v>219.02177278344436</v>
      </c>
      <c r="BC35" s="19">
        <v>455.60457337635711</v>
      </c>
      <c r="BD35" s="19">
        <v>84.395568352005043</v>
      </c>
      <c r="BE35" s="19">
        <v>-55.356946911656081</v>
      </c>
      <c r="BF35" s="19">
        <v>135.03639892753233</v>
      </c>
      <c r="BG35" s="19"/>
      <c r="BH35" s="19"/>
      <c r="BI35" s="19"/>
      <c r="BJ35" s="19"/>
    </row>
    <row r="36" spans="1:62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67"/>
      <c r="K36" s="19">
        <v>0.97796159946306438</v>
      </c>
      <c r="L36" s="19">
        <v>2657.6284331353854</v>
      </c>
      <c r="M36" s="19">
        <v>34.380704180276659</v>
      </c>
      <c r="N36" s="19">
        <v>2.6057640463354241</v>
      </c>
      <c r="O36" s="19">
        <v>1.3093584589354732</v>
      </c>
      <c r="P36" s="19">
        <v>1731.2881548957337</v>
      </c>
      <c r="Q36" s="19">
        <v>22.397000710164733</v>
      </c>
      <c r="R36" s="19">
        <v>4283.7483257846679</v>
      </c>
      <c r="S36" s="19">
        <v>4283.7483257846679</v>
      </c>
      <c r="T36" s="19">
        <v>6783.6129037033907</v>
      </c>
      <c r="U36" s="19">
        <v>1283.6610724752725</v>
      </c>
      <c r="V36" s="19">
        <v>1311.2748438127758</v>
      </c>
      <c r="W36" s="19">
        <v>2.1511730728311251E-2</v>
      </c>
      <c r="X36" s="19">
        <v>2.9061255309688203</v>
      </c>
      <c r="Y36" s="19">
        <v>2.5286892332126039</v>
      </c>
      <c r="Z36" s="19">
        <v>0.14926163832188188</v>
      </c>
      <c r="AA36" s="19">
        <v>932.62005395780159</v>
      </c>
      <c r="AB36" s="19">
        <v>828.95164483297617</v>
      </c>
      <c r="AC36" s="19">
        <v>0.1250596579076857</v>
      </c>
      <c r="AD36" s="19">
        <v>0.60299353155217206</v>
      </c>
      <c r="AE36" s="19">
        <v>0.60762977218461078</v>
      </c>
      <c r="AF36" s="19">
        <v>0.59845470308282378</v>
      </c>
      <c r="AG36" s="19">
        <v>0.53271092899180605</v>
      </c>
      <c r="AH36" s="19">
        <v>0.47842783879407613</v>
      </c>
      <c r="AI36" s="19">
        <v>709.43969888528272</v>
      </c>
      <c r="AJ36" s="19">
        <v>637.14799794848341</v>
      </c>
      <c r="AK36" s="19">
        <f t="shared" si="0"/>
        <v>17.488151906932028</v>
      </c>
      <c r="AL36" s="19">
        <v>0.11346139542079281</v>
      </c>
      <c r="AM36" s="19">
        <v>1.3</v>
      </c>
      <c r="AN36" s="19">
        <v>1.45</v>
      </c>
      <c r="AO36" s="19">
        <v>1.26</v>
      </c>
      <c r="AP36" s="19">
        <v>0.1507936507936507</v>
      </c>
      <c r="AQ36" s="19">
        <v>-6.4414970202946469</v>
      </c>
      <c r="AR36" s="19">
        <v>0.30784500000000004</v>
      </c>
      <c r="AS36" s="19">
        <v>2.1088718314887278</v>
      </c>
      <c r="AT36" s="19">
        <v>43.370719303199479</v>
      </c>
      <c r="AU36" s="19">
        <v>0.97778776407703993</v>
      </c>
      <c r="AV36" s="19">
        <v>9.6214478690806331</v>
      </c>
      <c r="AW36" s="19">
        <v>491.03327777777781</v>
      </c>
      <c r="AX36" s="19">
        <v>182.36434444444444</v>
      </c>
      <c r="AY36" s="19">
        <v>509.6936222222223</v>
      </c>
      <c r="AZ36" s="19">
        <v>151.45084444444447</v>
      </c>
      <c r="BA36" s="19">
        <v>305.0053427310711</v>
      </c>
      <c r="BB36" s="19">
        <v>337.20284430722091</v>
      </c>
      <c r="BC36" s="19">
        <v>637.32120373630983</v>
      </c>
      <c r="BD36" s="19">
        <v>102.57975850621317</v>
      </c>
      <c r="BE36" s="19">
        <v>-86.52038252069157</v>
      </c>
      <c r="BF36" s="19">
        <v>187.22671323521135</v>
      </c>
      <c r="BG36" s="19"/>
      <c r="BH36" s="19"/>
      <c r="BI36" s="19"/>
      <c r="BJ36" s="19"/>
    </row>
    <row r="37" spans="1:62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67"/>
      <c r="K37" s="19">
        <v>0.80020847753122526</v>
      </c>
      <c r="L37" s="19">
        <v>1621.3177751101816</v>
      </c>
      <c r="M37" s="19">
        <v>22.99741524978981</v>
      </c>
      <c r="N37" s="19">
        <v>3.4519052181664169</v>
      </c>
      <c r="O37" s="19">
        <v>1.2284125053535495</v>
      </c>
      <c r="P37" s="19">
        <v>1399.1588220522003</v>
      </c>
      <c r="Q37" s="19">
        <v>19.846224426272347</v>
      </c>
      <c r="R37" s="19">
        <v>2775.1364757404021</v>
      </c>
      <c r="S37" s="19">
        <v>2775.1364757404021</v>
      </c>
      <c r="T37" s="19">
        <v>3913.9732888751919</v>
      </c>
      <c r="U37" s="19">
        <v>730.63426026825891</v>
      </c>
      <c r="V37" s="19">
        <v>931.4184416004482</v>
      </c>
      <c r="W37" s="19">
        <v>0.27480805684976994</v>
      </c>
      <c r="X37" s="19">
        <v>3.8509816867708038</v>
      </c>
      <c r="Y37" s="19">
        <v>3.0847270467189452</v>
      </c>
      <c r="Z37" s="19">
        <v>0.2484027365944359</v>
      </c>
      <c r="AA37" s="19">
        <v>703.41478900509958</v>
      </c>
      <c r="AB37" s="19">
        <v>718.29291465442827</v>
      </c>
      <c r="AC37" s="19">
        <v>2.1151283541211985E-2</v>
      </c>
      <c r="AD37" s="19">
        <v>0.69639317333453477</v>
      </c>
      <c r="AE37" s="19">
        <v>0.71071237837789503</v>
      </c>
      <c r="AF37" s="19">
        <v>0.6847367336621033</v>
      </c>
      <c r="AG37" s="19">
        <v>0.49756173607193871</v>
      </c>
      <c r="AH37" s="19">
        <v>0.50577967007905988</v>
      </c>
      <c r="AI37" s="19">
        <v>402.40697354646767</v>
      </c>
      <c r="AJ37" s="19">
        <v>409.05329241077061</v>
      </c>
      <c r="AK37" s="19">
        <f t="shared" si="0"/>
        <v>11.115894054208745</v>
      </c>
      <c r="AL37" s="19">
        <v>1.6516410751354682E-2</v>
      </c>
      <c r="AM37" s="19">
        <v>1.73</v>
      </c>
      <c r="AN37" s="19">
        <v>1.93</v>
      </c>
      <c r="AO37" s="19">
        <v>1.54</v>
      </c>
      <c r="AP37" s="19">
        <v>0.25324675324675328</v>
      </c>
      <c r="AQ37" s="19">
        <v>17.91057217839916</v>
      </c>
      <c r="AR37" s="19">
        <v>0.33862375</v>
      </c>
      <c r="AS37" s="19">
        <v>1.9433059621563773</v>
      </c>
      <c r="AT37" s="19">
        <v>46.900142891820835</v>
      </c>
      <c r="AU37" s="19">
        <v>0.71192213297551055</v>
      </c>
      <c r="AV37" s="19">
        <v>0.75950549830767811</v>
      </c>
      <c r="AW37" s="19">
        <v>286.67720909090906</v>
      </c>
      <c r="AX37" s="19">
        <v>118.87777999999999</v>
      </c>
      <c r="AY37" s="19">
        <v>243.80091818181816</v>
      </c>
      <c r="AZ37" s="19">
        <v>84.939569090909103</v>
      </c>
      <c r="BA37" s="19">
        <v>142.61025940507818</v>
      </c>
      <c r="BB37" s="19">
        <v>123.7789821238253</v>
      </c>
      <c r="BC37" s="19">
        <v>260.94247602046988</v>
      </c>
      <c r="BD37" s="19">
        <v>59.646299457727885</v>
      </c>
      <c r="BE37" s="19">
        <v>-42.051879244852877</v>
      </c>
      <c r="BF37" s="19">
        <v>97.859762119449954</v>
      </c>
      <c r="BG37" s="19"/>
      <c r="BH37" s="19"/>
      <c r="BI37" s="19"/>
      <c r="BJ37" s="19"/>
    </row>
    <row r="38" spans="1:62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67"/>
      <c r="K38" s="19">
        <v>0.80275512412961758</v>
      </c>
      <c r="L38" s="19">
        <v>1909.5268909162728</v>
      </c>
      <c r="M38" s="19">
        <v>31.82544818193788</v>
      </c>
      <c r="N38" s="19">
        <v>2.7650164140456779</v>
      </c>
      <c r="O38" s="19">
        <v>1.2258175271749445</v>
      </c>
      <c r="P38" s="19">
        <v>1319.9682991112763</v>
      </c>
      <c r="Q38" s="19">
        <v>21.999471651854606</v>
      </c>
      <c r="R38" s="19">
        <v>6822.3055094425035</v>
      </c>
      <c r="S38" s="19">
        <v>6822.3055094425035</v>
      </c>
      <c r="T38" s="19">
        <v>8989.0500643480209</v>
      </c>
      <c r="U38" s="19">
        <v>877.06813416459408</v>
      </c>
      <c r="V38" s="19">
        <v>1056.4302486400054</v>
      </c>
      <c r="W38" s="19">
        <v>0.20450191665696926</v>
      </c>
      <c r="X38" s="19">
        <v>3.0812749232181083</v>
      </c>
      <c r="Y38" s="19">
        <v>2.5408245613810796</v>
      </c>
      <c r="Z38" s="19">
        <v>0.21270668193763997</v>
      </c>
      <c r="AA38" s="19">
        <v>675.62201193876479</v>
      </c>
      <c r="AB38" s="19">
        <v>671.05098078261165</v>
      </c>
      <c r="AC38" s="19">
        <v>6.8117494602604189E-3</v>
      </c>
      <c r="AD38" s="19">
        <v>0.62621393581209672</v>
      </c>
      <c r="AE38" s="19">
        <v>0.63346520395330574</v>
      </c>
      <c r="AF38" s="19">
        <v>0.62009883846982894</v>
      </c>
      <c r="AG38" s="19">
        <v>0.50628422796865324</v>
      </c>
      <c r="AH38" s="19">
        <v>0.50460291167010496</v>
      </c>
      <c r="AI38" s="19">
        <v>484.25864610922883</v>
      </c>
      <c r="AJ38" s="19">
        <v>482.65047443522042</v>
      </c>
      <c r="AK38" s="19">
        <f t="shared" si="0"/>
        <v>14.875524931453066</v>
      </c>
      <c r="AL38" s="19">
        <v>3.3319591696046036E-3</v>
      </c>
      <c r="AM38" s="19">
        <v>1.3800000000000001</v>
      </c>
      <c r="AN38" s="19">
        <v>1.54</v>
      </c>
      <c r="AO38" s="19">
        <v>1.27</v>
      </c>
      <c r="AP38" s="19">
        <v>0.21259842519685046</v>
      </c>
      <c r="AQ38" s="19">
        <v>13.114705162378401</v>
      </c>
      <c r="AR38" s="19">
        <v>0.27943500000000004</v>
      </c>
      <c r="AS38" s="19">
        <v>1.9335594430560481</v>
      </c>
      <c r="AT38" s="19">
        <v>51.631501848516429</v>
      </c>
      <c r="AU38" s="19">
        <v>0.71839884266751786</v>
      </c>
      <c r="AV38" s="19">
        <v>0.77265130759012857</v>
      </c>
      <c r="AW38" s="19">
        <v>441.36097272727272</v>
      </c>
      <c r="AX38" s="19">
        <v>118.07167636363637</v>
      </c>
      <c r="AY38" s="19">
        <v>397.18800000000005</v>
      </c>
      <c r="AZ38" s="19">
        <v>62.321682727272723</v>
      </c>
      <c r="BA38" s="19">
        <v>233.98459154371903</v>
      </c>
      <c r="BB38" s="19">
        <v>233.40152299742297</v>
      </c>
      <c r="BC38" s="19">
        <v>464.66679111783048</v>
      </c>
      <c r="BD38" s="19">
        <v>55.586982616608971</v>
      </c>
      <c r="BE38" s="19">
        <v>-27.504284028804431</v>
      </c>
      <c r="BF38" s="19">
        <v>85.096757309380692</v>
      </c>
      <c r="BG38" s="19"/>
      <c r="BH38" s="19"/>
      <c r="BI38" s="19"/>
      <c r="BJ38" s="19"/>
    </row>
    <row r="39" spans="1:62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67"/>
      <c r="K39" s="19">
        <v>0.96794953330817246</v>
      </c>
      <c r="L39" s="19">
        <v>1869.1275541014193</v>
      </c>
      <c r="M39" s="19">
        <v>18.324779942170778</v>
      </c>
      <c r="N39" s="19">
        <v>3.0281869208565015</v>
      </c>
      <c r="O39" s="19">
        <v>1.156078917950849</v>
      </c>
      <c r="P39" s="19">
        <v>1415.0169031856051</v>
      </c>
      <c r="Q39" s="19">
        <v>13.872714737113775</v>
      </c>
      <c r="R39" s="19">
        <v>2262.0505509447494</v>
      </c>
      <c r="S39" s="19">
        <v>2262.0505509447494</v>
      </c>
      <c r="T39" s="19">
        <v>3204.0998549773308</v>
      </c>
      <c r="U39" s="19">
        <v>852.46544281021522</v>
      </c>
      <c r="V39" s="19">
        <v>1134.5668376657709</v>
      </c>
      <c r="W39" s="19">
        <v>0.33092414154125427</v>
      </c>
      <c r="X39" s="19">
        <v>5.0882176067867073</v>
      </c>
      <c r="Y39" s="19">
        <v>2.1664651501269994</v>
      </c>
      <c r="Z39" s="19">
        <v>1.348626566408619</v>
      </c>
      <c r="AA39" s="19">
        <v>1084.382418821041</v>
      </c>
      <c r="AB39" s="19">
        <v>614.49987857317228</v>
      </c>
      <c r="AC39" s="19">
        <v>0.76465847534242748</v>
      </c>
      <c r="AD39" s="19">
        <v>0.63472215943823829</v>
      </c>
      <c r="AE39" s="19">
        <v>0.64994290874416849</v>
      </c>
      <c r="AF39" s="19">
        <v>0.61916616840614291</v>
      </c>
      <c r="AG39" s="19">
        <v>0.63972945661317149</v>
      </c>
      <c r="AH39" s="19">
        <v>0.36686691482973982</v>
      </c>
      <c r="AI39" s="19">
        <v>599.48435628464756</v>
      </c>
      <c r="AJ39" s="19">
        <v>343.78747766781044</v>
      </c>
      <c r="AK39" s="19">
        <f t="shared" si="0"/>
        <v>9.2477630779652742</v>
      </c>
      <c r="AL39" s="19">
        <v>0.7437643754549661</v>
      </c>
      <c r="AM39" s="19">
        <v>1.51</v>
      </c>
      <c r="AN39" s="19">
        <v>2.54</v>
      </c>
      <c r="AO39" s="19">
        <v>1.08</v>
      </c>
      <c r="AP39" s="19">
        <v>1.3518518518518516</v>
      </c>
      <c r="AQ39" s="19">
        <v>-3.3016629166395504</v>
      </c>
      <c r="AR39" s="19">
        <v>0.37899000000000005</v>
      </c>
      <c r="AS39" s="19">
        <v>1.5194573366654631</v>
      </c>
      <c r="AT39" s="19">
        <v>26.62306697042591</v>
      </c>
      <c r="AU39" s="19">
        <v>0.79778274515878156</v>
      </c>
      <c r="AV39" s="19">
        <v>0.9344677721431629</v>
      </c>
      <c r="AW39" s="19">
        <v>441.89678571428573</v>
      </c>
      <c r="AX39" s="19">
        <v>125.04461142857143</v>
      </c>
      <c r="AY39" s="19">
        <v>473.35984285714284</v>
      </c>
      <c r="AZ39" s="19">
        <v>67.433082857142864</v>
      </c>
      <c r="BA39" s="19">
        <v>276.37201530353457</v>
      </c>
      <c r="BB39" s="19">
        <v>280.98062946194062</v>
      </c>
      <c r="BC39" s="19">
        <v>543.7805877408673</v>
      </c>
      <c r="BD39" s="19">
        <v>54.108048199302324</v>
      </c>
      <c r="BE39" s="19">
        <v>-21.892477842880989</v>
      </c>
      <c r="BF39" s="19">
        <v>78.579964150693897</v>
      </c>
      <c r="BG39" s="19"/>
      <c r="BH39" s="19"/>
      <c r="BI39" s="19"/>
      <c r="BJ39" s="19"/>
    </row>
    <row r="40" spans="1:62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67"/>
      <c r="K40" s="19">
        <v>0.7153934734756453</v>
      </c>
      <c r="L40" s="19">
        <v>1773.8709413457555</v>
      </c>
      <c r="M40" s="19">
        <v>27.501875059624115</v>
      </c>
      <c r="N40" s="19">
        <v>3.1958737218918967</v>
      </c>
      <c r="O40" s="19">
        <v>1.1640037600268498</v>
      </c>
      <c r="P40" s="19">
        <v>1417.2668818686354</v>
      </c>
      <c r="Q40" s="19">
        <v>21.97312995145171</v>
      </c>
      <c r="R40" s="19">
        <v>3171.7216546398549</v>
      </c>
      <c r="S40" s="19">
        <v>3171.7216546398549</v>
      </c>
      <c r="T40" s="19">
        <v>3872.9542050981499</v>
      </c>
      <c r="U40" s="19">
        <v>956.36223283782567</v>
      </c>
      <c r="V40" s="19">
        <v>851.44158312571869</v>
      </c>
      <c r="W40" s="19">
        <v>0.12322706782411763</v>
      </c>
      <c r="X40" s="19">
        <v>3.1971048440792607</v>
      </c>
      <c r="Y40" s="19">
        <v>2.9358670089917847</v>
      </c>
      <c r="Z40" s="19">
        <v>8.8981494831807284E-2</v>
      </c>
      <c r="AA40" s="19">
        <v>764.3975818250675</v>
      </c>
      <c r="AB40" s="19">
        <v>624.92981349563343</v>
      </c>
      <c r="AC40" s="19">
        <v>0.22317349135465525</v>
      </c>
      <c r="AD40" s="19">
        <v>0.61222831737950134</v>
      </c>
      <c r="AE40" s="19">
        <v>0.60758148765145037</v>
      </c>
      <c r="AF40" s="19">
        <v>0.61787647988772143</v>
      </c>
      <c r="AG40" s="19">
        <v>0.53934670952438291</v>
      </c>
      <c r="AH40" s="19">
        <v>0.43737179218115435</v>
      </c>
      <c r="AI40" s="19">
        <v>477.74809687219704</v>
      </c>
      <c r="AJ40" s="19">
        <v>387.41970174322927</v>
      </c>
      <c r="AK40" s="19">
        <f t="shared" si="0"/>
        <v>13.518246853366037</v>
      </c>
      <c r="AL40" s="19">
        <v>0.23315385026245994</v>
      </c>
      <c r="AM40" s="19">
        <v>1.6</v>
      </c>
      <c r="AN40" s="19">
        <v>1.6</v>
      </c>
      <c r="AO40" s="19">
        <v>1.47</v>
      </c>
      <c r="AP40" s="19">
        <v>8.8435374149659962E-2</v>
      </c>
      <c r="AQ40" s="19">
        <v>-11.948609645174226</v>
      </c>
      <c r="AR40" s="19">
        <v>0.33216499999999999</v>
      </c>
      <c r="AS40" s="19">
        <v>1.8824526954659109</v>
      </c>
      <c r="AT40" s="19">
        <v>59.127146803861557</v>
      </c>
      <c r="AU40" s="19">
        <v>0.75762470478245236</v>
      </c>
      <c r="AV40" s="19">
        <v>0.65072176238276513</v>
      </c>
      <c r="AW40" s="19">
        <v>437.87599166666672</v>
      </c>
      <c r="AX40" s="19">
        <v>86.502261666666655</v>
      </c>
      <c r="AY40" s="19">
        <v>461.03500833333328</v>
      </c>
      <c r="AZ40" s="19">
        <v>124.13497499999998</v>
      </c>
      <c r="BA40" s="19">
        <v>224.3442776794021</v>
      </c>
      <c r="BB40" s="19">
        <v>253.30679990660656</v>
      </c>
      <c r="BC40" s="19">
        <v>473.62356720331985</v>
      </c>
      <c r="BD40" s="19">
        <v>39.2267660740794</v>
      </c>
      <c r="BE40" s="19">
        <v>-63.57243674147913</v>
      </c>
      <c r="BF40" s="19">
        <v>104.11347759451472</v>
      </c>
      <c r="BG40" s="19"/>
      <c r="BH40" s="19"/>
      <c r="BI40" s="19"/>
      <c r="BJ40" s="19"/>
    </row>
    <row r="41" spans="1:62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67"/>
      <c r="K41" s="19">
        <v>0.86129618332887159</v>
      </c>
      <c r="L41" s="19" t="s">
        <v>348</v>
      </c>
      <c r="M41" s="19">
        <v>29.269508463668124</v>
      </c>
      <c r="N41" s="19">
        <v>3.8452075763189697</v>
      </c>
      <c r="O41" s="19">
        <v>1.5465265603435867</v>
      </c>
      <c r="P41" s="19">
        <v>2447.9045514669283</v>
      </c>
      <c r="Q41" s="19">
        <v>28.136833924907222</v>
      </c>
      <c r="R41" s="19">
        <v>2649.0585092786091</v>
      </c>
      <c r="S41" s="19">
        <v>2649.0585092786091</v>
      </c>
      <c r="T41" s="19">
        <v>4116.1636696770083</v>
      </c>
      <c r="U41" s="19">
        <v>1290.9630793594274</v>
      </c>
      <c r="V41" s="19">
        <v>1288.374211413156</v>
      </c>
      <c r="W41" s="19">
        <v>2.0094068348603944E-3</v>
      </c>
      <c r="X41" s="19">
        <v>3.7995685237959438</v>
      </c>
      <c r="Y41" s="19">
        <v>3.9867349251407065</v>
      </c>
      <c r="Z41" s="19">
        <v>4.925990942723546E-2</v>
      </c>
      <c r="AA41" s="19">
        <v>1226.2756704291915</v>
      </c>
      <c r="AB41" s="19">
        <v>1284.1016163228612</v>
      </c>
      <c r="AC41" s="19">
        <v>4.715574751102336E-2</v>
      </c>
      <c r="AD41" s="19">
        <v>0.64378591694832055</v>
      </c>
      <c r="AE41" s="19">
        <v>0.67574164361249478</v>
      </c>
      <c r="AF41" s="19">
        <v>0.61498883546634042</v>
      </c>
      <c r="AG41" s="19">
        <v>0.50089333119175838</v>
      </c>
      <c r="AH41" s="19">
        <v>0.52386210836374802</v>
      </c>
      <c r="AI41" s="19">
        <v>638.61292516512538</v>
      </c>
      <c r="AJ41" s="19">
        <v>667.89692050674989</v>
      </c>
      <c r="AK41" s="19">
        <f t="shared" si="0"/>
        <v>15.017354547952587</v>
      </c>
      <c r="AL41" s="19">
        <v>4.5855625822250001E-2</v>
      </c>
      <c r="AM41" s="19">
        <v>1.92</v>
      </c>
      <c r="AN41" s="19">
        <v>1.9000000000000001</v>
      </c>
      <c r="AO41" s="19">
        <v>1.99</v>
      </c>
      <c r="AP41" s="19">
        <v>4.7368421052631504E-2</v>
      </c>
      <c r="AQ41" s="19">
        <v>2.624528786566303</v>
      </c>
      <c r="AR41" s="19">
        <v>0.36313166666666669</v>
      </c>
      <c r="AS41" s="19">
        <v>2.2951802927525762</v>
      </c>
      <c r="AT41" s="19">
        <v>58.200029342232355</v>
      </c>
      <c r="AU41" s="19">
        <v>0.81440856635450642</v>
      </c>
      <c r="AV41" s="19">
        <v>0.9301053526491998</v>
      </c>
      <c r="AW41" s="19">
        <v>525.95276000000001</v>
      </c>
      <c r="AX41" s="19">
        <v>220.05138999999994</v>
      </c>
      <c r="AY41" s="19">
        <v>442.80800999999991</v>
      </c>
      <c r="AZ41" s="19">
        <v>135.33287600000003</v>
      </c>
      <c r="BA41" s="19">
        <v>294.43768885521803</v>
      </c>
      <c r="BB41" s="19">
        <v>242.38848044452916</v>
      </c>
      <c r="BC41" s="19">
        <v>537.05578369107877</v>
      </c>
      <c r="BD41" s="19">
        <v>129.63997965061165</v>
      </c>
      <c r="BE41" s="19">
        <v>-78.308439289114887</v>
      </c>
      <c r="BF41" s="19">
        <v>200.49794344479872</v>
      </c>
      <c r="BG41" s="19"/>
      <c r="BH41" s="19"/>
      <c r="BI41" s="19"/>
      <c r="BJ41" s="19"/>
    </row>
    <row r="42" spans="1:62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67"/>
      <c r="K42" s="19">
        <v>0.89470370828766377</v>
      </c>
      <c r="L42" s="19">
        <v>1591.1228472889572</v>
      </c>
      <c r="M42" s="19">
        <v>21.706996552373223</v>
      </c>
      <c r="N42" s="19">
        <v>3.7691462198897736</v>
      </c>
      <c r="O42" s="19">
        <v>1.2382638627213278</v>
      </c>
      <c r="P42" s="19">
        <v>1499.2936663098567</v>
      </c>
      <c r="Q42" s="19">
        <v>20.454211000134471</v>
      </c>
      <c r="R42" s="19">
        <v>2580.210337193475</v>
      </c>
      <c r="S42" s="19">
        <v>2580.210337193475</v>
      </c>
      <c r="T42" s="19">
        <v>3887.4025438705785</v>
      </c>
      <c r="U42" s="19">
        <v>874.95936710882063</v>
      </c>
      <c r="V42" s="19">
        <v>769.53517110131668</v>
      </c>
      <c r="W42" s="19">
        <v>0.13699724192804164</v>
      </c>
      <c r="X42" s="19">
        <v>3.4842034743298242</v>
      </c>
      <c r="Y42" s="19">
        <v>4.0546835900289118</v>
      </c>
      <c r="Z42" s="19">
        <v>0.16373329511383306</v>
      </c>
      <c r="AA42" s="19">
        <v>762.1341166944942</v>
      </c>
      <c r="AB42" s="19">
        <v>780.05540755364984</v>
      </c>
      <c r="AC42" s="19">
        <v>2.3514615691111462E-2</v>
      </c>
      <c r="AD42" s="19">
        <v>0.65364727995926153</v>
      </c>
      <c r="AE42" s="19">
        <v>0.65303313502474813</v>
      </c>
      <c r="AF42" s="19">
        <v>0.65554517815411251</v>
      </c>
      <c r="AG42" s="19">
        <v>0.50514670942590845</v>
      </c>
      <c r="AH42" s="19">
        <v>0.51753685449648501</v>
      </c>
      <c r="AI42" s="19">
        <v>402.85042677749311</v>
      </c>
      <c r="AJ42" s="19">
        <v>412.73146754521269</v>
      </c>
      <c r="AK42" s="19">
        <f t="shared" si="0"/>
        <v>11.172354716749394</v>
      </c>
      <c r="AL42" s="19">
        <v>2.4527815067147074E-2</v>
      </c>
      <c r="AM42" s="19">
        <v>1.8800000000000001</v>
      </c>
      <c r="AN42" s="19">
        <v>1.74</v>
      </c>
      <c r="AO42" s="19">
        <v>2.0300000000000002</v>
      </c>
      <c r="AP42" s="19">
        <v>0.16666666666666674</v>
      </c>
      <c r="AQ42" s="19">
        <v>-3.7661358894315375</v>
      </c>
      <c r="AR42" s="19">
        <v>0.33555000000000001</v>
      </c>
      <c r="AS42" s="19">
        <v>1.7772652624062732</v>
      </c>
      <c r="AT42" s="19">
        <v>27.321862111822529</v>
      </c>
      <c r="AU42" s="19">
        <v>0.88895655416127806</v>
      </c>
      <c r="AV42" s="19">
        <v>16.744706691864405</v>
      </c>
      <c r="AW42" s="19">
        <v>364.48310000000004</v>
      </c>
      <c r="AX42" s="19">
        <v>96.517740000000003</v>
      </c>
      <c r="AY42" s="19">
        <v>376.64570999999995</v>
      </c>
      <c r="AZ42" s="19">
        <v>107.10852800000001</v>
      </c>
      <c r="BA42" s="19">
        <v>194.42079175559917</v>
      </c>
      <c r="BB42" s="19">
        <v>209.45863982224358</v>
      </c>
      <c r="BC42" s="19">
        <v>402.59488197710408</v>
      </c>
      <c r="BD42" s="19">
        <v>36.587008489428563</v>
      </c>
      <c r="BE42" s="19">
        <v>-51.405782348368618</v>
      </c>
      <c r="BF42" s="19">
        <v>88.129358963703822</v>
      </c>
      <c r="BG42" s="19"/>
      <c r="BH42" s="19"/>
      <c r="BI42" s="19"/>
      <c r="BJ42" s="19"/>
    </row>
    <row r="43" spans="1:62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67"/>
      <c r="K43" s="19">
        <v>0.8146132169393685</v>
      </c>
      <c r="L43" s="19">
        <v>1755.9916659149887</v>
      </c>
      <c r="M43" s="19">
        <v>28.140892081970975</v>
      </c>
      <c r="N43" s="19">
        <v>2.7355766750554085</v>
      </c>
      <c r="O43" s="19">
        <v>1.2100886588123285</v>
      </c>
      <c r="P43" s="19">
        <v>1200.9124607171832</v>
      </c>
      <c r="Q43" s="19">
        <v>19.245391998672808</v>
      </c>
      <c r="R43" s="19">
        <v>2714.5490369184258</v>
      </c>
      <c r="S43" s="19">
        <v>2714.5490369184258</v>
      </c>
      <c r="T43" s="19">
        <v>4143.5572150972848</v>
      </c>
      <c r="U43" s="19">
        <v>985.4706176871091</v>
      </c>
      <c r="V43" s="19">
        <v>821.49776000927761</v>
      </c>
      <c r="W43" s="19">
        <v>0.19960231866728351</v>
      </c>
      <c r="X43" s="19">
        <v>2.5219367545675428</v>
      </c>
      <c r="Y43" s="19">
        <v>3.0117310070295953</v>
      </c>
      <c r="Z43" s="19">
        <v>0.19421353512334272</v>
      </c>
      <c r="AA43" s="19">
        <v>621.32364282287494</v>
      </c>
      <c r="AB43" s="19">
        <v>618.53256900632459</v>
      </c>
      <c r="AC43" s="19">
        <v>4.5124120481387919E-3</v>
      </c>
      <c r="AD43" s="19">
        <v>0.63167794576304137</v>
      </c>
      <c r="AE43" s="19">
        <v>0.62263811557076321</v>
      </c>
      <c r="AF43" s="19">
        <v>0.64299798747036896</v>
      </c>
      <c r="AG43" s="19">
        <v>0.51350949227224196</v>
      </c>
      <c r="AH43" s="19">
        <v>0.51086077230152172</v>
      </c>
      <c r="AI43" s="19">
        <v>450.13017198158173</v>
      </c>
      <c r="AJ43" s="19">
        <v>447.80836723620951</v>
      </c>
      <c r="AK43" s="19">
        <f t="shared" si="0"/>
        <v>14.390040692592809</v>
      </c>
      <c r="AL43" s="19">
        <v>5.1848176926705403E-3</v>
      </c>
      <c r="AM43" s="19">
        <v>1.37</v>
      </c>
      <c r="AN43" s="19">
        <v>1.26</v>
      </c>
      <c r="AO43" s="19">
        <v>1.51</v>
      </c>
      <c r="AP43" s="19">
        <v>0.19841269841269837</v>
      </c>
      <c r="AQ43" s="19">
        <v>-0.62122059856057155</v>
      </c>
      <c r="AR43" s="19">
        <v>0.35269272727272727</v>
      </c>
      <c r="AS43" s="19">
        <v>1.9928337282139537</v>
      </c>
      <c r="AT43" s="19">
        <v>45.01236146961066</v>
      </c>
      <c r="AU43" s="19">
        <v>0.85399983371592358</v>
      </c>
      <c r="AV43" s="19">
        <v>0.74245703287791742</v>
      </c>
      <c r="AW43" s="19">
        <v>385.11562727272735</v>
      </c>
      <c r="AX43" s="19">
        <v>70.020502727272728</v>
      </c>
      <c r="AY43" s="19">
        <v>394.34927272727276</v>
      </c>
      <c r="AZ43" s="19">
        <v>87.164353636363629</v>
      </c>
      <c r="BA43" s="19">
        <v>210.22247309549041</v>
      </c>
      <c r="BB43" s="19">
        <v>242.52488831772524</v>
      </c>
      <c r="BC43" s="19">
        <v>442.8954471674333</v>
      </c>
      <c r="BD43" s="19">
        <v>21.700228873895153</v>
      </c>
      <c r="BE43" s="19">
        <v>-40.270491253093432</v>
      </c>
      <c r="BF43" s="19">
        <v>62.113503862720947</v>
      </c>
      <c r="BG43" s="19"/>
      <c r="BH43" s="19"/>
      <c r="BI43" s="19"/>
      <c r="BJ43" s="19"/>
    </row>
    <row r="44" spans="1:62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67"/>
      <c r="K44" s="19">
        <v>0.97885188525578237</v>
      </c>
      <c r="L44" s="19">
        <v>1450.5261194856741</v>
      </c>
      <c r="M44" s="19">
        <v>18.478039738671008</v>
      </c>
      <c r="N44" s="19">
        <v>4.0980866001799328</v>
      </c>
      <c r="O44" s="19">
        <v>1.2427026514038835</v>
      </c>
      <c r="P44" s="19">
        <v>1486.0954133688092</v>
      </c>
      <c r="Q44" s="19">
        <v>18.93115176265999</v>
      </c>
      <c r="R44" s="19">
        <v>3245.5056184908353</v>
      </c>
      <c r="S44" s="19">
        <v>3245.5056184908353</v>
      </c>
      <c r="T44" s="19">
        <v>5018.3534213111816</v>
      </c>
      <c r="U44" s="19">
        <v>596.80529897632312</v>
      </c>
      <c r="V44" s="19">
        <v>881.20638922212822</v>
      </c>
      <c r="W44" s="19">
        <v>0.47653915059673091</v>
      </c>
      <c r="X44" s="19">
        <v>4.0526595350517374</v>
      </c>
      <c r="Y44" s="19">
        <v>3.8724189280699877</v>
      </c>
      <c r="Z44" s="19">
        <v>4.6544707669730734E-2</v>
      </c>
      <c r="AA44" s="19">
        <v>604.66217136644968</v>
      </c>
      <c r="AB44" s="19">
        <v>853.10007528999449</v>
      </c>
      <c r="AC44" s="19">
        <v>0.41087059136196791</v>
      </c>
      <c r="AD44" s="19">
        <v>0.68596745521255686</v>
      </c>
      <c r="AE44" s="19">
        <v>0.71721021463835266</v>
      </c>
      <c r="AF44" s="19">
        <v>0.66634045949961507</v>
      </c>
      <c r="AG44" s="19">
        <v>0.40682434615694035</v>
      </c>
      <c r="AH44" s="19">
        <v>0.57207211947035286</v>
      </c>
      <c r="AI44" s="19">
        <v>294.91690881678721</v>
      </c>
      <c r="AJ44" s="19">
        <v>414.70905733203017</v>
      </c>
      <c r="AK44" s="19">
        <f t="shared" si="0"/>
        <v>9.2159216382963294</v>
      </c>
      <c r="AL44" s="19">
        <v>0.40618948908643993</v>
      </c>
      <c r="AM44" s="19">
        <v>2.0499999999999998</v>
      </c>
      <c r="AN44" s="19">
        <v>2.0300000000000002</v>
      </c>
      <c r="AO44" s="19">
        <v>1.94</v>
      </c>
      <c r="AP44" s="19">
        <v>4.6391752577319645E-2</v>
      </c>
      <c r="AQ44" s="19">
        <v>32.774795681205376</v>
      </c>
      <c r="AR44" s="19">
        <v>0.34095333333333339</v>
      </c>
      <c r="AS44" s="19">
        <v>1.8706652386052369</v>
      </c>
      <c r="AT44" s="19">
        <v>13.478163718504581</v>
      </c>
      <c r="AU44" s="19">
        <v>0.81854941110332535</v>
      </c>
      <c r="AV44" s="19">
        <v>0.97546130166057687</v>
      </c>
      <c r="AW44" s="19">
        <v>248.20372857142857</v>
      </c>
      <c r="AX44" s="19">
        <v>131.73505714285716</v>
      </c>
      <c r="AY44" s="19">
        <v>171.64693571428569</v>
      </c>
      <c r="AZ44" s="19">
        <v>96.552945714285713</v>
      </c>
      <c r="BA44" s="19">
        <v>114.77731890083827</v>
      </c>
      <c r="BB44" s="19">
        <v>66.711198784159862</v>
      </c>
      <c r="BC44" s="19">
        <v>195.31252967430055</v>
      </c>
      <c r="BD44" s="19">
        <v>83.726280471497574</v>
      </c>
      <c r="BE44" s="19">
        <v>-59.616220908998123</v>
      </c>
      <c r="BF44" s="19">
        <v>140.84132444061419</v>
      </c>
      <c r="BG44" s="19"/>
      <c r="BH44" s="19"/>
      <c r="BI44" s="19"/>
      <c r="BJ44" s="19"/>
    </row>
    <row r="45" spans="1:62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67"/>
      <c r="K45" s="19">
        <v>0.94470341674905289</v>
      </c>
      <c r="L45" s="19">
        <v>2661.8454245801081</v>
      </c>
      <c r="M45" s="19">
        <v>36.715109304553216</v>
      </c>
      <c r="N45" s="19">
        <v>2.9739773013320225</v>
      </c>
      <c r="O45" s="19">
        <v>1.3537356372058262</v>
      </c>
      <c r="P45" s="19">
        <v>1979.0669680889355</v>
      </c>
      <c r="Q45" s="19">
        <v>27.297475421916353</v>
      </c>
      <c r="R45" s="19">
        <v>383.40747684471171</v>
      </c>
      <c r="S45" s="19">
        <v>383.40747684471171</v>
      </c>
      <c r="T45" s="19">
        <v>497.39762718074127</v>
      </c>
      <c r="U45" s="19">
        <v>1383.4891229789871</v>
      </c>
      <c r="V45" s="19">
        <v>1469.7413414378532</v>
      </c>
      <c r="W45" s="19">
        <v>6.2343980177555824E-2</v>
      </c>
      <c r="X45" s="19">
        <v>3.1471839293524448</v>
      </c>
      <c r="Y45" s="19">
        <v>2.6577450357827823</v>
      </c>
      <c r="Z45" s="19">
        <v>0.18415569852640457</v>
      </c>
      <c r="AA45" s="19">
        <v>1088.523683568344</v>
      </c>
      <c r="AB45" s="19">
        <v>976.54943852279541</v>
      </c>
      <c r="AC45" s="19">
        <v>0.11466316054098558</v>
      </c>
      <c r="AD45" s="19">
        <v>0.65929182666669295</v>
      </c>
      <c r="AE45" s="19">
        <v>0.65204057202513543</v>
      </c>
      <c r="AF45" s="19">
        <v>0.67055032830788941</v>
      </c>
      <c r="AG45" s="19">
        <v>0.54846876087466412</v>
      </c>
      <c r="AH45" s="19">
        <v>0.4861868226332115</v>
      </c>
      <c r="AI45" s="19">
        <v>728.49124566622447</v>
      </c>
      <c r="AJ45" s="19">
        <v>645.76666769816222</v>
      </c>
      <c r="AK45" s="19">
        <f t="shared" si="0"/>
        <v>19.086915463394259</v>
      </c>
      <c r="AL45" s="19">
        <v>0.12810289243161832</v>
      </c>
      <c r="AM45" s="19">
        <v>1.49</v>
      </c>
      <c r="AN45" s="19">
        <v>1.57</v>
      </c>
      <c r="AO45" s="19">
        <v>1.33</v>
      </c>
      <c r="AP45" s="19">
        <v>0.18045112781954886</v>
      </c>
      <c r="AQ45" s="19">
        <v>-2.8068370438273789</v>
      </c>
      <c r="AR45" s="19">
        <v>0.315525</v>
      </c>
      <c r="AS45" s="19">
        <v>2.2639414494823269</v>
      </c>
      <c r="AT45" s="19">
        <v>33.720971650958184</v>
      </c>
      <c r="AU45" s="19">
        <v>0.9354949561181658</v>
      </c>
      <c r="AV45" s="19">
        <v>0.94245003206205513</v>
      </c>
      <c r="AW45" s="19">
        <v>483.32492307692303</v>
      </c>
      <c r="AX45" s="19">
        <v>171.13760769230768</v>
      </c>
      <c r="AY45" s="19">
        <v>506.71323846153848</v>
      </c>
      <c r="AZ45" s="19">
        <v>134.61272307692309</v>
      </c>
      <c r="BA45" s="19">
        <v>107.12447692302408</v>
      </c>
      <c r="BB45" s="19">
        <v>203.39206110573238</v>
      </c>
      <c r="BC45" s="19">
        <v>371.71435321244104</v>
      </c>
      <c r="BD45" s="19">
        <v>58.425782193047326</v>
      </c>
      <c r="BE45" s="19">
        <v>-67.4364977934206</v>
      </c>
      <c r="BF45" s="19">
        <v>121.51160146148312</v>
      </c>
      <c r="BG45" s="19"/>
      <c r="BH45" s="19"/>
      <c r="BI45" s="19"/>
      <c r="BJ45" s="19"/>
    </row>
    <row r="46" spans="1:62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67"/>
      <c r="K46" s="19">
        <v>0.88030506367486827</v>
      </c>
      <c r="L46" s="19">
        <v>2350.0527506625172</v>
      </c>
      <c r="M46" s="19">
        <v>27.647679419559026</v>
      </c>
      <c r="N46" s="19">
        <v>3.6986641959312356</v>
      </c>
      <c r="O46" s="19">
        <v>1.6238006021869558</v>
      </c>
      <c r="P46" s="19">
        <v>2173.0139918562918</v>
      </c>
      <c r="Q46" s="19">
        <v>25.564870492426962</v>
      </c>
      <c r="R46" s="19">
        <v>1418.4723752919522</v>
      </c>
      <c r="S46" s="19">
        <v>1418.4723752919522</v>
      </c>
      <c r="T46" s="19">
        <v>2118.2283146983277</v>
      </c>
      <c r="U46" s="19">
        <v>1155.4433037252154</v>
      </c>
      <c r="V46" s="19">
        <v>1281.3264341068909</v>
      </c>
      <c r="W46" s="19">
        <v>0.10894790767822271</v>
      </c>
      <c r="X46" s="19">
        <v>3.6315522040238739</v>
      </c>
      <c r="Y46" s="19">
        <v>3.8468682757397827</v>
      </c>
      <c r="Z46" s="19">
        <v>5.9290369412102084E-2</v>
      </c>
      <c r="AA46" s="19">
        <v>1049.013169066983</v>
      </c>
      <c r="AB46" s="19">
        <v>1232.2735025581449</v>
      </c>
      <c r="AC46" s="19">
        <v>0.1746978387832423</v>
      </c>
      <c r="AD46" s="19">
        <v>0.68744819654509592</v>
      </c>
      <c r="AE46" s="19">
        <v>0.65467365138698386</v>
      </c>
      <c r="AF46" s="19">
        <v>0.71685412070111088</v>
      </c>
      <c r="AG46" s="19">
        <v>0.48257427132059089</v>
      </c>
      <c r="AH46" s="19">
        <v>0.5662538268943752</v>
      </c>
      <c r="AI46" s="19">
        <v>566.8327064376</v>
      </c>
      <c r="AJ46" s="19">
        <v>665.12288015445108</v>
      </c>
      <c r="AK46" s="19">
        <f t="shared" si="0"/>
        <v>14.842838392675315</v>
      </c>
      <c r="AL46" s="19">
        <v>0.17340243885110285</v>
      </c>
      <c r="AM46" s="19">
        <v>1.85</v>
      </c>
      <c r="AN46" s="19">
        <v>1.81</v>
      </c>
      <c r="AO46" s="19">
        <v>1.92</v>
      </c>
      <c r="AP46" s="19">
        <v>6.0773480662983381E-2</v>
      </c>
      <c r="AQ46" s="19">
        <v>9.9522205424465646</v>
      </c>
      <c r="AR46" s="19">
        <v>0.37446142857142861</v>
      </c>
      <c r="AS46" s="19">
        <v>2.2614780435558681</v>
      </c>
      <c r="AT46" s="19">
        <v>52.411328070154823</v>
      </c>
      <c r="AU46" s="19">
        <v>0.83180699104487732</v>
      </c>
      <c r="AV46" s="19">
        <v>0.87166483301324937</v>
      </c>
      <c r="AW46" s="19">
        <v>350.19018181818177</v>
      </c>
      <c r="AX46" s="19">
        <v>111.30920454545456</v>
      </c>
      <c r="AY46" s="19">
        <v>364.17660000000001</v>
      </c>
      <c r="AZ46" s="19">
        <v>144.37258181818183</v>
      </c>
      <c r="BA46" s="19">
        <v>140.17592376475324</v>
      </c>
      <c r="BB46" s="19">
        <v>164.70138698306258</v>
      </c>
      <c r="BC46" s="19">
        <v>358.64187418232558</v>
      </c>
      <c r="BD46" s="19">
        <v>60.879218895867872</v>
      </c>
      <c r="BE46" s="19">
        <v>-76.908576010152856</v>
      </c>
      <c r="BF46" s="19">
        <v>133.91791508021646</v>
      </c>
      <c r="BG46" s="19"/>
      <c r="BH46" s="19"/>
      <c r="BI46" s="19"/>
      <c r="BJ46" s="19"/>
    </row>
    <row r="47" spans="1:62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67"/>
      <c r="K47" s="19">
        <v>0.8131416457107441</v>
      </c>
      <c r="L47" s="19">
        <v>1844.2868324962972</v>
      </c>
      <c r="M47" s="19">
        <v>26.346954749947102</v>
      </c>
      <c r="N47" s="19">
        <v>5.3310046538270859</v>
      </c>
      <c r="O47" s="19">
        <v>1.3822392623752386</v>
      </c>
      <c r="P47" s="19">
        <v>2457.9754217574437</v>
      </c>
      <c r="Q47" s="19">
        <v>35.113934596534911</v>
      </c>
      <c r="R47" s="19">
        <v>6318.4334160794369</v>
      </c>
      <c r="S47" s="19">
        <v>6318.4334160794369</v>
      </c>
      <c r="T47" s="19">
        <v>9622.5565577482266</v>
      </c>
      <c r="U47" s="19">
        <v>977.08703296810506</v>
      </c>
      <c r="V47" s="19">
        <v>894.52129393548341</v>
      </c>
      <c r="W47" s="19">
        <v>9.2301591468404665E-2</v>
      </c>
      <c r="X47" s="19">
        <v>5.1681198273501856</v>
      </c>
      <c r="Y47" s="19">
        <v>5.3272131395942184</v>
      </c>
      <c r="Z47" s="19">
        <v>3.0783595883767223E-2</v>
      </c>
      <c r="AA47" s="19">
        <v>1262.4257170323071</v>
      </c>
      <c r="AB47" s="19">
        <v>1191.3263976749822</v>
      </c>
      <c r="AC47" s="19">
        <v>5.9680805777563517E-2</v>
      </c>
      <c r="AD47" s="19">
        <v>0.66447226539495186</v>
      </c>
      <c r="AE47" s="19">
        <v>0.64316359172369797</v>
      </c>
      <c r="AF47" s="19">
        <v>0.69050150837063373</v>
      </c>
      <c r="AG47" s="19">
        <v>0.51303725531548305</v>
      </c>
      <c r="AH47" s="19">
        <v>0.48467650056990935</v>
      </c>
      <c r="AI47" s="19">
        <v>472.29564554347485</v>
      </c>
      <c r="AJ47" s="19">
        <v>446.18709137536842</v>
      </c>
      <c r="AK47" s="19">
        <f t="shared" si="0"/>
        <v>13.311344013316569</v>
      </c>
      <c r="AL47" s="19">
        <v>5.8514812895252177E-2</v>
      </c>
      <c r="AM47" s="19">
        <v>2.67</v>
      </c>
      <c r="AN47" s="19">
        <v>2.58</v>
      </c>
      <c r="AO47" s="19">
        <v>2.66</v>
      </c>
      <c r="AP47" s="19">
        <v>3.1007751937984551E-2</v>
      </c>
      <c r="AQ47" s="19">
        <v>-1.9927939665721446</v>
      </c>
      <c r="AR47" s="19">
        <v>0.33402999999999999</v>
      </c>
      <c r="AS47" s="19">
        <v>2.2721885041056744</v>
      </c>
      <c r="AT47" s="19">
        <v>35.051581901685658</v>
      </c>
      <c r="AU47" s="19">
        <v>0.81325605561021153</v>
      </c>
      <c r="AV47" s="19">
        <v>0.76520678101101369</v>
      </c>
      <c r="AW47" s="19">
        <v>349.82468888888889</v>
      </c>
      <c r="AX47" s="19">
        <v>144.16035555555555</v>
      </c>
      <c r="AY47" s="19">
        <v>452.98021111111109</v>
      </c>
      <c r="AZ47" s="19">
        <v>142.82138555555554</v>
      </c>
      <c r="BA47" s="19">
        <v>166.81308980131408</v>
      </c>
      <c r="BB47" s="19">
        <v>251.34910389029477</v>
      </c>
      <c r="BC47" s="19">
        <v>417.50659297810245</v>
      </c>
      <c r="BD47" s="19">
        <v>64.925088091220701</v>
      </c>
      <c r="BE47" s="19">
        <v>-78.387595740070338</v>
      </c>
      <c r="BF47" s="19">
        <v>143.4751023047574</v>
      </c>
      <c r="BG47" s="19"/>
      <c r="BH47" s="19"/>
      <c r="BI47" s="19"/>
      <c r="BJ47" s="19"/>
    </row>
    <row r="48" spans="1:62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67"/>
      <c r="K48" s="19">
        <v>0.84966159388677232</v>
      </c>
      <c r="L48" s="19">
        <v>1868.9475826078769</v>
      </c>
      <c r="M48" s="19">
        <v>29.202305978248077</v>
      </c>
      <c r="N48" s="19">
        <v>3.0309861701709577</v>
      </c>
      <c r="O48" s="19">
        <v>1.2389107657002385</v>
      </c>
      <c r="P48" s="19">
        <v>1416.1885689147296</v>
      </c>
      <c r="Q48" s="19">
        <v>22.127946389292649</v>
      </c>
      <c r="R48" s="19">
        <v>13049.59854031619</v>
      </c>
      <c r="S48" s="19">
        <v>13049.59854031619</v>
      </c>
      <c r="T48" s="19">
        <v>18709.963132278481</v>
      </c>
      <c r="U48" s="19">
        <v>1039.2800893829792</v>
      </c>
      <c r="V48" s="19">
        <v>814.16835824738121</v>
      </c>
      <c r="W48" s="19">
        <v>0.27649285169984328</v>
      </c>
      <c r="X48" s="19">
        <v>3.072917536312147</v>
      </c>
      <c r="Y48" s="19">
        <v>3.3673371628956632</v>
      </c>
      <c r="Z48" s="19">
        <v>9.5811105603846869E-2</v>
      </c>
      <c r="AA48" s="19">
        <v>798.40550295125308</v>
      </c>
      <c r="AB48" s="19">
        <v>685.39484239503918</v>
      </c>
      <c r="AC48" s="19">
        <v>0.16488402533247881</v>
      </c>
      <c r="AD48" s="19">
        <v>0.60716069887932422</v>
      </c>
      <c r="AE48" s="19">
        <v>0.61139137251550169</v>
      </c>
      <c r="AF48" s="19">
        <v>0.60326716931149527</v>
      </c>
      <c r="AG48" s="19">
        <v>0.56371090954781433</v>
      </c>
      <c r="AH48" s="19">
        <v>0.47940231621391355</v>
      </c>
      <c r="AI48" s="19">
        <v>525.20650387506612</v>
      </c>
      <c r="AJ48" s="19">
        <v>446.65662875016943</v>
      </c>
      <c r="AK48" s="19">
        <f t="shared" si="0"/>
        <v>15.185361447269305</v>
      </c>
      <c r="AL48" s="19">
        <v>0.1758618815189068</v>
      </c>
      <c r="AM48" s="19">
        <v>1.52</v>
      </c>
      <c r="AN48" s="19">
        <v>1.54</v>
      </c>
      <c r="AO48" s="19">
        <v>1.68</v>
      </c>
      <c r="AP48" s="19">
        <v>9.0909090909090828E-2</v>
      </c>
      <c r="AQ48" s="19">
        <v>-17.856207420288243</v>
      </c>
      <c r="AR48" s="19">
        <v>0.25746571428571424</v>
      </c>
      <c r="AS48" s="19">
        <v>1.7777936451267446</v>
      </c>
      <c r="AT48" s="19">
        <v>47.880325650611681</v>
      </c>
      <c r="AU48" s="19">
        <v>0.93708459645782805</v>
      </c>
      <c r="AV48" s="19">
        <v>10.817670493725521</v>
      </c>
      <c r="AW48" s="19">
        <v>412.76875555555557</v>
      </c>
      <c r="AX48" s="19">
        <v>97.413434444444448</v>
      </c>
      <c r="AY48" s="19">
        <v>476.34385555555554</v>
      </c>
      <c r="AZ48" s="19">
        <v>110.23839222222222</v>
      </c>
      <c r="BA48" s="19">
        <v>266.92812611510828</v>
      </c>
      <c r="BB48" s="19">
        <v>297.62628770814041</v>
      </c>
      <c r="BC48" s="19">
        <v>547.2386459645262</v>
      </c>
      <c r="BD48" s="19">
        <v>41.441148876174218</v>
      </c>
      <c r="BE48" s="19">
        <v>-51.315382394454076</v>
      </c>
      <c r="BF48" s="19">
        <v>91.249199776880388</v>
      </c>
      <c r="BG48" s="19"/>
      <c r="BH48" s="19"/>
      <c r="BI48" s="19"/>
      <c r="BJ48" s="19"/>
    </row>
    <row r="49" spans="1:62" s="41" customFormat="1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67"/>
      <c r="K49" s="32">
        <v>0.81413009136663317</v>
      </c>
      <c r="L49" s="32">
        <v>1903.4825907101097</v>
      </c>
      <c r="M49" s="32">
        <v>27.586704213189996</v>
      </c>
      <c r="N49" s="32">
        <v>5.4279878692367349</v>
      </c>
      <c r="O49" s="32">
        <v>1.3476542881174398</v>
      </c>
      <c r="P49" s="32">
        <v>2583.0201029194473</v>
      </c>
      <c r="Q49" s="32">
        <v>37.435073955354305</v>
      </c>
      <c r="R49" s="32">
        <v>7664.950871676203</v>
      </c>
      <c r="S49" s="32">
        <v>7664.950871676203</v>
      </c>
      <c r="T49" s="32">
        <v>11857.441415685465</v>
      </c>
      <c r="U49" s="32">
        <v>968.54722067618684</v>
      </c>
      <c r="V49" s="32">
        <v>893.78832650078527</v>
      </c>
      <c r="W49" s="32">
        <v>8.3642728327058657E-2</v>
      </c>
      <c r="X49" s="32">
        <v>5.4351728099243717</v>
      </c>
      <c r="Y49" s="32">
        <v>6.9759659298939294</v>
      </c>
      <c r="Z49" s="32">
        <v>0.28348558065276985</v>
      </c>
      <c r="AA49" s="32">
        <v>1316.0553797367577</v>
      </c>
      <c r="AB49" s="32">
        <v>1558.7592285515973</v>
      </c>
      <c r="AC49" s="32">
        <v>0.18441765639329422</v>
      </c>
      <c r="AD49" s="32">
        <v>0.60492761261397887</v>
      </c>
      <c r="AE49" s="32">
        <v>0.61670377812118804</v>
      </c>
      <c r="AF49" s="32">
        <v>0.59362779699337187</v>
      </c>
      <c r="AG49" s="32">
        <v>0.5094997024168757</v>
      </c>
      <c r="AH49" s="32">
        <v>0.57344286726291771</v>
      </c>
      <c r="AI49" s="32">
        <v>485.62550690109362</v>
      </c>
      <c r="AJ49" s="32">
        <v>546.57241559194904</v>
      </c>
      <c r="AK49" s="32"/>
      <c r="AL49" s="32">
        <v>0.12550186887788084</v>
      </c>
      <c r="AM49" s="32">
        <v>2.71</v>
      </c>
      <c r="AN49" s="32">
        <v>2.72</v>
      </c>
      <c r="AO49" s="32">
        <v>3.49</v>
      </c>
      <c r="AP49" s="32">
        <v>0.28308823529411753</v>
      </c>
      <c r="AQ49" s="32">
        <v>-1.6202997622822064</v>
      </c>
      <c r="AR49" s="32">
        <v>0.31896666666666668</v>
      </c>
      <c r="AS49" s="32">
        <v>2.2591931453052481</v>
      </c>
      <c r="AT49" s="32">
        <v>113.67481639157343</v>
      </c>
      <c r="AU49" s="32">
        <v>0.74196431661298545</v>
      </c>
      <c r="AV49" s="32">
        <v>21.531757368598655</v>
      </c>
      <c r="AW49" s="32">
        <v>508.1522555555556</v>
      </c>
      <c r="AX49" s="32">
        <v>169.94296666666668</v>
      </c>
      <c r="AY49" s="32">
        <v>491.00870000000003</v>
      </c>
      <c r="AZ49" s="32">
        <v>155.44186666666667</v>
      </c>
      <c r="BA49" s="32">
        <v>280.79362953581045</v>
      </c>
      <c r="BB49" s="32">
        <v>271.15220727059824</v>
      </c>
      <c r="BC49" s="32">
        <v>549.50946461259616</v>
      </c>
      <c r="BD49" s="32">
        <v>91.645158041039736</v>
      </c>
      <c r="BE49" s="32">
        <v>-79.331103843008989</v>
      </c>
      <c r="BF49" s="32">
        <v>168.4316497765048</v>
      </c>
      <c r="BG49" s="52"/>
      <c r="BH49" s="52"/>
      <c r="BI49" s="52"/>
      <c r="BJ49" s="52"/>
    </row>
    <row r="50" spans="1:62" s="41" customFormat="1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67"/>
      <c r="K50" s="32">
        <v>0.90538753131582039</v>
      </c>
      <c r="L50" s="32">
        <v>2270.9336120054581</v>
      </c>
      <c r="M50" s="32">
        <v>28.745995088676686</v>
      </c>
      <c r="N50" s="32">
        <v>3.4867568646989717</v>
      </c>
      <c r="O50" s="32">
        <v>1.2841076001884526</v>
      </c>
      <c r="P50" s="32">
        <v>1979.5483402339155</v>
      </c>
      <c r="Q50" s="32">
        <v>25.057573927011589</v>
      </c>
      <c r="R50" s="32">
        <v>2823.6664528191659</v>
      </c>
      <c r="S50" s="32">
        <v>2823.6664528191659</v>
      </c>
      <c r="T50" s="32">
        <v>4192.9517137506336</v>
      </c>
      <c r="U50" s="32">
        <v>1152.6671214284856</v>
      </c>
      <c r="V50" s="32">
        <v>1220.1549532526303</v>
      </c>
      <c r="W50" s="32">
        <v>5.8549281548438525E-2</v>
      </c>
      <c r="X50" s="32">
        <v>3.5887426208123534</v>
      </c>
      <c r="Y50" s="32">
        <v>3.1542857692376813</v>
      </c>
      <c r="Z50" s="32">
        <v>0.13773541250185151</v>
      </c>
      <c r="AA50" s="32">
        <v>1034.1564065698738</v>
      </c>
      <c r="AB50" s="32">
        <v>962.17935132741002</v>
      </c>
      <c r="AC50" s="32">
        <v>7.4806277169807478E-2</v>
      </c>
      <c r="AD50" s="32">
        <v>0.61683942830070282</v>
      </c>
      <c r="AE50" s="32">
        <v>0.62495665496687236</v>
      </c>
      <c r="AF50" s="32">
        <v>0.60899221902937772</v>
      </c>
      <c r="AG50" s="32">
        <v>0.52194268359132834</v>
      </c>
      <c r="AH50" s="32">
        <v>0.48087908624324249</v>
      </c>
      <c r="AI50" s="32">
        <v>593.79706492062576</v>
      </c>
      <c r="AJ50" s="32">
        <v>547.08035761360748</v>
      </c>
      <c r="AK50" s="32"/>
      <c r="AL50" s="32">
        <v>8.5392770288443387E-2</v>
      </c>
      <c r="AM50" s="32">
        <v>1.74</v>
      </c>
      <c r="AN50" s="32">
        <v>1.79</v>
      </c>
      <c r="AO50" s="32">
        <v>1.58</v>
      </c>
      <c r="AP50" s="32">
        <v>0.13291139240506333</v>
      </c>
      <c r="AQ50" s="32">
        <v>1.0683553557584937</v>
      </c>
      <c r="AR50" s="32">
        <v>0.25952999999999998</v>
      </c>
      <c r="AS50" s="32">
        <v>2.0224776865405323</v>
      </c>
      <c r="AT50" s="32">
        <v>98.769825678915808</v>
      </c>
      <c r="AU50" s="32">
        <v>0.72912586895223042</v>
      </c>
      <c r="AV50" s="32">
        <v>37.637865893182855</v>
      </c>
      <c r="AW50" s="32">
        <v>577.89918181818177</v>
      </c>
      <c r="AX50" s="32">
        <v>144.38211818181819</v>
      </c>
      <c r="AY50" s="32">
        <v>534.05684545454551</v>
      </c>
      <c r="AZ50" s="32">
        <v>129.87679090909089</v>
      </c>
      <c r="BA50" s="32">
        <v>283.53812382923996</v>
      </c>
      <c r="BB50" s="32">
        <v>255.15256199607683</v>
      </c>
      <c r="BC50" s="32">
        <v>524.45607508471505</v>
      </c>
      <c r="BD50" s="32">
        <v>82.872161016033573</v>
      </c>
      <c r="BE50" s="32">
        <v>-69.281404098230439</v>
      </c>
      <c r="BF50" s="32">
        <v>146.36419621199539</v>
      </c>
      <c r="BG50" s="52"/>
      <c r="BH50" s="52"/>
      <c r="BI50" s="52"/>
      <c r="BJ50" s="52"/>
    </row>
    <row r="51" spans="1:62" s="41" customFormat="1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67"/>
      <c r="K51" s="32">
        <v>0.82415732927580687</v>
      </c>
      <c r="L51" s="32">
        <v>2347.2214032941429</v>
      </c>
      <c r="M51" s="32">
        <v>31.296285377255238</v>
      </c>
      <c r="N51" s="32">
        <v>3.0485009533807279</v>
      </c>
      <c r="O51" s="32">
        <v>1.3905247616858922</v>
      </c>
      <c r="P51" s="32">
        <v>1788.8766714344611</v>
      </c>
      <c r="Q51" s="32">
        <v>23.85168895245948</v>
      </c>
      <c r="R51" s="32">
        <v>6420.7474973298667</v>
      </c>
      <c r="S51" s="32">
        <v>6420.7474973298667</v>
      </c>
      <c r="T51" s="32">
        <v>10307.858681072608</v>
      </c>
      <c r="U51" s="32">
        <v>1166.9103647879374</v>
      </c>
      <c r="V51" s="32">
        <v>1217.8410228048965</v>
      </c>
      <c r="W51" s="32">
        <v>4.3645732829028949E-2</v>
      </c>
      <c r="X51" s="32">
        <v>3.1116157010082732</v>
      </c>
      <c r="Y51" s="32">
        <v>2.9067913602605677</v>
      </c>
      <c r="Z51" s="32">
        <v>7.0464066856640528E-2</v>
      </c>
      <c r="AA51" s="32">
        <v>907.74415318585943</v>
      </c>
      <c r="AB51" s="32">
        <v>885.0024408150415</v>
      </c>
      <c r="AC51" s="32">
        <v>2.5696779265234504E-2</v>
      </c>
      <c r="AD51" s="32">
        <v>0.69886919625923272</v>
      </c>
      <c r="AE51" s="32">
        <v>0.71288187252161006</v>
      </c>
      <c r="AF51" s="32">
        <v>0.68571483324618721</v>
      </c>
      <c r="AG51" s="32">
        <v>0.50717323024752436</v>
      </c>
      <c r="AH51" s="32">
        <v>0.49369011359047388</v>
      </c>
      <c r="AI51" s="32">
        <v>596.88375324239144</v>
      </c>
      <c r="AJ51" s="32">
        <v>581.01569713119329</v>
      </c>
      <c r="AK51" s="32"/>
      <c r="AL51" s="32">
        <v>2.7310890548306821E-2</v>
      </c>
      <c r="AM51" s="32">
        <v>1.52</v>
      </c>
      <c r="AN51" s="32">
        <v>1.56</v>
      </c>
      <c r="AO51" s="32">
        <v>1.45</v>
      </c>
      <c r="AP51" s="32">
        <v>7.5862068965517393E-2</v>
      </c>
      <c r="AQ51" s="32">
        <v>5.0591914853872426</v>
      </c>
      <c r="AR51" s="32">
        <v>0.31462249999999997</v>
      </c>
      <c r="AS51" s="32">
        <v>2.071260264191352</v>
      </c>
      <c r="AT51" s="32">
        <v>70.499630581856096</v>
      </c>
      <c r="AU51" s="32">
        <v>0.76773235606540757</v>
      </c>
      <c r="AV51" s="32">
        <v>36.64338878803138</v>
      </c>
      <c r="AW51" s="32">
        <v>372.319975</v>
      </c>
      <c r="AX51" s="32">
        <v>111.69764000000001</v>
      </c>
      <c r="AY51" s="32">
        <v>345.29843749999998</v>
      </c>
      <c r="AZ51" s="32">
        <v>72.094401250000004</v>
      </c>
      <c r="BA51" s="32">
        <v>183.6649877792625</v>
      </c>
      <c r="BB51" s="32">
        <v>161.5695709608764</v>
      </c>
      <c r="BC51" s="32">
        <v>363.51242741699775</v>
      </c>
      <c r="BD51" s="32">
        <v>48.411928078738015</v>
      </c>
      <c r="BE51" s="32">
        <v>-29.126131563408258</v>
      </c>
      <c r="BF51" s="32">
        <v>78.536172080116728</v>
      </c>
      <c r="BG51" s="52"/>
      <c r="BH51" s="52"/>
      <c r="BI51" s="52"/>
      <c r="BJ51" s="52"/>
    </row>
    <row r="52" spans="1:62" s="41" customFormat="1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67"/>
      <c r="K52" s="32">
        <v>0.86989205238119294</v>
      </c>
      <c r="L52" s="32">
        <v>2171.1589994965502</v>
      </c>
      <c r="M52" s="32">
        <v>31.016557135665003</v>
      </c>
      <c r="N52" s="32">
        <v>1.7523514547409256</v>
      </c>
      <c r="O52" s="32">
        <v>0.98357166661143669</v>
      </c>
      <c r="P52" s="32">
        <v>951.15840781040811</v>
      </c>
      <c r="Q52" s="32">
        <v>13.587977254434401</v>
      </c>
      <c r="R52" s="32">
        <v>808.24074663370936</v>
      </c>
      <c r="S52" s="32">
        <v>808.24074663370936</v>
      </c>
      <c r="T52" s="32">
        <v>1026.9961991027003</v>
      </c>
      <c r="U52" s="32">
        <v>974.66783939832919</v>
      </c>
      <c r="V52" s="32">
        <v>1253.9104704884267</v>
      </c>
      <c r="W52" s="32">
        <v>0.28650030277235405</v>
      </c>
      <c r="X52" s="32">
        <v>1.8496749406363122</v>
      </c>
      <c r="Y52" s="32">
        <v>1.6370972221850724</v>
      </c>
      <c r="Z52" s="32">
        <v>0.1298503934711388</v>
      </c>
      <c r="AA52" s="32">
        <v>450.70466949480681</v>
      </c>
      <c r="AB52" s="32">
        <v>513.19333702634515</v>
      </c>
      <c r="AC52" s="32">
        <v>0.1386465944574784</v>
      </c>
      <c r="AD52" s="32">
        <v>0.67673038775993355</v>
      </c>
      <c r="AE52" s="32">
        <v>0.67454033862467144</v>
      </c>
      <c r="AF52" s="32">
        <v>0.67978043834545276</v>
      </c>
      <c r="AG52" s="32">
        <v>0.47274341734998854</v>
      </c>
      <c r="AH52" s="32">
        <v>0.53651492112244403</v>
      </c>
      <c r="AI52" s="32">
        <v>510.96057936729528</v>
      </c>
      <c r="AJ52" s="32">
        <v>579.88745030577286</v>
      </c>
      <c r="AK52" s="32"/>
      <c r="AL52" s="32">
        <v>0.13489665097809955</v>
      </c>
      <c r="AM52" s="32">
        <v>0.88</v>
      </c>
      <c r="AN52" s="32">
        <v>0.93</v>
      </c>
      <c r="AO52" s="32">
        <v>0.82000000000000006</v>
      </c>
      <c r="AP52" s="32">
        <v>0.13414634146341453</v>
      </c>
      <c r="AQ52" s="32">
        <v>13.792802154207797</v>
      </c>
      <c r="AR52" s="32">
        <v>0.29158714285714288</v>
      </c>
      <c r="AS52" s="32">
        <v>1.7128168511246005</v>
      </c>
      <c r="AT52" s="32">
        <v>109.77741019764115</v>
      </c>
      <c r="AU52" s="32">
        <v>0.84090544444449811</v>
      </c>
      <c r="AV52" s="32">
        <v>22.688094565987431</v>
      </c>
      <c r="AW52" s="32">
        <v>345.03992999999997</v>
      </c>
      <c r="AX52" s="32">
        <v>109.41896100000001</v>
      </c>
      <c r="AY52" s="32">
        <v>286.79171000000002</v>
      </c>
      <c r="AZ52" s="32">
        <v>87.771051999999983</v>
      </c>
      <c r="BA52" s="32">
        <v>136.13968982548789</v>
      </c>
      <c r="BB52" s="32">
        <v>118.31715085118617</v>
      </c>
      <c r="BC52" s="32">
        <v>271.62846952251749</v>
      </c>
      <c r="BD52" s="32">
        <v>42.538461914550048</v>
      </c>
      <c r="BE52" s="32">
        <v>-38.572160378672621</v>
      </c>
      <c r="BF52" s="32">
        <v>83.522933706762686</v>
      </c>
      <c r="BG52" s="52"/>
      <c r="BH52" s="52"/>
      <c r="BI52" s="52"/>
      <c r="BJ52" s="52"/>
    </row>
    <row r="53" spans="1:62" s="41" customFormat="1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67"/>
      <c r="K53" s="32">
        <v>0.87129645414776569</v>
      </c>
      <c r="L53" s="32">
        <v>1474.2454290291303</v>
      </c>
      <c r="M53" s="32">
        <v>27.300841278317225</v>
      </c>
      <c r="N53" s="32">
        <v>5.6589605630410995</v>
      </c>
      <c r="O53" s="32">
        <v>1.325660570414837</v>
      </c>
      <c r="P53" s="32">
        <v>2085.6741857798634</v>
      </c>
      <c r="Q53" s="32">
        <v>38.623596032960435</v>
      </c>
      <c r="R53" s="32">
        <v>10752.934668316091</v>
      </c>
      <c r="S53" s="32">
        <v>10752.934668316091</v>
      </c>
      <c r="T53" s="32">
        <v>17619.092472914559</v>
      </c>
      <c r="U53" s="32">
        <v>840.77181069238566</v>
      </c>
      <c r="V53" s="32">
        <v>733.16044994653134</v>
      </c>
      <c r="W53" s="32">
        <v>0.14677736742851066</v>
      </c>
      <c r="X53" s="32">
        <v>4.4618756336158301</v>
      </c>
      <c r="Y53" s="32">
        <v>5.2509060905061062</v>
      </c>
      <c r="Z53" s="32">
        <v>0.17683828992133055</v>
      </c>
      <c r="AA53" s="32">
        <v>937.8548138898542</v>
      </c>
      <c r="AB53" s="32">
        <v>962.43916798560963</v>
      </c>
      <c r="AC53" s="32">
        <v>2.6213390102236778E-2</v>
      </c>
      <c r="AD53" s="32">
        <v>0.65498581150886381</v>
      </c>
      <c r="AE53" s="32">
        <v>0.65045732429817205</v>
      </c>
      <c r="AF53" s="32">
        <v>0.6608207907105077</v>
      </c>
      <c r="AG53" s="32">
        <v>0.4172417164469398</v>
      </c>
      <c r="AH53" s="32">
        <v>0.45865138056069377</v>
      </c>
      <c r="AI53" s="32">
        <v>307.50185436882987</v>
      </c>
      <c r="AJ53" s="32">
        <v>338.02025174338638</v>
      </c>
      <c r="AK53" s="32"/>
      <c r="AL53" s="32">
        <v>9.9246222229123715E-2</v>
      </c>
      <c r="AM53" s="32">
        <v>2.83</v>
      </c>
      <c r="AN53" s="32">
        <v>2.23</v>
      </c>
      <c r="AO53" s="32">
        <v>2.63</v>
      </c>
      <c r="AP53" s="32">
        <v>0.17937219730941689</v>
      </c>
      <c r="AQ53" s="32">
        <v>-6.7282811269535712</v>
      </c>
      <c r="AR53" s="32">
        <v>0.2628814285714286</v>
      </c>
      <c r="AS53" s="32">
        <v>1.9680114244912483</v>
      </c>
      <c r="AT53" s="32">
        <v>36.829024668334206</v>
      </c>
      <c r="AU53" s="32">
        <v>0.94602030778965029</v>
      </c>
      <c r="AV53" s="32">
        <v>7.8357814646592079</v>
      </c>
      <c r="AW53" s="32">
        <v>331.44155555555557</v>
      </c>
      <c r="AX53" s="32">
        <v>98.368105555555559</v>
      </c>
      <c r="AY53" s="32">
        <v>382.05956666666668</v>
      </c>
      <c r="AZ53" s="32">
        <v>102.35374666666667</v>
      </c>
      <c r="BA53" s="32">
        <v>177.16969113917605</v>
      </c>
      <c r="BB53" s="32">
        <v>211.52451505718074</v>
      </c>
      <c r="BC53" s="32">
        <v>372.71912598629655</v>
      </c>
      <c r="BD53" s="32">
        <v>50.198252282317846</v>
      </c>
      <c r="BE53" s="32">
        <v>-58.343409731530336</v>
      </c>
      <c r="BF53" s="32">
        <v>103.29101622047705</v>
      </c>
      <c r="BG53" s="52"/>
      <c r="BH53" s="52"/>
      <c r="BI53" s="52"/>
      <c r="BJ53" s="52"/>
    </row>
    <row r="54" spans="1:62" s="41" customFormat="1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67"/>
      <c r="K54" s="32">
        <v>0.34275299161001305</v>
      </c>
      <c r="L54" s="32">
        <v>3259.3192086218887</v>
      </c>
      <c r="M54" s="32">
        <v>45.268322341970674</v>
      </c>
      <c r="N54" s="32">
        <v>2.1271169754028807</v>
      </c>
      <c r="O54" s="32">
        <v>1.170751685718713</v>
      </c>
      <c r="P54" s="32">
        <v>1733.2383042290758</v>
      </c>
      <c r="Q54" s="32">
        <v>24.07275422540383</v>
      </c>
      <c r="R54" s="32">
        <v>1028.9827892418555</v>
      </c>
      <c r="S54" s="32">
        <v>1028.9827892418555</v>
      </c>
      <c r="T54" s="32">
        <v>1465.067437226535</v>
      </c>
      <c r="U54" s="32">
        <v>1722.7832241914791</v>
      </c>
      <c r="V54" s="32">
        <v>1450.7014435708709</v>
      </c>
      <c r="W54" s="32">
        <v>0.18755187831817732</v>
      </c>
      <c r="X54" s="32">
        <v>2.1166495528996694</v>
      </c>
      <c r="Y54" s="32">
        <v>2.3643644026219195</v>
      </c>
      <c r="Z54" s="32">
        <v>0.11703158389299606</v>
      </c>
      <c r="AA54" s="32">
        <v>911.63208530698626</v>
      </c>
      <c r="AB54" s="32">
        <v>857.49671300279954</v>
      </c>
      <c r="AC54" s="32">
        <v>6.31318715084217E-2</v>
      </c>
      <c r="AD54" s="32">
        <v>0.66888106823778759</v>
      </c>
      <c r="AE54" s="32">
        <v>0.64832481186843216</v>
      </c>
      <c r="AF54" s="32">
        <v>0.6931686987931639</v>
      </c>
      <c r="AG54" s="32">
        <v>0.52597499394909242</v>
      </c>
      <c r="AH54" s="32">
        <v>0.48945753406654513</v>
      </c>
      <c r="AI54" s="32">
        <v>860.02811428617463</v>
      </c>
      <c r="AJ54" s="32">
        <v>800.31797117555391</v>
      </c>
      <c r="AK54" s="32"/>
      <c r="AL54" s="32">
        <v>7.460802488655216E-2</v>
      </c>
      <c r="AM54" s="32">
        <v>1.06</v>
      </c>
      <c r="AN54" s="32">
        <v>1.06</v>
      </c>
      <c r="AO54" s="32">
        <v>1.18</v>
      </c>
      <c r="AP54" s="32">
        <v>0.1132075471698113</v>
      </c>
      <c r="AQ54" s="32">
        <v>1.0969486161241657</v>
      </c>
      <c r="AR54" s="32">
        <v>0.31627166666666667</v>
      </c>
      <c r="AS54" s="32">
        <v>2.3126740449839396</v>
      </c>
      <c r="AT54" s="32">
        <v>267.97447473948785</v>
      </c>
      <c r="AU54" s="32">
        <v>0.31777588175025928</v>
      </c>
      <c r="AV54" s="32">
        <v>97.34141732318102</v>
      </c>
      <c r="AW54" s="32">
        <v>447.59646363636369</v>
      </c>
      <c r="AX54" s="32">
        <v>133.07335454545452</v>
      </c>
      <c r="AY54" s="32">
        <v>499.83573636363633</v>
      </c>
      <c r="AZ54" s="32">
        <v>120.7795390909091</v>
      </c>
      <c r="BA54" s="32">
        <v>142.3971465463508</v>
      </c>
      <c r="BB54" s="32">
        <v>234.8189843937179</v>
      </c>
      <c r="BC54" s="32">
        <v>391.60350926285651</v>
      </c>
      <c r="BD54" s="32">
        <v>37.344483312217626</v>
      </c>
      <c r="BE54" s="32">
        <v>-62.017749209004414</v>
      </c>
      <c r="BF54" s="32">
        <v>98.759801435156177</v>
      </c>
      <c r="BG54" s="52"/>
      <c r="BH54" s="52"/>
      <c r="BI54" s="52"/>
      <c r="BJ54" s="52"/>
    </row>
    <row r="55" spans="1:62" s="41" customFormat="1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67"/>
      <c r="K55" s="32">
        <v>0.85851029662977685</v>
      </c>
      <c r="L55" s="32">
        <v>1923.7101412342658</v>
      </c>
      <c r="M55" s="32">
        <v>23.749507916472417</v>
      </c>
      <c r="N55" s="32">
        <v>6.3575546574440205</v>
      </c>
      <c r="O55" s="32">
        <v>1.5845001863714498</v>
      </c>
      <c r="P55" s="32">
        <v>3057.5230919940504</v>
      </c>
      <c r="Q55" s="32">
        <v>37.747198666593214</v>
      </c>
      <c r="R55" s="32">
        <v>12639.520932749612</v>
      </c>
      <c r="S55" s="32">
        <v>12639.520932749612</v>
      </c>
      <c r="T55" s="32">
        <v>19805.927300313171</v>
      </c>
      <c r="U55" s="32">
        <v>983.02210214430784</v>
      </c>
      <c r="V55" s="32">
        <v>955.61624813414539</v>
      </c>
      <c r="W55" s="32">
        <v>2.8678723351212243E-2</v>
      </c>
      <c r="X55" s="32">
        <v>6.6772631714008952</v>
      </c>
      <c r="Y55" s="32">
        <v>6.0921256159040924</v>
      </c>
      <c r="Z55" s="32">
        <v>9.6048176349030623E-2</v>
      </c>
      <c r="AA55" s="32">
        <v>1640.974319830319</v>
      </c>
      <c r="AB55" s="32">
        <v>1455.4335560580471</v>
      </c>
      <c r="AC55" s="32">
        <v>0.12748143877814511</v>
      </c>
      <c r="AD55" s="32">
        <v>0.68297703497880646</v>
      </c>
      <c r="AE55" s="32">
        <v>0.69038905173188547</v>
      </c>
      <c r="AF55" s="32">
        <v>0.67576080091223178</v>
      </c>
      <c r="AG55" s="32">
        <v>0.53548898534155032</v>
      </c>
      <c r="AH55" s="32">
        <v>0.47509692416359972</v>
      </c>
      <c r="AI55" s="32">
        <v>514.86468426571014</v>
      </c>
      <c r="AJ55" s="32">
        <v>456.79861687366372</v>
      </c>
      <c r="AK55" s="32"/>
      <c r="AL55" s="32">
        <v>0.12711524345115444</v>
      </c>
      <c r="AM55" s="32">
        <v>3.18</v>
      </c>
      <c r="AN55" s="32">
        <v>3.34</v>
      </c>
      <c r="AO55" s="32">
        <v>3.0500000000000003</v>
      </c>
      <c r="AP55" s="32">
        <v>9.5081967213114682E-2</v>
      </c>
      <c r="AQ55" s="32">
        <v>-2.9962267089337504</v>
      </c>
      <c r="AR55" s="32">
        <v>0.36222142857142858</v>
      </c>
      <c r="AS55" s="32">
        <v>2.2776151374509133</v>
      </c>
      <c r="AT55" s="32">
        <v>74.629419161949968</v>
      </c>
      <c r="AU55" s="32">
        <v>0.8102589805672834</v>
      </c>
      <c r="AV55" s="32">
        <v>20.076524093268578</v>
      </c>
      <c r="AW55" s="32">
        <v>388.95089999999999</v>
      </c>
      <c r="AX55" s="32">
        <v>139.84456</v>
      </c>
      <c r="AY55" s="32">
        <v>397.03967999999998</v>
      </c>
      <c r="AZ55" s="32">
        <v>96.656482000000011</v>
      </c>
      <c r="BA55" s="32">
        <v>205.58772258832681</v>
      </c>
      <c r="BB55" s="32">
        <v>239.31100859376997</v>
      </c>
      <c r="BC55" s="32">
        <v>449.33361097035367</v>
      </c>
      <c r="BD55" s="32">
        <v>74.49941979152068</v>
      </c>
      <c r="BE55" s="32">
        <v>-55.967460884237582</v>
      </c>
      <c r="BF55" s="32">
        <v>130.43898676599474</v>
      </c>
      <c r="BG55" s="52"/>
      <c r="BH55" s="52"/>
      <c r="BI55" s="52"/>
      <c r="BJ55" s="52"/>
    </row>
    <row r="56" spans="1:62" s="41" customFormat="1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67"/>
      <c r="K56" s="32">
        <v>0.99042507804628444</v>
      </c>
      <c r="L56" s="32">
        <v>2513.1326300479263</v>
      </c>
      <c r="M56" s="32">
        <v>32.638086104518521</v>
      </c>
      <c r="N56" s="32">
        <v>3.5810056793443952</v>
      </c>
      <c r="O56" s="32">
        <v>1.4309951031598056</v>
      </c>
      <c r="P56" s="32">
        <v>2249.8855552868354</v>
      </c>
      <c r="Q56" s="32">
        <v>29.219292925803057</v>
      </c>
      <c r="R56" s="32">
        <v>11484.645403875969</v>
      </c>
      <c r="S56" s="32">
        <v>11484.645403875969</v>
      </c>
      <c r="T56" s="32">
        <v>19084.135258025199</v>
      </c>
      <c r="U56" s="32">
        <v>1221.8391765715023</v>
      </c>
      <c r="V56" s="32">
        <v>1369.2904044875729</v>
      </c>
      <c r="W56" s="32">
        <v>0.12067973489753436</v>
      </c>
      <c r="X56" s="32">
        <v>3.9213109831012121</v>
      </c>
      <c r="Y56" s="32">
        <v>3.1958002890519435</v>
      </c>
      <c r="Z56" s="32">
        <v>0.22702003518013836</v>
      </c>
      <c r="AA56" s="32">
        <v>1197.8028456682932</v>
      </c>
      <c r="AB56" s="32">
        <v>1093.9946676143595</v>
      </c>
      <c r="AC56" s="32">
        <v>9.488910789693783E-2</v>
      </c>
      <c r="AD56" s="32">
        <v>0.69690255583825356</v>
      </c>
      <c r="AE56" s="32">
        <v>0.6844969416141613</v>
      </c>
      <c r="AF56" s="32">
        <v>0.71033271769522066</v>
      </c>
      <c r="AG56" s="32">
        <v>0.52835061955535323</v>
      </c>
      <c r="AH56" s="32">
        <v>0.47921698134110469</v>
      </c>
      <c r="AI56" s="32">
        <v>664.09404095532545</v>
      </c>
      <c r="AJ56" s="32">
        <v>602.33702744789855</v>
      </c>
      <c r="AK56" s="32"/>
      <c r="AL56" s="32">
        <v>0.10252900069765136</v>
      </c>
      <c r="AM56" s="32">
        <v>1.79</v>
      </c>
      <c r="AN56" s="32">
        <v>1.96</v>
      </c>
      <c r="AO56" s="32">
        <v>1.6</v>
      </c>
      <c r="AP56" s="32">
        <v>0.22499999999999987</v>
      </c>
      <c r="AQ56" s="32">
        <v>-4.4961607106446901E-2</v>
      </c>
      <c r="AR56" s="32">
        <v>0.30409399999999998</v>
      </c>
      <c r="AS56" s="32">
        <v>2.164227061763659</v>
      </c>
      <c r="AT56" s="32">
        <v>136.96152469482507</v>
      </c>
      <c r="AU56" s="32">
        <v>0.88758299104169225</v>
      </c>
      <c r="AV56" s="32">
        <v>16.119108897294002</v>
      </c>
      <c r="AW56" s="32">
        <v>375.10986363636368</v>
      </c>
      <c r="AX56" s="32">
        <v>112.41105363636362</v>
      </c>
      <c r="AY56" s="32">
        <v>430.75902727272728</v>
      </c>
      <c r="AZ56" s="32">
        <v>102.48233727272726</v>
      </c>
      <c r="BA56" s="32">
        <v>185.85554588737244</v>
      </c>
      <c r="BB56" s="32">
        <v>210.64010440536194</v>
      </c>
      <c r="BC56" s="32">
        <v>409.57235487771362</v>
      </c>
      <c r="BD56" s="32">
        <v>41.826949520398607</v>
      </c>
      <c r="BE56" s="32">
        <v>-40.58149372041531</v>
      </c>
      <c r="BF56" s="32">
        <v>84.416919825191357</v>
      </c>
      <c r="BG56" s="52"/>
      <c r="BH56" s="52"/>
      <c r="BI56" s="52"/>
      <c r="BJ56" s="52"/>
    </row>
    <row r="57" spans="1:62" s="41" customFormat="1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67"/>
      <c r="K57" s="32">
        <v>0.91308544802350167</v>
      </c>
      <c r="L57" s="32">
        <v>2508.4496674012944</v>
      </c>
      <c r="M57" s="32">
        <v>33.005916676332824</v>
      </c>
      <c r="N57" s="32">
        <v>3.4687982922501619</v>
      </c>
      <c r="O57" s="32">
        <v>1.4443467411593425</v>
      </c>
      <c r="P57" s="32">
        <v>2175.3264806192742</v>
      </c>
      <c r="Q57" s="32">
        <v>28.622716850253607</v>
      </c>
      <c r="R57" s="32">
        <v>2185.0573474369166</v>
      </c>
      <c r="S57" s="32">
        <v>2185.0573474369166</v>
      </c>
      <c r="T57" s="32">
        <v>3125.050003898687</v>
      </c>
      <c r="U57" s="32">
        <v>1262.5644972953821</v>
      </c>
      <c r="V57" s="32">
        <v>1246.6755484857906</v>
      </c>
      <c r="W57" s="32">
        <v>1.2745055302392228E-2</v>
      </c>
      <c r="X57" s="32">
        <v>3.5704604592131712</v>
      </c>
      <c r="Y57" s="32">
        <v>3.4152552612719935</v>
      </c>
      <c r="Z57" s="32">
        <v>4.5444684530951296E-2</v>
      </c>
      <c r="AA57" s="32">
        <v>1126.9841536998792</v>
      </c>
      <c r="AB57" s="32">
        <v>1064.4288065163112</v>
      </c>
      <c r="AC57" s="32">
        <v>5.8768934850890409E-2</v>
      </c>
      <c r="AD57" s="32">
        <v>0.64140752195076012</v>
      </c>
      <c r="AE57" s="32">
        <v>0.64500250316020147</v>
      </c>
      <c r="AF57" s="32">
        <v>0.637894833554987</v>
      </c>
      <c r="AG57" s="32">
        <v>0.51758333792675892</v>
      </c>
      <c r="AH57" s="32">
        <v>0.48923826199609771</v>
      </c>
      <c r="AI57" s="32">
        <v>650.81242630273618</v>
      </c>
      <c r="AJ57" s="32">
        <v>615.17115602139006</v>
      </c>
      <c r="AK57" s="32"/>
      <c r="AL57" s="32">
        <v>5.793716095509982E-2</v>
      </c>
      <c r="AM57" s="32">
        <v>1.73</v>
      </c>
      <c r="AN57" s="32">
        <v>1.78</v>
      </c>
      <c r="AO57" s="32">
        <v>1.71</v>
      </c>
      <c r="AP57" s="32">
        <v>4.0935672514619936E-2</v>
      </c>
      <c r="AQ57" s="32">
        <v>-3.4798301198007362</v>
      </c>
      <c r="AR57" s="32">
        <v>0.36505750000000003</v>
      </c>
      <c r="AS57" s="32">
        <v>2.3831488754016594</v>
      </c>
      <c r="AT57" s="32">
        <v>54.865257146888297</v>
      </c>
      <c r="AU57" s="32">
        <v>0.88845709752187474</v>
      </c>
      <c r="AV57" s="32">
        <v>18.853134172114839</v>
      </c>
      <c r="AW57" s="32">
        <v>475.38552222222216</v>
      </c>
      <c r="AX57" s="32">
        <v>150.14444444444447</v>
      </c>
      <c r="AY57" s="32">
        <v>521.02618888888878</v>
      </c>
      <c r="AZ57" s="32">
        <v>112.41108000000001</v>
      </c>
      <c r="BA57" s="32">
        <v>248.29122947313323</v>
      </c>
      <c r="BB57" s="32">
        <v>276.53886389170981</v>
      </c>
      <c r="BC57" s="32">
        <v>531.58961184664884</v>
      </c>
      <c r="BD57" s="32">
        <v>89.236829046261562</v>
      </c>
      <c r="BE57" s="32">
        <v>-60.395925113350508</v>
      </c>
      <c r="BF57" s="32">
        <v>149.20999278018633</v>
      </c>
      <c r="BG57" s="52"/>
      <c r="BH57" s="52"/>
      <c r="BI57" s="52"/>
      <c r="BJ57" s="52"/>
    </row>
    <row r="58" spans="1:62" s="41" customFormat="1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67"/>
      <c r="K58" s="32">
        <v>0.91620653136230235</v>
      </c>
      <c r="L58" s="32">
        <v>2607.7866771615986</v>
      </c>
      <c r="M58" s="32">
        <v>31.419116592308416</v>
      </c>
      <c r="N58" s="32">
        <v>3.6765586588407078</v>
      </c>
      <c r="O58" s="32">
        <v>1.5512744158608309</v>
      </c>
      <c r="P58" s="32">
        <v>2396.9201720819783</v>
      </c>
      <c r="Q58" s="32">
        <v>28.878556290144317</v>
      </c>
      <c r="R58" s="32">
        <v>11957.014949159853</v>
      </c>
      <c r="S58" s="32">
        <v>11957.014949159853</v>
      </c>
      <c r="T58" s="32">
        <v>18712.325993815783</v>
      </c>
      <c r="U58" s="32">
        <v>1297.718149439889</v>
      </c>
      <c r="V58" s="32">
        <v>1382.2908563646965</v>
      </c>
      <c r="W58" s="32">
        <v>6.5170319889037653E-2</v>
      </c>
      <c r="X58" s="32">
        <v>3.6499576334634116</v>
      </c>
      <c r="Y58" s="32">
        <v>3.4758341090134346</v>
      </c>
      <c r="Z58" s="32">
        <v>5.00954645673235E-2</v>
      </c>
      <c r="AA58" s="32">
        <v>1184.1540664080337</v>
      </c>
      <c r="AB58" s="32">
        <v>1201.1534267824507</v>
      </c>
      <c r="AC58" s="32">
        <v>1.4355699867655058E-2</v>
      </c>
      <c r="AD58" s="32">
        <v>0.60811454797274167</v>
      </c>
      <c r="AE58" s="32">
        <v>0.608466716752885</v>
      </c>
      <c r="AF58" s="32">
        <v>0.60814035302726666</v>
      </c>
      <c r="AG58" s="32">
        <v>0.49399846279941889</v>
      </c>
      <c r="AH58" s="32">
        <v>0.49939511190863456</v>
      </c>
      <c r="AI58" s="32">
        <v>643.51839296117259</v>
      </c>
      <c r="AJ58" s="32">
        <v>650.54846131899239</v>
      </c>
      <c r="AK58" s="32"/>
      <c r="AL58" s="32">
        <v>1.0924424903336005E-2</v>
      </c>
      <c r="AM58" s="32">
        <v>1.84</v>
      </c>
      <c r="AN58" s="32">
        <v>1.83</v>
      </c>
      <c r="AO58" s="32">
        <v>1.74</v>
      </c>
      <c r="AP58" s="32">
        <v>5.1724137931034475E-2</v>
      </c>
      <c r="AQ58" s="32">
        <v>2.7940491286081954</v>
      </c>
      <c r="AR58" s="32">
        <v>0.35673833333333338</v>
      </c>
      <c r="AS58" s="32">
        <v>2.3514935142211271</v>
      </c>
      <c r="AT58" s="32">
        <v>68.100304924418012</v>
      </c>
      <c r="AU58" s="32">
        <v>0.88022030662535633</v>
      </c>
      <c r="AV58" s="32">
        <v>27.261859467697739</v>
      </c>
      <c r="AW58" s="32">
        <v>626.86419999999998</v>
      </c>
      <c r="AX58" s="32">
        <v>167.8584875</v>
      </c>
      <c r="AY58" s="32">
        <v>611.51310000000001</v>
      </c>
      <c r="AZ58" s="32">
        <v>157.8742125</v>
      </c>
      <c r="BA58" s="32">
        <v>357.99276082050278</v>
      </c>
      <c r="BB58" s="32">
        <v>344.02639282484893</v>
      </c>
      <c r="BC58" s="32">
        <v>696.00331668649449</v>
      </c>
      <c r="BD58" s="32">
        <v>84.721916974836631</v>
      </c>
      <c r="BE58" s="32">
        <v>-73.080574797977832</v>
      </c>
      <c r="BF58" s="32">
        <v>154.77418304495143</v>
      </c>
      <c r="BG58" s="52"/>
      <c r="BH58" s="52"/>
      <c r="BI58" s="52"/>
      <c r="BJ58" s="52"/>
    </row>
    <row r="59" spans="1:62" s="41" customFormat="1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67" t="s">
        <v>156</v>
      </c>
      <c r="K59" s="32">
        <v>0.83643331672609378</v>
      </c>
      <c r="L59" s="32">
        <v>1911.92912083588</v>
      </c>
      <c r="M59" s="32">
        <v>27.709117693273623</v>
      </c>
      <c r="N59" s="32">
        <v>3.1620480812914895</v>
      </c>
      <c r="O59" s="32">
        <v>1.1603548183341117</v>
      </c>
      <c r="P59" s="32">
        <v>1511.4029520261047</v>
      </c>
      <c r="Q59" s="32">
        <v>21.904390609073982</v>
      </c>
      <c r="R59" s="32">
        <v>5427.6635600913933</v>
      </c>
      <c r="S59" s="32">
        <v>5427.6635600913933</v>
      </c>
      <c r="T59" s="32">
        <v>7561.4621389606928</v>
      </c>
      <c r="U59" s="32">
        <v>843.04366196069327</v>
      </c>
      <c r="V59" s="32">
        <v>1142.9920044240444</v>
      </c>
      <c r="W59" s="32">
        <v>0.35579218016508385</v>
      </c>
      <c r="X59" s="32">
        <v>3.9436209791775618</v>
      </c>
      <c r="Y59" s="32">
        <v>2.6571539104797268</v>
      </c>
      <c r="Z59" s="32">
        <v>0.48415225916122195</v>
      </c>
      <c r="AA59" s="32">
        <v>831.16116791771663</v>
      </c>
      <c r="AB59" s="32">
        <v>759.27641855060267</v>
      </c>
      <c r="AC59" s="32">
        <v>9.4675335109624781E-2</v>
      </c>
      <c r="AD59" s="32">
        <v>0.68547652797679171</v>
      </c>
      <c r="AE59" s="32">
        <v>0.7033703784635511</v>
      </c>
      <c r="AF59" s="32">
        <v>0.67116971915398949</v>
      </c>
      <c r="AG59" s="32">
        <v>0.52821379413219616</v>
      </c>
      <c r="AH59" s="32">
        <v>0.48437447266762695</v>
      </c>
      <c r="AI59" s="32">
        <v>505.28072963759649</v>
      </c>
      <c r="AJ59" s="32">
        <v>463.3447473090265</v>
      </c>
      <c r="AK59" s="32"/>
      <c r="AL59" s="32">
        <v>9.0507084783246539E-2</v>
      </c>
      <c r="AM59" s="32">
        <v>1.58</v>
      </c>
      <c r="AN59" s="32">
        <v>1.97</v>
      </c>
      <c r="AO59" s="32">
        <v>1.33</v>
      </c>
      <c r="AP59" s="32">
        <v>0.48120300751879697</v>
      </c>
      <c r="AQ59" s="32">
        <v>7.8951674276841581</v>
      </c>
      <c r="AR59" s="32">
        <v>0.28409499999999999</v>
      </c>
      <c r="AS59" s="32">
        <v>1.869332381292393</v>
      </c>
      <c r="AT59" s="32">
        <v>76.561076928689005</v>
      </c>
      <c r="AU59" s="32">
        <v>0.57450947712294653</v>
      </c>
      <c r="AV59" s="32">
        <v>25.659529959786116</v>
      </c>
      <c r="AW59" s="32">
        <v>371.90987692307687</v>
      </c>
      <c r="AX59" s="32">
        <v>161.75464615384618</v>
      </c>
      <c r="AY59" s="32">
        <v>311.47983076923072</v>
      </c>
      <c r="AZ59" s="32">
        <v>103.94798615384614</v>
      </c>
      <c r="BA59" s="32">
        <v>156.98555867109496</v>
      </c>
      <c r="BB59" s="32">
        <v>113.95136536389653</v>
      </c>
      <c r="BC59" s="32">
        <v>304.43962433661272</v>
      </c>
      <c r="BD59" s="32">
        <v>87.381540610543894</v>
      </c>
      <c r="BE59" s="32">
        <v>-54.01384873215089</v>
      </c>
      <c r="BF59" s="32">
        <v>139.10609600978358</v>
      </c>
      <c r="BG59" s="52"/>
      <c r="BH59" s="52"/>
      <c r="BI59" s="52"/>
      <c r="BJ59" s="52"/>
    </row>
    <row r="60" spans="1:62" s="41" customFormat="1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67"/>
      <c r="K60" s="32">
        <v>0.80964572399598356</v>
      </c>
      <c r="L60" s="32">
        <v>2864.0991640184852</v>
      </c>
      <c r="M60" s="32">
        <v>33.695284282570412</v>
      </c>
      <c r="N60" s="32">
        <v>2.610794104049293</v>
      </c>
      <c r="O60" s="32">
        <v>1.3476636808815614</v>
      </c>
      <c r="P60" s="32">
        <v>1869.3933027079925</v>
      </c>
      <c r="Q60" s="32">
        <v>21.99286238479991</v>
      </c>
      <c r="R60" s="32">
        <v>1632.7344234699858</v>
      </c>
      <c r="S60" s="32">
        <v>1632.7344234699858</v>
      </c>
      <c r="T60" s="32">
        <v>2369.6028607305407</v>
      </c>
      <c r="U60" s="32">
        <v>1245.8442279908695</v>
      </c>
      <c r="V60" s="32">
        <v>1569.2471150735573</v>
      </c>
      <c r="W60" s="32">
        <v>0.2595853316302863</v>
      </c>
      <c r="X60" s="32">
        <v>3.2648324241204203</v>
      </c>
      <c r="Y60" s="32">
        <v>2.3786513480023914</v>
      </c>
      <c r="Z60" s="32">
        <v>0.37255610279423679</v>
      </c>
      <c r="AA60" s="32">
        <v>1016.8681577369661</v>
      </c>
      <c r="AB60" s="32">
        <v>933.17294140464526</v>
      </c>
      <c r="AC60" s="32">
        <v>8.9688858965777385E-2</v>
      </c>
      <c r="AD60" s="32">
        <v>0.60293776883521655</v>
      </c>
      <c r="AE60" s="32">
        <v>0.59670297934982774</v>
      </c>
      <c r="AF60" s="32">
        <v>0.60992237612274502</v>
      </c>
      <c r="AG60" s="32">
        <v>0.52274320518643447</v>
      </c>
      <c r="AH60" s="32">
        <v>0.49405192979026469</v>
      </c>
      <c r="AI60" s="32">
        <v>745.95457772567045</v>
      </c>
      <c r="AJ60" s="32">
        <v>705.01212642220935</v>
      </c>
      <c r="AK60" s="32"/>
      <c r="AL60" s="32">
        <v>5.8073400114740714E-2</v>
      </c>
      <c r="AM60" s="32">
        <v>1.31</v>
      </c>
      <c r="AN60" s="32">
        <v>1.6300000000000001</v>
      </c>
      <c r="AO60" s="32">
        <v>1.19</v>
      </c>
      <c r="AP60" s="32">
        <v>0.36974789915966411</v>
      </c>
      <c r="AQ60" s="32">
        <v>5.3633755618890913</v>
      </c>
      <c r="AR60" s="32">
        <v>0.32454111111111106</v>
      </c>
      <c r="AS60" s="32">
        <v>2.1682256337022534</v>
      </c>
      <c r="AT60" s="32">
        <v>150.36573609598742</v>
      </c>
      <c r="AU60" s="32">
        <v>0.8028893520856476</v>
      </c>
      <c r="AV60" s="32">
        <v>29.981674369383011</v>
      </c>
      <c r="AW60" s="32">
        <v>676.57464166666671</v>
      </c>
      <c r="AX60" s="32">
        <v>146.52135833333332</v>
      </c>
      <c r="AY60" s="32">
        <v>642.01481666666677</v>
      </c>
      <c r="AZ60" s="32">
        <v>142.39490833333335</v>
      </c>
      <c r="BA60" s="32">
        <v>301.95859943381589</v>
      </c>
      <c r="BB60" s="32">
        <v>305.43558213943135</v>
      </c>
      <c r="BC60" s="32">
        <v>603.19215970966047</v>
      </c>
      <c r="BD60" s="32">
        <v>70.334373378930977</v>
      </c>
      <c r="BE60" s="32">
        <v>-74.729846477595316</v>
      </c>
      <c r="BF60" s="32">
        <v>140.66866602954505</v>
      </c>
      <c r="BG60" s="52"/>
      <c r="BH60" s="52"/>
      <c r="BI60" s="52"/>
      <c r="BJ60" s="52"/>
    </row>
    <row r="61" spans="1:62" s="41" customFormat="1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67"/>
      <c r="K61" s="32">
        <v>0.73262832578029691</v>
      </c>
      <c r="L61" s="32">
        <v>1663.834492272684</v>
      </c>
      <c r="M61" s="32">
        <v>27.275975283158754</v>
      </c>
      <c r="N61" s="32">
        <v>2.8732996502728123</v>
      </c>
      <c r="O61" s="32">
        <v>1.0765599587448926</v>
      </c>
      <c r="P61" s="32">
        <v>1195.1737661897362</v>
      </c>
      <c r="Q61" s="32">
        <v>19.593012560487477</v>
      </c>
      <c r="R61" s="32">
        <v>5001.4383119059894</v>
      </c>
      <c r="S61" s="32">
        <v>5001.4383119059894</v>
      </c>
      <c r="T61" s="32">
        <v>7349.1390379465611</v>
      </c>
      <c r="U61" s="32">
        <v>885.3469637915498</v>
      </c>
      <c r="V61" s="32">
        <v>782.26659465689295</v>
      </c>
      <c r="W61" s="32">
        <v>0.13177140611490445</v>
      </c>
      <c r="X61" s="32">
        <v>2.9067529688052467</v>
      </c>
      <c r="Y61" s="32">
        <v>3.1028689813826271</v>
      </c>
      <c r="Z61" s="32">
        <v>6.7469102012473137E-2</v>
      </c>
      <c r="AA61" s="32">
        <v>643.37122885594965</v>
      </c>
      <c r="AB61" s="32">
        <v>606.81768793317246</v>
      </c>
      <c r="AC61" s="32">
        <v>6.0238093993731257E-2</v>
      </c>
      <c r="AD61" s="32">
        <v>0.60614207988928481</v>
      </c>
      <c r="AE61" s="32">
        <v>0.60241533560741956</v>
      </c>
      <c r="AF61" s="32">
        <v>0.61082006324847815</v>
      </c>
      <c r="AG61" s="32">
        <v>0.53826501742115973</v>
      </c>
      <c r="AH61" s="32">
        <v>0.50510676019169332</v>
      </c>
      <c r="AI61" s="32">
        <v>446.74772899525766</v>
      </c>
      <c r="AJ61" s="32">
        <v>419.22712922513711</v>
      </c>
      <c r="AK61" s="32"/>
      <c r="AL61" s="32">
        <v>6.5646037318689787E-2</v>
      </c>
      <c r="AM61" s="32">
        <v>1.44</v>
      </c>
      <c r="AN61" s="32">
        <v>1.45</v>
      </c>
      <c r="AO61" s="32">
        <v>1.55</v>
      </c>
      <c r="AP61" s="32">
        <v>6.8965517241379448E-2</v>
      </c>
      <c r="AQ61" s="32">
        <v>-8.8646999578204984</v>
      </c>
      <c r="AR61" s="32">
        <v>0.23768666666666668</v>
      </c>
      <c r="AS61" s="32">
        <v>1.8448411281685022</v>
      </c>
      <c r="AT61" s="32">
        <v>78.235366648336978</v>
      </c>
      <c r="AU61" s="32">
        <v>0.59465720892798013</v>
      </c>
      <c r="AV61" s="32">
        <v>19.257039778748595</v>
      </c>
      <c r="AW61" s="32">
        <v>355.68909166666668</v>
      </c>
      <c r="AX61" s="32">
        <v>123.76430000000001</v>
      </c>
      <c r="AY61" s="32">
        <v>388.07042500000006</v>
      </c>
      <c r="AZ61" s="32">
        <v>118.55583333333334</v>
      </c>
      <c r="BA61" s="32">
        <v>182.17898183436989</v>
      </c>
      <c r="BB61" s="32">
        <v>236.82864111746309</v>
      </c>
      <c r="BC61" s="32">
        <v>407.32313242263132</v>
      </c>
      <c r="BD61" s="32">
        <v>66.111886585307616</v>
      </c>
      <c r="BE61" s="32">
        <v>-70.921716819007571</v>
      </c>
      <c r="BF61" s="32">
        <v>130.74749755796304</v>
      </c>
      <c r="BG61" s="52"/>
      <c r="BH61" s="52"/>
      <c r="BI61" s="52"/>
      <c r="BJ61" s="52"/>
    </row>
    <row r="62" spans="1:62" s="41" customFormat="1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67"/>
      <c r="K62" s="32">
        <v>0.94485569401440861</v>
      </c>
      <c r="L62" s="32">
        <v>1616.9952517039274</v>
      </c>
      <c r="M62" s="32">
        <v>19.136038481703281</v>
      </c>
      <c r="N62" s="32">
        <v>2.6887373187722998</v>
      </c>
      <c r="O62" s="32">
        <v>1.062032050356889</v>
      </c>
      <c r="P62" s="32">
        <v>1086.9188693834894</v>
      </c>
      <c r="Q62" s="32">
        <v>12.862945199804608</v>
      </c>
      <c r="R62" s="32">
        <v>725.25092987628761</v>
      </c>
      <c r="S62" s="32">
        <v>725.25092987628761</v>
      </c>
      <c r="T62" s="32">
        <v>921.31875956606757</v>
      </c>
      <c r="U62" s="32">
        <v>767.56537439080273</v>
      </c>
      <c r="V62" s="32">
        <v>853.10706494482906</v>
      </c>
      <c r="W62" s="32">
        <v>0.1114454786628678</v>
      </c>
      <c r="X62" s="32">
        <v>2.7791613347761905</v>
      </c>
      <c r="Y62" s="32">
        <v>2.6474278394942341</v>
      </c>
      <c r="Z62" s="32">
        <v>4.9759050394787341E-2</v>
      </c>
      <c r="AA62" s="32">
        <v>533.29700260498248</v>
      </c>
      <c r="AB62" s="32">
        <v>564.63484845103903</v>
      </c>
      <c r="AC62" s="32">
        <v>5.8762463867191084E-2</v>
      </c>
      <c r="AD62" s="32">
        <v>0.64710270133655345</v>
      </c>
      <c r="AE62" s="32">
        <v>0.65288869434568697</v>
      </c>
      <c r="AF62" s="32">
        <v>0.6420904205399055</v>
      </c>
      <c r="AG62" s="32">
        <v>0.49003077409237922</v>
      </c>
      <c r="AH62" s="32">
        <v>0.51940890550919872</v>
      </c>
      <c r="AI62" s="32">
        <v>397.47617200683777</v>
      </c>
      <c r="AJ62" s="32">
        <v>421.30550647649272</v>
      </c>
      <c r="AK62" s="32"/>
      <c r="AL62" s="32">
        <v>5.9951605021608678E-2</v>
      </c>
      <c r="AM62" s="32">
        <v>1.34</v>
      </c>
      <c r="AN62" s="32">
        <v>1.3900000000000001</v>
      </c>
      <c r="AO62" s="32">
        <v>1.32</v>
      </c>
      <c r="AP62" s="32">
        <v>5.3030303030302983E-2</v>
      </c>
      <c r="AQ62" s="32">
        <v>2.8688582464936263</v>
      </c>
      <c r="AR62" s="32">
        <v>0.32458285714285717</v>
      </c>
      <c r="AS62" s="32">
        <v>1.6305605141021104</v>
      </c>
      <c r="AT62" s="32">
        <v>77.814251552955653</v>
      </c>
      <c r="AU62" s="32">
        <v>0.9068845736459088</v>
      </c>
      <c r="AV62" s="32">
        <v>17.915330207065981</v>
      </c>
      <c r="AW62" s="32">
        <v>375.27121111111114</v>
      </c>
      <c r="AX62" s="32">
        <v>76.162823333333336</v>
      </c>
      <c r="AY62" s="32">
        <v>352.19581111111108</v>
      </c>
      <c r="AZ62" s="32">
        <v>71.951957777777764</v>
      </c>
      <c r="BA62" s="32">
        <v>193.60736211635782</v>
      </c>
      <c r="BB62" s="32">
        <v>160.5855300300741</v>
      </c>
      <c r="BC62" s="32">
        <v>356.53991222190876</v>
      </c>
      <c r="BD62" s="32">
        <v>39.237280336501804</v>
      </c>
      <c r="BE62" s="32">
        <v>-35.745193781346259</v>
      </c>
      <c r="BF62" s="32">
        <v>73.740498062304198</v>
      </c>
      <c r="BG62" s="52"/>
      <c r="BH62" s="52"/>
      <c r="BI62" s="52"/>
      <c r="BJ62" s="52"/>
    </row>
    <row r="63" spans="1:62" s="41" customFormat="1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67"/>
      <c r="K63" s="32">
        <v>0.90533148532176155</v>
      </c>
      <c r="L63" s="32">
        <v>1595.3230616392057</v>
      </c>
      <c r="M63" s="32">
        <v>24.73369087812722</v>
      </c>
      <c r="N63" s="32">
        <v>3.2132712642533856</v>
      </c>
      <c r="O63" s="32">
        <v>1.2036187191676779</v>
      </c>
      <c r="P63" s="32">
        <v>1281.5514377914981</v>
      </c>
      <c r="Q63" s="32">
        <v>19.869014539403071</v>
      </c>
      <c r="R63" s="32">
        <v>5678.7223618314001</v>
      </c>
      <c r="S63" s="32">
        <v>5678.7223618314001</v>
      </c>
      <c r="T63" s="32">
        <v>8547.8509749970854</v>
      </c>
      <c r="U63" s="32">
        <v>831.2347177450622</v>
      </c>
      <c r="V63" s="32">
        <v>798.15131822674073</v>
      </c>
      <c r="W63" s="32">
        <v>4.1450034301544703E-2</v>
      </c>
      <c r="X63" s="32">
        <v>3.095754098662888</v>
      </c>
      <c r="Y63" s="32">
        <v>3.1596752738641456</v>
      </c>
      <c r="Z63" s="32">
        <v>2.0648014397805836E-2</v>
      </c>
      <c r="AA63" s="32">
        <v>643.32457110254131</v>
      </c>
      <c r="AB63" s="32">
        <v>630.47474625077643</v>
      </c>
      <c r="AC63" s="32">
        <v>2.0381188823467511E-2</v>
      </c>
      <c r="AD63" s="32">
        <v>0.66435081091830372</v>
      </c>
      <c r="AE63" s="32">
        <v>0.68232577561706365</v>
      </c>
      <c r="AF63" s="32">
        <v>0.64707535105346725</v>
      </c>
      <c r="AG63" s="32">
        <v>0.50118249350166078</v>
      </c>
      <c r="AH63" s="32">
        <v>0.49178494041710075</v>
      </c>
      <c r="AI63" s="32">
        <v>398.93685011158937</v>
      </c>
      <c r="AJ63" s="32">
        <v>391.45648063555859</v>
      </c>
      <c r="AK63" s="32"/>
      <c r="AL63" s="32">
        <v>1.9109070474158107E-2</v>
      </c>
      <c r="AM63" s="32">
        <v>1.61</v>
      </c>
      <c r="AN63" s="32">
        <v>1.55</v>
      </c>
      <c r="AO63" s="32">
        <v>1.58</v>
      </c>
      <c r="AP63" s="32">
        <v>1.9354838709677358E-2</v>
      </c>
      <c r="AQ63" s="32">
        <v>0.82079366546715071</v>
      </c>
      <c r="AR63" s="32">
        <v>0.30977749999999998</v>
      </c>
      <c r="AS63" s="32">
        <v>1.7627454480542628</v>
      </c>
      <c r="AT63" s="32">
        <v>30.78694145378196</v>
      </c>
      <c r="AU63" s="32">
        <v>0.89472629573280804</v>
      </c>
      <c r="AV63" s="32">
        <v>17.663908045105728</v>
      </c>
      <c r="AW63" s="32">
        <v>308.82251250000002</v>
      </c>
      <c r="AX63" s="32">
        <v>84.023714999999996</v>
      </c>
      <c r="AY63" s="32">
        <v>279.07671249999999</v>
      </c>
      <c r="AZ63" s="32">
        <v>73.445742499999994</v>
      </c>
      <c r="BA63" s="32">
        <v>193.94456154010561</v>
      </c>
      <c r="BB63" s="32">
        <v>178.13485885595236</v>
      </c>
      <c r="BC63" s="32">
        <v>371.57657506493018</v>
      </c>
      <c r="BD63" s="32">
        <v>44.725337799108857</v>
      </c>
      <c r="BE63" s="32">
        <v>-32.204163148566295</v>
      </c>
      <c r="BF63" s="32">
        <v>76.722903568742126</v>
      </c>
      <c r="BG63" s="52"/>
      <c r="BH63" s="52"/>
      <c r="BI63" s="52"/>
      <c r="BJ63" s="52"/>
    </row>
    <row r="64" spans="1:62" s="41" customFormat="1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67"/>
      <c r="K64" s="32">
        <v>0.87568692376163015</v>
      </c>
      <c r="L64" s="32">
        <v>1783.689395813901</v>
      </c>
      <c r="M64" s="32">
        <v>25.48127708305573</v>
      </c>
      <c r="N64" s="32">
        <v>2.7526782115529627</v>
      </c>
      <c r="O64" s="32">
        <v>1.2033645531864257</v>
      </c>
      <c r="P64" s="32">
        <v>1227.4807340087484</v>
      </c>
      <c r="Q64" s="32">
        <v>17.535439057267833</v>
      </c>
      <c r="R64" s="32">
        <v>2009.680258514458</v>
      </c>
      <c r="S64" s="32">
        <v>2009.680258514458</v>
      </c>
      <c r="T64" s="32">
        <v>2904.3266426396958</v>
      </c>
      <c r="U64" s="32">
        <v>1004.6565798661602</v>
      </c>
      <c r="V64" s="32">
        <v>796.76359883006921</v>
      </c>
      <c r="W64" s="32">
        <v>0.26092178576098535</v>
      </c>
      <c r="X64" s="32">
        <v>2.5624419748056595</v>
      </c>
      <c r="Y64" s="32">
        <v>2.9411271610667273</v>
      </c>
      <c r="Z64" s="32">
        <v>0.14778293127585385</v>
      </c>
      <c r="AA64" s="32">
        <v>643.59354762843577</v>
      </c>
      <c r="AB64" s="32">
        <v>585.84576536709756</v>
      </c>
      <c r="AC64" s="32">
        <v>9.8571647479866575E-2</v>
      </c>
      <c r="AD64" s="32">
        <v>0.61403586220646655</v>
      </c>
      <c r="AE64" s="32">
        <v>0.61230321654789976</v>
      </c>
      <c r="AF64" s="32">
        <v>0.61632005714209492</v>
      </c>
      <c r="AG64" s="32">
        <v>0.52120779938839745</v>
      </c>
      <c r="AH64" s="32">
        <v>0.47546815751590477</v>
      </c>
      <c r="AI64" s="32">
        <v>463.60000420635413</v>
      </c>
      <c r="AJ64" s="32">
        <v>422.91585061278306</v>
      </c>
      <c r="AK64" s="32"/>
      <c r="AL64" s="32">
        <v>9.6199169491098191E-2</v>
      </c>
      <c r="AM64" s="32">
        <v>1.3800000000000001</v>
      </c>
      <c r="AN64" s="32">
        <v>1.28</v>
      </c>
      <c r="AO64" s="32">
        <v>1.47</v>
      </c>
      <c r="AP64" s="32">
        <v>0.1484375</v>
      </c>
      <c r="AQ64" s="32">
        <v>-10.442897129343557</v>
      </c>
      <c r="AR64" s="32">
        <v>0.33978375</v>
      </c>
      <c r="AS64" s="32">
        <v>1.9069439485897914</v>
      </c>
      <c r="AT64" s="32">
        <v>44.082243461948472</v>
      </c>
      <c r="AU64" s="32">
        <v>0.9084703492186843</v>
      </c>
      <c r="AV64" s="32">
        <v>22.471980913481875</v>
      </c>
      <c r="AW64" s="32">
        <v>400.49448749999999</v>
      </c>
      <c r="AX64" s="32">
        <v>111.19363749999999</v>
      </c>
      <c r="AY64" s="32">
        <v>474.22082500000005</v>
      </c>
      <c r="AZ64" s="32">
        <v>106.87674625000001</v>
      </c>
      <c r="BA64" s="32">
        <v>206.16766353679913</v>
      </c>
      <c r="BB64" s="32">
        <v>238.43478894758911</v>
      </c>
      <c r="BC64" s="32">
        <v>436.5304084668374</v>
      </c>
      <c r="BD64" s="32">
        <v>51.165446684423635</v>
      </c>
      <c r="BE64" s="32">
        <v>-53.146864886474859</v>
      </c>
      <c r="BF64" s="32">
        <v>100.85608034341141</v>
      </c>
      <c r="BG64" s="52"/>
      <c r="BH64" s="52"/>
      <c r="BI64" s="52"/>
      <c r="BJ64" s="52"/>
    </row>
    <row r="65" spans="1:62" s="41" customFormat="1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67"/>
      <c r="K65" s="32">
        <v>0.86047896619786379</v>
      </c>
      <c r="L65" s="32">
        <v>2671.2412640430489</v>
      </c>
      <c r="M65" s="32">
        <v>37.100573111709011</v>
      </c>
      <c r="N65" s="32">
        <v>1.9562086239331462</v>
      </c>
      <c r="O65" s="32">
        <v>1.0666808982064584</v>
      </c>
      <c r="P65" s="32">
        <v>1306.3762993317728</v>
      </c>
      <c r="Q65" s="32">
        <v>18.144115268496844</v>
      </c>
      <c r="R65" s="32">
        <v>1102.3687455695094</v>
      </c>
      <c r="S65" s="32">
        <v>1102.3687455695094</v>
      </c>
      <c r="T65" s="32">
        <v>1637.0690999657572</v>
      </c>
      <c r="U65" s="32">
        <v>1306.7576665262591</v>
      </c>
      <c r="V65" s="32">
        <v>1332.9396047416988</v>
      </c>
      <c r="W65" s="32">
        <v>2.0035802265494951E-2</v>
      </c>
      <c r="X65" s="32">
        <v>1.7320861439468529</v>
      </c>
      <c r="Y65" s="32">
        <v>2.3366188935611247</v>
      </c>
      <c r="Z65" s="32">
        <v>0.3490200252031006</v>
      </c>
      <c r="AA65" s="32">
        <v>565.85421192161391</v>
      </c>
      <c r="AB65" s="32">
        <v>778.64296610383781</v>
      </c>
      <c r="AC65" s="32">
        <v>0.37604872368026276</v>
      </c>
      <c r="AD65" s="32">
        <v>0.58616123584741031</v>
      </c>
      <c r="AE65" s="32">
        <v>0.60467768857627147</v>
      </c>
      <c r="AF65" s="32">
        <v>0.57358013968540378</v>
      </c>
      <c r="AG65" s="32">
        <v>0.42564993467188822</v>
      </c>
      <c r="AH65" s="32">
        <v>0.58055031301590609</v>
      </c>
      <c r="AI65" s="32">
        <v>567.40499768173061</v>
      </c>
      <c r="AJ65" s="32">
        <v>773.89216390892045</v>
      </c>
      <c r="AK65" s="32"/>
      <c r="AL65" s="32">
        <v>0.36391495857604839</v>
      </c>
      <c r="AM65" s="32">
        <v>0.98</v>
      </c>
      <c r="AN65" s="32">
        <v>0.87</v>
      </c>
      <c r="AO65" s="32">
        <v>1.17</v>
      </c>
      <c r="AP65" s="32">
        <v>0.34482758620689657</v>
      </c>
      <c r="AQ65" s="32">
        <v>20.785728810534554</v>
      </c>
      <c r="AR65" s="32">
        <v>0.22818285714285716</v>
      </c>
      <c r="AS65" s="32">
        <v>1.795501606569099</v>
      </c>
      <c r="AT65" s="32">
        <v>79.812912799908503</v>
      </c>
      <c r="AU65" s="32">
        <v>0.71619664888531764</v>
      </c>
      <c r="AV65" s="32">
        <v>54.017726775269374</v>
      </c>
      <c r="AW65" s="32">
        <v>613.1491125</v>
      </c>
      <c r="AX65" s="32">
        <v>186.7778625</v>
      </c>
      <c r="AY65" s="32">
        <v>471.13503750000001</v>
      </c>
      <c r="AZ65" s="32">
        <v>127.77905875000002</v>
      </c>
      <c r="BA65" s="32">
        <v>296.38066081094178</v>
      </c>
      <c r="BB65" s="32">
        <v>199.35458844412213</v>
      </c>
      <c r="BC65" s="32">
        <v>487.42410413045411</v>
      </c>
      <c r="BD65" s="32">
        <v>96.441743265785348</v>
      </c>
      <c r="BE65" s="32">
        <v>-60.161741000935741</v>
      </c>
      <c r="BF65" s="32">
        <v>151.3107917421861</v>
      </c>
      <c r="BG65" s="52"/>
      <c r="BH65" s="52"/>
      <c r="BI65" s="52"/>
      <c r="BJ65" s="52"/>
    </row>
    <row r="66" spans="1:62" s="41" customFormat="1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67"/>
      <c r="K66" s="32">
        <v>0.92100008384259779</v>
      </c>
      <c r="L66" s="32">
        <v>1897.5582909364402</v>
      </c>
      <c r="M66" s="32">
        <v>31.625971515607336</v>
      </c>
      <c r="N66" s="32">
        <v>1.9887389181658206</v>
      </c>
      <c r="O66" s="32">
        <v>1.0259022630510428</v>
      </c>
      <c r="P66" s="32">
        <v>943.43700566837992</v>
      </c>
      <c r="Q66" s="32">
        <v>15.723950094472999</v>
      </c>
      <c r="R66" s="32">
        <v>3425.6488025177573</v>
      </c>
      <c r="S66" s="32">
        <v>3425.6488025177573</v>
      </c>
      <c r="T66" s="32">
        <v>5238.478970215534</v>
      </c>
      <c r="U66" s="32">
        <v>947.14902267485161</v>
      </c>
      <c r="V66" s="32">
        <v>958.03489503810636</v>
      </c>
      <c r="W66" s="32">
        <v>1.1493304752098865E-2</v>
      </c>
      <c r="X66" s="32">
        <v>2.0646810261945614</v>
      </c>
      <c r="Y66" s="32">
        <v>1.9186268859683637</v>
      </c>
      <c r="Z66" s="32">
        <v>7.6124306030706856E-2</v>
      </c>
      <c r="AA66" s="32">
        <v>488.89015402387213</v>
      </c>
      <c r="AB66" s="32">
        <v>459.52787682899753</v>
      </c>
      <c r="AC66" s="32">
        <v>6.389661797558599E-2</v>
      </c>
      <c r="AD66" s="32">
        <v>0.60853000202757401</v>
      </c>
      <c r="AE66" s="32">
        <v>0.62739149222205426</v>
      </c>
      <c r="AF66" s="32">
        <v>0.59003288408075216</v>
      </c>
      <c r="AG66" s="32">
        <v>0.51733945756461786</v>
      </c>
      <c r="AH66" s="32">
        <v>0.48658949490989928</v>
      </c>
      <c r="AI66" s="32">
        <v>492.99774189500744</v>
      </c>
      <c r="AJ66" s="32">
        <v>463.69461813271727</v>
      </c>
      <c r="AK66" s="32"/>
      <c r="AL66" s="32">
        <v>6.3194875714307042E-2</v>
      </c>
      <c r="AM66" s="32">
        <v>0.99</v>
      </c>
      <c r="AN66" s="32">
        <v>1.03</v>
      </c>
      <c r="AO66" s="32">
        <v>0.96</v>
      </c>
      <c r="AP66" s="32">
        <v>7.2916666666666741E-2</v>
      </c>
      <c r="AQ66" s="32">
        <v>-0.17680628929751363</v>
      </c>
      <c r="AR66" s="32">
        <v>0.280335</v>
      </c>
      <c r="AS66" s="32">
        <v>1.7336308461263941</v>
      </c>
      <c r="AT66" s="32">
        <v>53.564100231115177</v>
      </c>
      <c r="AU66" s="32">
        <v>0.92109944031913826</v>
      </c>
      <c r="AV66" s="32">
        <v>14.824440496476939</v>
      </c>
      <c r="AW66" s="32">
        <v>398.80237777777779</v>
      </c>
      <c r="AX66" s="32">
        <v>94.351020000000005</v>
      </c>
      <c r="AY66" s="32">
        <v>348.12624444444441</v>
      </c>
      <c r="AZ66" s="32">
        <v>96.848981111111101</v>
      </c>
      <c r="BA66" s="32">
        <v>231.26777239002377</v>
      </c>
      <c r="BB66" s="32">
        <v>204.24677284843267</v>
      </c>
      <c r="BC66" s="32">
        <v>432.22809886730033</v>
      </c>
      <c r="BD66" s="32">
        <v>38.705483036817256</v>
      </c>
      <c r="BE66" s="32">
        <v>-38.410200857787473</v>
      </c>
      <c r="BF66" s="32">
        <v>78.046998749013355</v>
      </c>
      <c r="BG66" s="52"/>
      <c r="BH66" s="52"/>
      <c r="BI66" s="52"/>
      <c r="BJ66" s="52"/>
    </row>
    <row r="67" spans="1:62" s="41" customFormat="1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67"/>
      <c r="K67" s="32">
        <v>0.9276389114115241</v>
      </c>
      <c r="L67" s="32">
        <v>2301.1487894462925</v>
      </c>
      <c r="M67" s="32">
        <v>31.960399853420729</v>
      </c>
      <c r="N67" s="32">
        <v>2.2365966425395523</v>
      </c>
      <c r="O67" s="32">
        <v>1.0872612650549105</v>
      </c>
      <c r="P67" s="32">
        <v>1286.6854141148833</v>
      </c>
      <c r="Q67" s="32">
        <v>17.870630751595602</v>
      </c>
      <c r="R67" s="32">
        <v>2042.9809717462654</v>
      </c>
      <c r="S67" s="32">
        <v>2042.9809717462654</v>
      </c>
      <c r="T67" s="32">
        <v>2953.7140573931874</v>
      </c>
      <c r="U67" s="32">
        <v>1200.4576513589695</v>
      </c>
      <c r="V67" s="32">
        <v>1088.2237229027203</v>
      </c>
      <c r="W67" s="32">
        <v>0.1031349768381058</v>
      </c>
      <c r="X67" s="32">
        <v>2.0271569324320264</v>
      </c>
      <c r="Y67" s="32">
        <v>2.6165313209535053</v>
      </c>
      <c r="Z67" s="32">
        <v>0.29073939915169422</v>
      </c>
      <c r="AA67" s="32">
        <v>608.379012510851</v>
      </c>
      <c r="AB67" s="32">
        <v>711.84286379489902</v>
      </c>
      <c r="AC67" s="32">
        <v>0.17006479374927919</v>
      </c>
      <c r="AD67" s="32">
        <v>0.64210643593339711</v>
      </c>
      <c r="AE67" s="32">
        <v>0.67072722624537662</v>
      </c>
      <c r="AF67" s="32">
        <v>0.61784713305668437</v>
      </c>
      <c r="AG67" s="32">
        <v>0.4676151221577205</v>
      </c>
      <c r="AH67" s="32">
        <v>0.54178217511113036</v>
      </c>
      <c r="AI67" s="32">
        <v>537.20728923283468</v>
      </c>
      <c r="AJ67" s="32">
        <v>622.41215019550225</v>
      </c>
      <c r="AK67" s="32"/>
      <c r="AL67" s="32">
        <v>0.15860704549326843</v>
      </c>
      <c r="AM67" s="32">
        <v>1.1200000000000001</v>
      </c>
      <c r="AN67" s="32">
        <v>1.01</v>
      </c>
      <c r="AO67" s="32">
        <v>1.31</v>
      </c>
      <c r="AP67" s="32">
        <v>0.29702970297029707</v>
      </c>
      <c r="AQ67" s="32">
        <v>5.5501868507599905</v>
      </c>
      <c r="AR67" s="32">
        <v>0.26151714285714284</v>
      </c>
      <c r="AS67" s="32">
        <v>1.8787575865762187</v>
      </c>
      <c r="AT67" s="32">
        <v>103.58571573872899</v>
      </c>
      <c r="AU67" s="32">
        <v>0.91787057618563628</v>
      </c>
      <c r="AV67" s="32">
        <v>23.778101424710197</v>
      </c>
      <c r="AW67" s="32">
        <v>482.07774444444448</v>
      </c>
      <c r="AX67" s="32">
        <v>157.88371111111107</v>
      </c>
      <c r="AY67" s="32">
        <v>361.11885555555557</v>
      </c>
      <c r="AZ67" s="32">
        <v>115.2209888888889</v>
      </c>
      <c r="BA67" s="32">
        <v>216.64494175238156</v>
      </c>
      <c r="BB67" s="32">
        <v>156.41463773210671</v>
      </c>
      <c r="BC67" s="32">
        <v>377.74896924511245</v>
      </c>
      <c r="BD67" s="32">
        <v>73.067364791277186</v>
      </c>
      <c r="BE67" s="32">
        <v>-53.570619966880585</v>
      </c>
      <c r="BF67" s="32">
        <v>125.39123205433104</v>
      </c>
      <c r="BG67" s="52"/>
      <c r="BH67" s="52"/>
      <c r="BI67" s="52"/>
      <c r="BJ67" s="52"/>
    </row>
    <row r="68" spans="1:62" s="41" customFormat="1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67"/>
      <c r="K68" s="32">
        <v>0.81647274432173156</v>
      </c>
      <c r="L68" s="32">
        <v>1810.7048516434238</v>
      </c>
      <c r="M68" s="32">
        <v>26.628012524167996</v>
      </c>
      <c r="N68" s="32">
        <v>3.3595812957601576</v>
      </c>
      <c r="O68" s="32">
        <v>1.2923036803626031</v>
      </c>
      <c r="P68" s="32">
        <v>1520.8025379308544</v>
      </c>
      <c r="Q68" s="32">
        <v>22.364743204865505</v>
      </c>
      <c r="R68" s="32">
        <v>1851.5744991686884</v>
      </c>
      <c r="S68" s="32">
        <v>1851.5744991686884</v>
      </c>
      <c r="T68" s="32">
        <v>2832.4113737231328</v>
      </c>
      <c r="U68" s="32">
        <v>864.41304578829988</v>
      </c>
      <c r="V68" s="32">
        <v>943.47312525977929</v>
      </c>
      <c r="W68" s="32">
        <v>9.1460997559772661E-2</v>
      </c>
      <c r="X68" s="32">
        <v>3.3606654291219202</v>
      </c>
      <c r="Y68" s="32">
        <v>3.5595453330137241</v>
      </c>
      <c r="Z68" s="32">
        <v>5.9178727572344991E-2</v>
      </c>
      <c r="AA68" s="32">
        <v>726.25075986568072</v>
      </c>
      <c r="AB68" s="32">
        <v>839.58383996058001</v>
      </c>
      <c r="AC68" s="32">
        <v>0.15605227059020232</v>
      </c>
      <c r="AD68" s="32">
        <v>0.65332403992109911</v>
      </c>
      <c r="AE68" s="32">
        <v>0.66963251949674396</v>
      </c>
      <c r="AF68" s="32">
        <v>0.63970915317791921</v>
      </c>
      <c r="AG68" s="32">
        <v>0.4775444047199825</v>
      </c>
      <c r="AH68" s="32">
        <v>0.55033137150457268</v>
      </c>
      <c r="AI68" s="32">
        <v>432.29210201920222</v>
      </c>
      <c r="AJ68" s="32">
        <v>498.18174612331984</v>
      </c>
      <c r="AK68" s="32"/>
      <c r="AL68" s="32">
        <v>0.15241926418815499</v>
      </c>
      <c r="AM68" s="32">
        <v>1.68</v>
      </c>
      <c r="AN68" s="32">
        <v>1.68</v>
      </c>
      <c r="AO68" s="32">
        <v>1.78</v>
      </c>
      <c r="AP68" s="32">
        <v>5.9523809523809534E-2</v>
      </c>
      <c r="AQ68" s="32">
        <v>7.2329681856388266</v>
      </c>
      <c r="AR68" s="32">
        <v>0.36284142857142854</v>
      </c>
      <c r="AS68" s="32">
        <v>2.0177079614423468</v>
      </c>
      <c r="AT68" s="32">
        <v>73.742756493622082</v>
      </c>
      <c r="AU68" s="32">
        <v>0.72401448544383817</v>
      </c>
      <c r="AV68" s="32">
        <v>32.66814520950944</v>
      </c>
      <c r="AW68" s="32">
        <v>394.53116666666665</v>
      </c>
      <c r="AX68" s="32">
        <v>128.01426666666669</v>
      </c>
      <c r="AY68" s="32">
        <v>320.23681111111114</v>
      </c>
      <c r="AZ68" s="32">
        <v>109.24498555555554</v>
      </c>
      <c r="BA68" s="32">
        <v>206.55144165944307</v>
      </c>
      <c r="BB68" s="32">
        <v>154.17845166962965</v>
      </c>
      <c r="BC68" s="32">
        <v>371.59691832920907</v>
      </c>
      <c r="BD68" s="32">
        <v>70.044451712412425</v>
      </c>
      <c r="BE68" s="32">
        <v>-59.728902241705811</v>
      </c>
      <c r="BF68" s="32">
        <v>126.39518858774528</v>
      </c>
      <c r="BG68" s="52"/>
      <c r="BH68" s="52"/>
      <c r="BI68" s="52"/>
      <c r="BJ68" s="52"/>
    </row>
    <row r="69" spans="1:62" s="41" customFormat="1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67"/>
      <c r="K69" s="32">
        <v>0.86655406443716676</v>
      </c>
      <c r="L69" s="32">
        <v>1748.8522667054799</v>
      </c>
      <c r="M69" s="32">
        <v>23.793908390550747</v>
      </c>
      <c r="N69" s="32">
        <v>3.4056621060586836</v>
      </c>
      <c r="O69" s="32">
        <v>1.1606155373693936</v>
      </c>
      <c r="P69" s="32">
        <v>1488.9999734534217</v>
      </c>
      <c r="Q69" s="32">
        <v>20.258503040182607</v>
      </c>
      <c r="R69" s="32">
        <v>3219.6424023387635</v>
      </c>
      <c r="S69" s="32">
        <v>3219.6424023387635</v>
      </c>
      <c r="T69" s="32">
        <v>5124.1330358884707</v>
      </c>
      <c r="U69" s="32">
        <v>822.7681447850365</v>
      </c>
      <c r="V69" s="32">
        <v>870.76021819341111</v>
      </c>
      <c r="W69" s="32">
        <v>5.8330009143600758E-2</v>
      </c>
      <c r="X69" s="32">
        <v>3.9072164543278776</v>
      </c>
      <c r="Y69" s="32">
        <v>3.699459072668144</v>
      </c>
      <c r="Z69" s="32">
        <v>5.6158853923985674E-2</v>
      </c>
      <c r="AA69" s="32">
        <v>803.68330835022903</v>
      </c>
      <c r="AB69" s="32">
        <v>805.33544732852681</v>
      </c>
      <c r="AC69" s="32">
        <v>2.0557089603978618E-3</v>
      </c>
      <c r="AD69" s="32">
        <v>0.60560540910336524</v>
      </c>
      <c r="AE69" s="32">
        <v>0.60248510305904324</v>
      </c>
      <c r="AF69" s="32">
        <v>0.60903780220193149</v>
      </c>
      <c r="AG69" s="32">
        <v>0.5306526707742395</v>
      </c>
      <c r="AH69" s="32">
        <v>0.53731418146252619</v>
      </c>
      <c r="AI69" s="32">
        <v>464.78801686423299</v>
      </c>
      <c r="AJ69" s="32">
        <v>470.62270028834769</v>
      </c>
      <c r="AK69" s="32"/>
      <c r="AL69" s="32">
        <v>1.2553429116953785E-2</v>
      </c>
      <c r="AM69" s="32">
        <v>1.7</v>
      </c>
      <c r="AN69" s="32">
        <v>1.95</v>
      </c>
      <c r="AO69" s="32">
        <v>1.85</v>
      </c>
      <c r="AP69" s="32">
        <v>5.4054054054053946E-2</v>
      </c>
      <c r="AQ69" s="32">
        <v>1.7218052485596229</v>
      </c>
      <c r="AR69" s="32">
        <v>0.29917749999999999</v>
      </c>
      <c r="AS69" s="32">
        <v>1.7181363798643361</v>
      </c>
      <c r="AT69" s="32">
        <v>95.020283069876712</v>
      </c>
      <c r="AU69" s="32">
        <v>0.82810960379702203</v>
      </c>
      <c r="AV69" s="32">
        <v>12.923252864532403</v>
      </c>
      <c r="AW69" s="32">
        <v>479.85579999999999</v>
      </c>
      <c r="AX69" s="32">
        <v>98.283718888888899</v>
      </c>
      <c r="AY69" s="32">
        <v>490.39806666666664</v>
      </c>
      <c r="AZ69" s="32">
        <v>107.07472111111113</v>
      </c>
      <c r="BA69" s="32">
        <v>257.5690271139386</v>
      </c>
      <c r="BB69" s="32">
        <v>240.95739322745015</v>
      </c>
      <c r="BC69" s="32">
        <v>495.32882491162059</v>
      </c>
      <c r="BD69" s="32">
        <v>50.578756633583701</v>
      </c>
      <c r="BE69" s="32">
        <v>-49.232635076979918</v>
      </c>
      <c r="BF69" s="32">
        <v>99.848393819554488</v>
      </c>
      <c r="BG69" s="52"/>
      <c r="BH69" s="52"/>
      <c r="BI69" s="52"/>
      <c r="BJ69" s="52"/>
    </row>
    <row r="70" spans="1:62" s="41" customFormat="1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67"/>
      <c r="K70" s="32">
        <v>0.81372616169832779</v>
      </c>
      <c r="L70" s="32">
        <v>1802.3501378213748</v>
      </c>
      <c r="M70" s="32">
        <v>27.728463658790382</v>
      </c>
      <c r="N70" s="32">
        <v>3.3685114813837878</v>
      </c>
      <c r="O70" s="32">
        <v>1.2342770197357766</v>
      </c>
      <c r="P70" s="32">
        <v>1517.8092831812382</v>
      </c>
      <c r="Q70" s="32">
        <v>23.350912048942128</v>
      </c>
      <c r="R70" s="32">
        <v>5695.9106044908431</v>
      </c>
      <c r="S70" s="32">
        <v>5695.9106044908431</v>
      </c>
      <c r="T70" s="32">
        <v>8217.8503670105583</v>
      </c>
      <c r="U70" s="32">
        <v>908.96407931379792</v>
      </c>
      <c r="V70" s="32">
        <v>917.38695996191598</v>
      </c>
      <c r="W70" s="32">
        <v>9.266461502501544E-3</v>
      </c>
      <c r="X70" s="32">
        <v>3.4101740066950126</v>
      </c>
      <c r="Y70" s="32">
        <v>3.1661353820879086</v>
      </c>
      <c r="Z70" s="32">
        <v>7.7077760473455381E-2</v>
      </c>
      <c r="AA70" s="32">
        <v>774.93141907384438</v>
      </c>
      <c r="AB70" s="32">
        <v>726.14282825037139</v>
      </c>
      <c r="AC70" s="32">
        <v>6.718869749223888E-2</v>
      </c>
      <c r="AD70" s="32">
        <v>0.62128608543667685</v>
      </c>
      <c r="AE70" s="32">
        <v>0.6247696823888792</v>
      </c>
      <c r="AF70" s="32">
        <v>0.6179010406752844</v>
      </c>
      <c r="AG70" s="32">
        <v>0.51052511716081328</v>
      </c>
      <c r="AH70" s="32">
        <v>0.47623775611566288</v>
      </c>
      <c r="AI70" s="32">
        <v>458.50340164031894</v>
      </c>
      <c r="AJ70" s="32">
        <v>427.70986936535502</v>
      </c>
      <c r="AK70" s="32"/>
      <c r="AL70" s="32">
        <v>7.199630983651617E-2</v>
      </c>
      <c r="AM70" s="32">
        <v>1.69</v>
      </c>
      <c r="AN70" s="32">
        <v>1.71</v>
      </c>
      <c r="AO70" s="32">
        <v>1.58</v>
      </c>
      <c r="AP70" s="32">
        <v>8.2278481012658222E-2</v>
      </c>
      <c r="AQ70" s="32">
        <v>-1.3471772757791678</v>
      </c>
      <c r="AR70" s="32">
        <v>0.27540625000000002</v>
      </c>
      <c r="AS70" s="32">
        <v>1.8574616208497114</v>
      </c>
      <c r="AT70" s="32">
        <v>69.36424663728171</v>
      </c>
      <c r="AU70" s="32">
        <v>0.74249425308478545</v>
      </c>
      <c r="AV70" s="32">
        <v>28.002014002796194</v>
      </c>
      <c r="AW70" s="32">
        <v>440.92022222222226</v>
      </c>
      <c r="AX70" s="32">
        <v>81.815981111111114</v>
      </c>
      <c r="AY70" s="32">
        <v>441.74621111111117</v>
      </c>
      <c r="AZ70" s="32">
        <v>90.462839999999986</v>
      </c>
      <c r="BA70" s="32">
        <v>263.96934346123561</v>
      </c>
      <c r="BB70" s="32">
        <v>260.1205660920445</v>
      </c>
      <c r="BC70" s="32">
        <v>516.42764989726129</v>
      </c>
      <c r="BD70" s="32">
        <v>44.814408197913536</v>
      </c>
      <c r="BE70" s="32">
        <v>-41.256555002077278</v>
      </c>
      <c r="BF70" s="32">
        <v>85.150369450499838</v>
      </c>
      <c r="BG70" s="52"/>
      <c r="BH70" s="52"/>
      <c r="BI70" s="52"/>
      <c r="BJ70" s="52"/>
    </row>
    <row r="71" spans="1:62" s="41" customFormat="1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67"/>
      <c r="K71" s="32">
        <v>0.99713389208556502</v>
      </c>
      <c r="L71" s="32">
        <v>1699.6602321801404</v>
      </c>
      <c r="M71" s="32">
        <v>26.557191127814693</v>
      </c>
      <c r="N71" s="32">
        <v>5.3725242838813605</v>
      </c>
      <c r="O71" s="32">
        <v>1.3497829948856479</v>
      </c>
      <c r="P71" s="32">
        <v>2282.866467933809</v>
      </c>
      <c r="Q71" s="32">
        <v>35.669788561465765</v>
      </c>
      <c r="R71" s="32">
        <v>7145.0211293606499</v>
      </c>
      <c r="S71" s="32">
        <v>7145.0211293606499</v>
      </c>
      <c r="T71" s="32">
        <v>11650.412046999634</v>
      </c>
      <c r="U71" s="32">
        <v>897.32916058902913</v>
      </c>
      <c r="V71" s="32">
        <v>871.7042605481405</v>
      </c>
      <c r="W71" s="32">
        <v>2.9396323042834904E-2</v>
      </c>
      <c r="X71" s="32">
        <v>4.4265621649526512</v>
      </c>
      <c r="Y71" s="32">
        <v>5.4106701009512408</v>
      </c>
      <c r="Z71" s="32">
        <v>0.22231878810835948</v>
      </c>
      <c r="AA71" s="32">
        <v>993.02082794302953</v>
      </c>
      <c r="AB71" s="32">
        <v>1179.1260448549085</v>
      </c>
      <c r="AC71" s="32">
        <v>0.18741320592175525</v>
      </c>
      <c r="AD71" s="32">
        <v>0.66038676433177046</v>
      </c>
      <c r="AE71" s="32">
        <v>0.65398270523022017</v>
      </c>
      <c r="AF71" s="32">
        <v>0.6668622935849936</v>
      </c>
      <c r="AG71" s="32">
        <v>0.41480899007680433</v>
      </c>
      <c r="AH71" s="32">
        <v>0.51649558023280717</v>
      </c>
      <c r="AI71" s="32">
        <v>352.0266544826211</v>
      </c>
      <c r="AJ71" s="32">
        <v>438.3227353166821</v>
      </c>
      <c r="AK71" s="32"/>
      <c r="AL71" s="32">
        <v>0.2451407577670266</v>
      </c>
      <c r="AM71" s="32">
        <v>2.69</v>
      </c>
      <c r="AN71" s="32">
        <v>2.21</v>
      </c>
      <c r="AO71" s="32">
        <v>2.71</v>
      </c>
      <c r="AP71" s="32">
        <v>0.2262443438914028</v>
      </c>
      <c r="AQ71" s="32">
        <v>2.8332578863930116</v>
      </c>
      <c r="AR71" s="32">
        <v>0.29114857142857137</v>
      </c>
      <c r="AS71" s="32">
        <v>1.9721528025705033</v>
      </c>
      <c r="AT71" s="32">
        <v>16.344375029703549</v>
      </c>
      <c r="AU71" s="32">
        <v>0.95010044119013304</v>
      </c>
      <c r="AV71" s="32">
        <v>10.373388974195857</v>
      </c>
      <c r="AW71" s="32">
        <v>373.51078999999999</v>
      </c>
      <c r="AX71" s="32">
        <v>78.884784999999994</v>
      </c>
      <c r="AY71" s="32">
        <v>395.66133000000002</v>
      </c>
      <c r="AZ71" s="32">
        <v>81.049942999999999</v>
      </c>
      <c r="BA71" s="32">
        <v>222.63363307058003</v>
      </c>
      <c r="BB71" s="32">
        <v>229.75167176155674</v>
      </c>
      <c r="BC71" s="32">
        <v>448.37918916205865</v>
      </c>
      <c r="BD71" s="32">
        <v>44.386916376458643</v>
      </c>
      <c r="BE71" s="32">
        <v>-42.473163349967614</v>
      </c>
      <c r="BF71" s="32">
        <v>84.611550401356013</v>
      </c>
      <c r="BG71" s="52"/>
      <c r="BH71" s="52"/>
      <c r="BI71" s="52"/>
      <c r="BJ71" s="52"/>
    </row>
    <row r="72" spans="1:62" s="41" customFormat="1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67"/>
      <c r="K72" s="32">
        <v>0.97144796492792596</v>
      </c>
      <c r="L72" s="32">
        <v>1583.7388444563514</v>
      </c>
      <c r="M72" s="32">
        <v>26.395647407605857</v>
      </c>
      <c r="N72" s="32">
        <v>2.936840588703387</v>
      </c>
      <c r="O72" s="32">
        <v>1.1114960412433539</v>
      </c>
      <c r="P72" s="32">
        <v>1162.7971300764032</v>
      </c>
      <c r="Q72" s="32">
        <v>19.379952167940054</v>
      </c>
      <c r="R72" s="32">
        <v>8959.8593319395513</v>
      </c>
      <c r="S72" s="32">
        <v>8959.8593319395513</v>
      </c>
      <c r="T72" s="32">
        <v>13100.348800214266</v>
      </c>
      <c r="U72" s="32">
        <v>808.70542458042394</v>
      </c>
      <c r="V72" s="32">
        <v>804.20753570839383</v>
      </c>
      <c r="W72" s="32">
        <v>5.5929454429546333E-3</v>
      </c>
      <c r="X72" s="32">
        <v>3.0272085761114869</v>
      </c>
      <c r="Y72" s="32">
        <v>2.7040430369005244</v>
      </c>
      <c r="Z72" s="32">
        <v>0.1195119806899918</v>
      </c>
      <c r="AA72" s="32">
        <v>612.02999920943512</v>
      </c>
      <c r="AB72" s="32">
        <v>543.65294678880309</v>
      </c>
      <c r="AC72" s="32">
        <v>0.12577335012072499</v>
      </c>
      <c r="AD72" s="32">
        <v>0.62651716788561462</v>
      </c>
      <c r="AE72" s="32">
        <v>0.62580078678923823</v>
      </c>
      <c r="AF72" s="32">
        <v>0.62753319558960075</v>
      </c>
      <c r="AG72" s="32">
        <v>0.52590667635653587</v>
      </c>
      <c r="AH72" s="32">
        <v>0.46397943407100228</v>
      </c>
      <c r="AI72" s="32">
        <v>416.00140559926149</v>
      </c>
      <c r="AJ72" s="32">
        <v>367.01587072424331</v>
      </c>
      <c r="AK72" s="32"/>
      <c r="AL72" s="32">
        <v>0.13346980003440612</v>
      </c>
      <c r="AM72" s="32">
        <v>1.47</v>
      </c>
      <c r="AN72" s="32">
        <v>1.51</v>
      </c>
      <c r="AO72" s="32">
        <v>1.35</v>
      </c>
      <c r="AP72" s="32">
        <v>0.11851851851851847</v>
      </c>
      <c r="AQ72" s="32">
        <v>-0.80551510856620501</v>
      </c>
      <c r="AR72" s="32">
        <v>0.26797428571428572</v>
      </c>
      <c r="AS72" s="32">
        <v>1.6898250624776878</v>
      </c>
      <c r="AT72" s="32">
        <v>16.651677271276409</v>
      </c>
      <c r="AU72" s="32">
        <v>0.98034545328544653</v>
      </c>
      <c r="AV72" s="32">
        <v>6.812906193486163</v>
      </c>
      <c r="AW72" s="32">
        <v>356.71221428571425</v>
      </c>
      <c r="AX72" s="32">
        <v>106.23003428571428</v>
      </c>
      <c r="AY72" s="32">
        <v>356.3792285714286</v>
      </c>
      <c r="AZ72" s="32">
        <v>110.10732857142857</v>
      </c>
      <c r="BA72" s="32">
        <v>204.97555147826964</v>
      </c>
      <c r="BB72" s="32">
        <v>212.68679526748903</v>
      </c>
      <c r="BC72" s="32">
        <v>416.94265652746014</v>
      </c>
      <c r="BD72" s="32">
        <v>53.573552040165318</v>
      </c>
      <c r="BE72" s="32">
        <v>-62.536797004703217</v>
      </c>
      <c r="BF72" s="32">
        <v>114.98854270083363</v>
      </c>
      <c r="BG72" s="52"/>
      <c r="BH72" s="52"/>
      <c r="BI72" s="52"/>
      <c r="BJ72" s="52"/>
    </row>
    <row r="73" spans="1:62" s="41" customFormat="1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67"/>
      <c r="K73" s="32">
        <v>0.77049763646922531</v>
      </c>
      <c r="L73" s="32">
        <v>1256.6066318454571</v>
      </c>
      <c r="M73" s="32">
        <v>24.165512150874175</v>
      </c>
      <c r="N73" s="32">
        <v>4.2225432916573302</v>
      </c>
      <c r="O73" s="32">
        <v>1.145078121062983</v>
      </c>
      <c r="P73" s="32">
        <v>1326.5189758877868</v>
      </c>
      <c r="Q73" s="32">
        <v>25.509980305534363</v>
      </c>
      <c r="R73" s="32">
        <v>3100.7252496761866</v>
      </c>
      <c r="S73" s="32">
        <v>3100.7252496761866</v>
      </c>
      <c r="T73" s="32">
        <v>4718.1812566399822</v>
      </c>
      <c r="U73" s="32">
        <v>564.62677739472406</v>
      </c>
      <c r="V73" s="32">
        <v>655.67224351210575</v>
      </c>
      <c r="W73" s="32">
        <v>0.16124893427385723</v>
      </c>
      <c r="X73" s="32">
        <v>5.8060764022608495</v>
      </c>
      <c r="Y73" s="32">
        <v>4.0770127845058042</v>
      </c>
      <c r="Z73" s="32">
        <v>0.42410061217520423</v>
      </c>
      <c r="AA73" s="32">
        <v>819.56655207902429</v>
      </c>
      <c r="AB73" s="32">
        <v>668.29602981111452</v>
      </c>
      <c r="AC73" s="32">
        <v>0.22635256760490474</v>
      </c>
      <c r="AD73" s="32">
        <v>0.59762548758884482</v>
      </c>
      <c r="AE73" s="32">
        <v>0.60021346980619528</v>
      </c>
      <c r="AF73" s="32">
        <v>0.59552742042320628</v>
      </c>
      <c r="AG73" s="32">
        <v>0.57172714189164298</v>
      </c>
      <c r="AH73" s="32">
        <v>0.50317731612428684</v>
      </c>
      <c r="AI73" s="32">
        <v>359.43442067014519</v>
      </c>
      <c r="AJ73" s="32">
        <v>316.33839617460217</v>
      </c>
      <c r="AK73" s="32"/>
      <c r="AL73" s="32">
        <v>0.13623393497815006</v>
      </c>
      <c r="AM73" s="32">
        <v>2.11</v>
      </c>
      <c r="AN73" s="32">
        <v>2.9</v>
      </c>
      <c r="AO73" s="32">
        <v>2.04</v>
      </c>
      <c r="AP73" s="32">
        <v>0.42156862745098023</v>
      </c>
      <c r="AQ73" s="32">
        <v>2.118088813608499</v>
      </c>
      <c r="AR73" s="32">
        <v>0.30217166666666667</v>
      </c>
      <c r="AS73" s="32">
        <v>1.8465071998096008</v>
      </c>
      <c r="AT73" s="32">
        <v>58.161870700522527</v>
      </c>
      <c r="AU73" s="32">
        <v>0.75118219448527068</v>
      </c>
      <c r="AV73" s="32">
        <v>9.0502376291932105</v>
      </c>
      <c r="AW73" s="32">
        <v>340.30016666666666</v>
      </c>
      <c r="AX73" s="32">
        <v>141.4133333333333</v>
      </c>
      <c r="AY73" s="32">
        <v>340.36930000000001</v>
      </c>
      <c r="AZ73" s="32">
        <v>128.74776666666668</v>
      </c>
      <c r="BA73" s="32">
        <v>187.60102831504003</v>
      </c>
      <c r="BB73" s="32">
        <v>184.77972467885326</v>
      </c>
      <c r="BC73" s="32">
        <v>367.23884086177452</v>
      </c>
      <c r="BD73" s="32">
        <v>73.118939719627406</v>
      </c>
      <c r="BE73" s="32">
        <v>-62.603961326573845</v>
      </c>
      <c r="BF73" s="32">
        <v>133.25197875898886</v>
      </c>
      <c r="BG73" s="52"/>
      <c r="BH73" s="52"/>
      <c r="BI73" s="52"/>
      <c r="BJ73" s="52"/>
    </row>
    <row r="74" spans="1:62" s="41" customFormat="1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67"/>
      <c r="K74" s="32">
        <v>0.83866214319170462</v>
      </c>
      <c r="L74" s="32">
        <v>1462.8923248770025</v>
      </c>
      <c r="M74" s="32">
        <v>21.834213804134365</v>
      </c>
      <c r="N74" s="32">
        <v>4.3436744709805151</v>
      </c>
      <c r="O74" s="32">
        <v>1.2565492830811604</v>
      </c>
      <c r="P74" s="32">
        <v>1588.5820113403925</v>
      </c>
      <c r="Q74" s="32">
        <v>23.7101792737372</v>
      </c>
      <c r="R74" s="32">
        <v>4886.3014415464495</v>
      </c>
      <c r="S74" s="32">
        <v>4886.3014415464495</v>
      </c>
      <c r="T74" s="32">
        <v>7395.4969869914376</v>
      </c>
      <c r="U74" s="32">
        <v>755.12488414953441</v>
      </c>
      <c r="V74" s="32">
        <v>721.89966418022823</v>
      </c>
      <c r="W74" s="32">
        <v>4.6024706227057122E-2</v>
      </c>
      <c r="X74" s="32">
        <v>4.271172948443513</v>
      </c>
      <c r="Y74" s="32">
        <v>4.2886338455005362</v>
      </c>
      <c r="Z74" s="32">
        <v>4.0880800819329544E-3</v>
      </c>
      <c r="AA74" s="32">
        <v>806.3172444690083</v>
      </c>
      <c r="AB74" s="32">
        <v>773.99083321469948</v>
      </c>
      <c r="AC74" s="32">
        <v>4.1765883867182385E-2</v>
      </c>
      <c r="AD74" s="32">
        <v>0.63711653120496947</v>
      </c>
      <c r="AE74" s="32">
        <v>0.6319224479851826</v>
      </c>
      <c r="AF74" s="32">
        <v>0.64304145301698323</v>
      </c>
      <c r="AG74" s="32">
        <v>0.50743898526732201</v>
      </c>
      <c r="AH74" s="32">
        <v>0.48715165380654546</v>
      </c>
      <c r="AI74" s="32">
        <v>371.47827971933202</v>
      </c>
      <c r="AJ74" s="32">
        <v>356.62663605388724</v>
      </c>
      <c r="AK74" s="32"/>
      <c r="AL74" s="32">
        <v>4.1644796445323928E-2</v>
      </c>
      <c r="AM74" s="32">
        <v>2.17</v>
      </c>
      <c r="AN74" s="32">
        <v>2.14</v>
      </c>
      <c r="AO74" s="32">
        <v>2.14</v>
      </c>
      <c r="AP74" s="32">
        <v>0</v>
      </c>
      <c r="AQ74" s="32">
        <v>-4.6846372225338007</v>
      </c>
      <c r="AR74" s="32">
        <v>0.32201999999999997</v>
      </c>
      <c r="AS74" s="32">
        <v>1.8482288071720356</v>
      </c>
      <c r="AT74" s="32">
        <v>34.941277882970411</v>
      </c>
      <c r="AU74" s="32">
        <v>0.79394296704918388</v>
      </c>
      <c r="AV74" s="32">
        <v>19.870807940958787</v>
      </c>
      <c r="AW74" s="32">
        <v>257.0185222222222</v>
      </c>
      <c r="AX74" s="32">
        <v>142.68075555555555</v>
      </c>
      <c r="AY74" s="32">
        <v>309.17914444444449</v>
      </c>
      <c r="AZ74" s="32">
        <v>125.86066333333332</v>
      </c>
      <c r="BA74" s="32">
        <v>169.06538015783156</v>
      </c>
      <c r="BB74" s="32">
        <v>202.72988773814757</v>
      </c>
      <c r="BC74" s="32">
        <v>369.93902825265644</v>
      </c>
      <c r="BD74" s="32">
        <v>81.783187535635463</v>
      </c>
      <c r="BE74" s="32">
        <v>-69.17725071992794</v>
      </c>
      <c r="BF74" s="32">
        <v>149.03399781502489</v>
      </c>
      <c r="BG74" s="52"/>
      <c r="BH74" s="52"/>
      <c r="BI74" s="52"/>
      <c r="BJ74" s="52"/>
    </row>
    <row r="75" spans="1:62" s="41" customFormat="1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67"/>
      <c r="K75" s="32">
        <v>0.8092857137650904</v>
      </c>
      <c r="L75" s="32">
        <v>2250.8062735965464</v>
      </c>
      <c r="M75" s="32">
        <v>28.13507841995683</v>
      </c>
      <c r="N75" s="32">
        <v>2.9758611078445005</v>
      </c>
      <c r="O75" s="32">
        <v>1.2444792903872648</v>
      </c>
      <c r="P75" s="32">
        <v>1674.5217127220926</v>
      </c>
      <c r="Q75" s="32">
        <v>20.931521409026157</v>
      </c>
      <c r="R75" s="32">
        <v>3149.3505230330975</v>
      </c>
      <c r="S75" s="32">
        <v>3149.3505230330975</v>
      </c>
      <c r="T75" s="32">
        <v>5086.4121021758438</v>
      </c>
      <c r="U75" s="32">
        <v>1111.2028906971564</v>
      </c>
      <c r="V75" s="32">
        <v>1129.6093679277742</v>
      </c>
      <c r="W75" s="32">
        <v>1.6564461256098673E-2</v>
      </c>
      <c r="X75" s="32">
        <v>2.8864559678878643</v>
      </c>
      <c r="Y75" s="32">
        <v>3.2647156117455172</v>
      </c>
      <c r="Z75" s="32">
        <v>0.1310463932468855</v>
      </c>
      <c r="AA75" s="32">
        <v>801.85955384676333</v>
      </c>
      <c r="AB75" s="32">
        <v>921.96333466194756</v>
      </c>
      <c r="AC75" s="32">
        <v>0.14978156740667359</v>
      </c>
      <c r="AD75" s="32">
        <v>0.60032032255662016</v>
      </c>
      <c r="AE75" s="32">
        <v>0.61553134793644593</v>
      </c>
      <c r="AF75" s="32">
        <v>0.58755690084480205</v>
      </c>
      <c r="AG75" s="32">
        <v>0.47835684996674854</v>
      </c>
      <c r="AH75" s="32">
        <v>0.54639664542113409</v>
      </c>
      <c r="AI75" s="32">
        <v>537.59555853670793</v>
      </c>
      <c r="AJ75" s="32">
        <v>614.06125949315151</v>
      </c>
      <c r="AK75" s="32"/>
      <c r="AL75" s="32">
        <v>0.14223648194672056</v>
      </c>
      <c r="AM75" s="32">
        <v>1.49</v>
      </c>
      <c r="AN75" s="32">
        <v>1.44</v>
      </c>
      <c r="AO75" s="32">
        <v>1.6300000000000001</v>
      </c>
      <c r="AP75" s="32">
        <v>0.13194444444444464</v>
      </c>
      <c r="AQ75" s="32">
        <v>9.7986964199984072</v>
      </c>
      <c r="AR75" s="32">
        <v>0.28480374999999997</v>
      </c>
      <c r="AS75" s="32">
        <v>1.9185647982863236</v>
      </c>
      <c r="AT75" s="32">
        <v>60.287361187558247</v>
      </c>
      <c r="AU75" s="32">
        <v>0.74172274148329809</v>
      </c>
      <c r="AV75" s="32">
        <v>37.305501263691227</v>
      </c>
      <c r="AW75" s="32">
        <v>584.86432500000001</v>
      </c>
      <c r="AX75" s="32">
        <v>154.55015</v>
      </c>
      <c r="AY75" s="32">
        <v>522.27923750000002</v>
      </c>
      <c r="AZ75" s="32">
        <v>87.074482500000002</v>
      </c>
      <c r="BA75" s="32">
        <v>316.28106756747832</v>
      </c>
      <c r="BB75" s="32">
        <v>299.39534025387081</v>
      </c>
      <c r="BC75" s="32">
        <v>610.21535890808696</v>
      </c>
      <c r="BD75" s="32">
        <v>73.056248732361908</v>
      </c>
      <c r="BE75" s="32">
        <v>-37.507198590230949</v>
      </c>
      <c r="BF75" s="32">
        <v>108.75695039041418</v>
      </c>
      <c r="BG75" s="52"/>
      <c r="BH75" s="52"/>
      <c r="BI75" s="52"/>
      <c r="BJ75" s="52"/>
    </row>
    <row r="76" spans="1:62" s="41" customFormat="1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67"/>
      <c r="K76" s="32">
        <v>0.75964033915419604</v>
      </c>
      <c r="L76" s="32">
        <v>1525.8794114658683</v>
      </c>
      <c r="M76" s="32">
        <v>24.811047340908427</v>
      </c>
      <c r="N76" s="32">
        <v>3.0454525159212644</v>
      </c>
      <c r="O76" s="32">
        <v>1.0808148228634693</v>
      </c>
      <c r="P76" s="32">
        <v>1161.7483231602966</v>
      </c>
      <c r="Q76" s="32">
        <v>18.89021663675279</v>
      </c>
      <c r="R76" s="32">
        <v>804.93956090222855</v>
      </c>
      <c r="S76" s="32">
        <v>804.93956090222855</v>
      </c>
      <c r="T76" s="32">
        <v>1222.79067448455</v>
      </c>
      <c r="U76" s="32">
        <v>797.6207798807643</v>
      </c>
      <c r="V76" s="32">
        <v>762.08246700738653</v>
      </c>
      <c r="W76" s="32">
        <v>4.6633159024026316E-2</v>
      </c>
      <c r="X76" s="32">
        <v>3.4948032190109992</v>
      </c>
      <c r="Y76" s="32">
        <v>2.6256459138634041</v>
      </c>
      <c r="Z76" s="32">
        <v>0.33102609173554076</v>
      </c>
      <c r="AA76" s="32">
        <v>696.88191726933974</v>
      </c>
      <c r="AB76" s="32">
        <v>500.23967888122172</v>
      </c>
      <c r="AC76" s="32">
        <v>0.39309604313657265</v>
      </c>
      <c r="AD76" s="32">
        <v>0.63871705933427492</v>
      </c>
      <c r="AE76" s="32">
        <v>0.62977427719498913</v>
      </c>
      <c r="AF76" s="32">
        <v>0.65038754789287911</v>
      </c>
      <c r="AG76" s="32">
        <v>0.58969912721170048</v>
      </c>
      <c r="AH76" s="32">
        <v>0.4198699592040156</v>
      </c>
      <c r="AI76" s="32">
        <v>450.71037908233069</v>
      </c>
      <c r="AJ76" s="32">
        <v>320.90898518523329</v>
      </c>
      <c r="AK76" s="32"/>
      <c r="AL76" s="32">
        <v>0.40448039752509324</v>
      </c>
      <c r="AM76" s="32">
        <v>1.52</v>
      </c>
      <c r="AN76" s="32">
        <v>1.75</v>
      </c>
      <c r="AO76" s="32">
        <v>1.31</v>
      </c>
      <c r="AP76" s="32">
        <v>0.33587786259541974</v>
      </c>
      <c r="AQ76" s="32">
        <v>-14.24557928476195</v>
      </c>
      <c r="AR76" s="32">
        <v>0.28209166666666668</v>
      </c>
      <c r="AS76" s="32">
        <v>1.5952635963346511</v>
      </c>
      <c r="AT76" s="32">
        <v>72.66572593682784</v>
      </c>
      <c r="AU76" s="32">
        <v>0.3314031336916079</v>
      </c>
      <c r="AV76" s="32">
        <v>40.531039335245381</v>
      </c>
      <c r="AW76" s="32">
        <v>324.59342222222222</v>
      </c>
      <c r="AX76" s="32">
        <v>71.399046666666663</v>
      </c>
      <c r="AY76" s="32">
        <v>422.99579999999997</v>
      </c>
      <c r="AZ76" s="32">
        <v>81.358164444444441</v>
      </c>
      <c r="BA76" s="32">
        <v>174.92585849640324</v>
      </c>
      <c r="BB76" s="32">
        <v>219.76778633914694</v>
      </c>
      <c r="BC76" s="32">
        <v>388.00409582878336</v>
      </c>
      <c r="BD76" s="32">
        <v>20.914248199433398</v>
      </c>
      <c r="BE76" s="32">
        <v>-29.908826043618951</v>
      </c>
      <c r="BF76" s="32">
        <v>54.340786450043211</v>
      </c>
      <c r="BG76" s="52"/>
      <c r="BH76" s="52"/>
      <c r="BI76" s="52"/>
      <c r="BJ76" s="52"/>
    </row>
    <row r="77" spans="1:62" s="41" customFormat="1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67"/>
      <c r="K77" s="32">
        <v>0.8896083081001912</v>
      </c>
      <c r="L77" s="32">
        <v>2885.5552877384703</v>
      </c>
      <c r="M77" s="32">
        <v>28.569854334044258</v>
      </c>
      <c r="N77" s="32">
        <v>2.5171345308978386</v>
      </c>
      <c r="O77" s="32">
        <v>1.3264768545183727</v>
      </c>
      <c r="P77" s="32">
        <v>1815.832713895338</v>
      </c>
      <c r="Q77" s="32">
        <v>17.978541721736018</v>
      </c>
      <c r="R77" s="32">
        <v>2230.17634180593</v>
      </c>
      <c r="S77" s="32">
        <v>2230.17634180593</v>
      </c>
      <c r="T77" s="32">
        <v>3191.8608134834967</v>
      </c>
      <c r="U77" s="32">
        <v>1307.3565310389708</v>
      </c>
      <c r="V77" s="32">
        <v>1589.2459529570417</v>
      </c>
      <c r="W77" s="32">
        <v>0.21561786339496103</v>
      </c>
      <c r="X77" s="32">
        <v>2.584395129653152</v>
      </c>
      <c r="Y77" s="32">
        <v>2.4990604370844407</v>
      </c>
      <c r="Z77" s="32">
        <v>3.4146710220529064E-2</v>
      </c>
      <c r="AA77" s="32">
        <v>844.681462884339</v>
      </c>
      <c r="AB77" s="32">
        <v>992.90542145787583</v>
      </c>
      <c r="AC77" s="32">
        <v>0.17547911856310372</v>
      </c>
      <c r="AD77" s="32">
        <v>0.62439287750482075</v>
      </c>
      <c r="AE77" s="32">
        <v>0.63307783307525856</v>
      </c>
      <c r="AF77" s="32">
        <v>0.61758206610259403</v>
      </c>
      <c r="AG77" s="32">
        <v>0.46488761219719482</v>
      </c>
      <c r="AH77" s="32">
        <v>0.54676677613576241</v>
      </c>
      <c r="AI77" s="32">
        <v>669.96590519833899</v>
      </c>
      <c r="AJ77" s="32">
        <v>787.9648510633815</v>
      </c>
      <c r="AK77" s="32"/>
      <c r="AL77" s="32">
        <v>0.17612679234790263</v>
      </c>
      <c r="AM77" s="32">
        <v>1.26</v>
      </c>
      <c r="AN77" s="32">
        <v>1.29</v>
      </c>
      <c r="AO77" s="32">
        <v>1.25</v>
      </c>
      <c r="AP77" s="32">
        <v>3.2000000000000028E-2</v>
      </c>
      <c r="AQ77" s="32">
        <v>11.167361711745075</v>
      </c>
      <c r="AR77" s="32">
        <v>0.40221625</v>
      </c>
      <c r="AS77" s="32">
        <v>2.2387004641199466</v>
      </c>
      <c r="AT77" s="32">
        <v>74.75519981698578</v>
      </c>
      <c r="AU77" s="32">
        <v>0.84486608778594574</v>
      </c>
      <c r="AV77" s="32">
        <v>40.117955120343161</v>
      </c>
      <c r="AW77" s="32">
        <v>586.34103749999997</v>
      </c>
      <c r="AX77" s="32">
        <v>180.42489999999998</v>
      </c>
      <c r="AY77" s="32">
        <v>491.61501249999998</v>
      </c>
      <c r="AZ77" s="32">
        <v>144.42873875000001</v>
      </c>
      <c r="BA77" s="32">
        <v>318.02285583288062</v>
      </c>
      <c r="BB77" s="32">
        <v>257.30078281857675</v>
      </c>
      <c r="BC77" s="32">
        <v>576.87297944921454</v>
      </c>
      <c r="BD77" s="32">
        <v>92.769162751368413</v>
      </c>
      <c r="BE77" s="32">
        <v>-66.177191396010841</v>
      </c>
      <c r="BF77" s="32">
        <v>157.63249856085949</v>
      </c>
      <c r="BG77" s="52"/>
      <c r="BH77" s="52"/>
      <c r="BI77" s="52"/>
      <c r="BJ77" s="52"/>
    </row>
    <row r="78" spans="1:62" s="41" customFormat="1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67"/>
      <c r="K78" s="32">
        <v>0.93073937754487956</v>
      </c>
      <c r="L78" s="32">
        <v>1596.410863742856</v>
      </c>
      <c r="M78" s="32">
        <v>15.499134599445204</v>
      </c>
      <c r="N78" s="32">
        <v>6.1100716687548982</v>
      </c>
      <c r="O78" s="32">
        <v>1.3443103083372701</v>
      </c>
      <c r="P78" s="32">
        <v>2438.5461975619401</v>
      </c>
      <c r="Q78" s="32">
        <v>23.675205801572233</v>
      </c>
      <c r="R78" s="32">
        <v>1132.2210687937136</v>
      </c>
      <c r="S78" s="32">
        <v>1132.2210687937136</v>
      </c>
      <c r="T78" s="32">
        <v>1676.653822902505</v>
      </c>
      <c r="U78" s="32">
        <v>762.21153051725275</v>
      </c>
      <c r="V78" s="32">
        <v>823.92372254199893</v>
      </c>
      <c r="W78" s="32">
        <v>8.0964652926290626E-2</v>
      </c>
      <c r="X78" s="32">
        <v>7.4869156845573004</v>
      </c>
      <c r="Y78" s="32">
        <v>5.6160978709411893</v>
      </c>
      <c r="Z78" s="32">
        <v>0.33311702477552885</v>
      </c>
      <c r="AA78" s="32">
        <v>1426.6533656950112</v>
      </c>
      <c r="AB78" s="32">
        <v>1156.8090659965148</v>
      </c>
      <c r="AC78" s="32">
        <v>0.23326606579283959</v>
      </c>
      <c r="AD78" s="32">
        <v>0.71963126092831164</v>
      </c>
      <c r="AE78" s="32">
        <v>0.73648076891764824</v>
      </c>
      <c r="AF78" s="32">
        <v>0.70502149555065952</v>
      </c>
      <c r="AG78" s="32">
        <v>0.56554270941144424</v>
      </c>
      <c r="AH78" s="32">
        <v>0.4705669309521483</v>
      </c>
      <c r="AI78" s="32">
        <v>450.68574584819436</v>
      </c>
      <c r="AJ78" s="32">
        <v>374.99874849128969</v>
      </c>
      <c r="AK78" s="32"/>
      <c r="AL78" s="32">
        <v>0.20183266653931975</v>
      </c>
      <c r="AM78" s="32">
        <v>3.06</v>
      </c>
      <c r="AN78" s="32">
        <v>3.75</v>
      </c>
      <c r="AO78" s="32">
        <v>2.81</v>
      </c>
      <c r="AP78" s="32">
        <v>0.33451957295373669</v>
      </c>
      <c r="AQ78" s="32">
        <v>8.2599379838621356</v>
      </c>
      <c r="AR78" s="32">
        <v>0.43972571428571428</v>
      </c>
      <c r="AS78" s="32">
        <v>1.8444841128168512</v>
      </c>
      <c r="AT78" s="32">
        <v>56.152001158937765</v>
      </c>
      <c r="AU78" s="32">
        <v>0.66635349848631065</v>
      </c>
      <c r="AV78" s="32">
        <v>20.654148627345467</v>
      </c>
      <c r="AW78" s="32">
        <v>327.07236</v>
      </c>
      <c r="AX78" s="32">
        <v>132.12832</v>
      </c>
      <c r="AY78" s="32">
        <v>260.29290999999995</v>
      </c>
      <c r="AZ78" s="32">
        <v>111.73589000000001</v>
      </c>
      <c r="BA78" s="32">
        <v>119.40804847653089</v>
      </c>
      <c r="BB78" s="32">
        <v>103.54324540994483</v>
      </c>
      <c r="BC78" s="32">
        <v>256.22745274767124</v>
      </c>
      <c r="BD78" s="32">
        <v>78.470185737960179</v>
      </c>
      <c r="BE78" s="32">
        <v>-66.766127453900225</v>
      </c>
      <c r="BF78" s="32">
        <v>142.64575265638612</v>
      </c>
      <c r="BG78" s="52"/>
      <c r="BH78" s="52"/>
      <c r="BI78" s="52"/>
      <c r="BJ78" s="52"/>
    </row>
    <row r="79" spans="1:62" s="41" customFormat="1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67"/>
      <c r="K79" s="32">
        <v>0.78462200099429913</v>
      </c>
      <c r="L79" s="32">
        <v>2023.3039793261535</v>
      </c>
      <c r="M79" s="32">
        <v>28.904342561802192</v>
      </c>
      <c r="N79" s="32">
        <v>2.1861215123196338</v>
      </c>
      <c r="O79" s="32">
        <v>1.0795284326258294</v>
      </c>
      <c r="P79" s="32">
        <v>1105.7970887917058</v>
      </c>
      <c r="Q79" s="32">
        <v>15.797101268452941</v>
      </c>
      <c r="R79" s="32">
        <v>2562.8309426561709</v>
      </c>
      <c r="S79" s="32">
        <v>2562.8309426561709</v>
      </c>
      <c r="T79" s="32">
        <v>3712.5620033447667</v>
      </c>
      <c r="U79" s="32">
        <v>1163.2055295391697</v>
      </c>
      <c r="V79" s="32">
        <v>1136.0079806145191</v>
      </c>
      <c r="W79" s="32">
        <v>2.3941336142672354E-2</v>
      </c>
      <c r="X79" s="32">
        <v>2.0960326201678403</v>
      </c>
      <c r="Y79" s="32">
        <v>1.8429901880247725</v>
      </c>
      <c r="Z79" s="32">
        <v>0.13729993452339873</v>
      </c>
      <c r="AA79" s="32">
        <v>609.52918346842648</v>
      </c>
      <c r="AB79" s="32">
        <v>523.41289044759867</v>
      </c>
      <c r="AC79" s="32">
        <v>0.16452841455086276</v>
      </c>
      <c r="AD79" s="32">
        <v>0.64175206167708831</v>
      </c>
      <c r="AE79" s="32">
        <v>0.64239516810145414</v>
      </c>
      <c r="AF79" s="32">
        <v>0.64246814658317097</v>
      </c>
      <c r="AG79" s="32">
        <v>0.55033222584134267</v>
      </c>
      <c r="AH79" s="32">
        <v>0.45751162896090503</v>
      </c>
      <c r="AI79" s="32">
        <v>558.30367114339333</v>
      </c>
      <c r="AJ79" s="32">
        <v>464.1385876488838</v>
      </c>
      <c r="AK79" s="32"/>
      <c r="AL79" s="32">
        <v>0.20288139361889135</v>
      </c>
      <c r="AM79" s="32">
        <v>1.0900000000000001</v>
      </c>
      <c r="AN79" s="32">
        <v>1.05</v>
      </c>
      <c r="AO79" s="32">
        <v>0.92</v>
      </c>
      <c r="AP79" s="32">
        <v>0.14130434782608692</v>
      </c>
      <c r="AQ79" s="32">
        <v>-6.1053854862319206</v>
      </c>
      <c r="AR79" s="32">
        <v>0.27368875000000004</v>
      </c>
      <c r="AS79" s="32">
        <v>1.6996429846483487</v>
      </c>
      <c r="AT79" s="32">
        <v>96.085782595932088</v>
      </c>
      <c r="AU79" s="32">
        <v>0.6834386712153212</v>
      </c>
      <c r="AV79" s="32">
        <v>47.776897965223199</v>
      </c>
      <c r="AW79" s="32">
        <v>364.81447777777777</v>
      </c>
      <c r="AX79" s="32">
        <v>131.63667999999998</v>
      </c>
      <c r="AY79" s="32">
        <v>404.53525555555552</v>
      </c>
      <c r="AZ79" s="32">
        <v>101.76338333333335</v>
      </c>
      <c r="BA79" s="32">
        <v>179.17103095521139</v>
      </c>
      <c r="BB79" s="32">
        <v>212.67496658841105</v>
      </c>
      <c r="BC79" s="32">
        <v>380.52959686678946</v>
      </c>
      <c r="BD79" s="32">
        <v>46.577711685537196</v>
      </c>
      <c r="BE79" s="32">
        <v>-45.37450598574295</v>
      </c>
      <c r="BF79" s="32">
        <v>90.852088897317969</v>
      </c>
      <c r="BG79" s="52"/>
      <c r="BH79" s="52"/>
      <c r="BI79" s="52"/>
      <c r="BJ79" s="52"/>
    </row>
    <row r="80" spans="1:62" s="41" customFormat="1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67"/>
      <c r="K80" s="32">
        <v>0.82846288572952087</v>
      </c>
      <c r="L80" s="32">
        <v>2258.7882016652679</v>
      </c>
      <c r="M80" s="32">
        <v>20.722827538213469</v>
      </c>
      <c r="N80" s="32">
        <v>3.9943001110308232</v>
      </c>
      <c r="O80" s="32">
        <v>1.4357136602156915</v>
      </c>
      <c r="P80" s="32">
        <v>2255.5694911766732</v>
      </c>
      <c r="Q80" s="32">
        <v>20.693298084189664</v>
      </c>
      <c r="R80" s="32">
        <v>4903.5867638020673</v>
      </c>
      <c r="S80" s="32">
        <v>4903.5867638020673</v>
      </c>
      <c r="T80" s="32">
        <v>7556.0624533255104</v>
      </c>
      <c r="U80" s="32">
        <v>1051.3306091750603</v>
      </c>
      <c r="V80" s="32">
        <v>1239.8430729789166</v>
      </c>
      <c r="W80" s="32">
        <v>0.17930845174552168</v>
      </c>
      <c r="X80" s="32">
        <v>4.4559078126443161</v>
      </c>
      <c r="Y80" s="32">
        <v>3.5845365050722542</v>
      </c>
      <c r="Z80" s="32">
        <v>0.24309176551530132</v>
      </c>
      <c r="AA80" s="32">
        <v>1171.1580687738149</v>
      </c>
      <c r="AB80" s="32">
        <v>1111.0656889134723</v>
      </c>
      <c r="AC80" s="32">
        <v>5.4085352882337512E-2</v>
      </c>
      <c r="AD80" s="32">
        <v>0.63294377242381361</v>
      </c>
      <c r="AE80" s="32">
        <v>0.64104220838383452</v>
      </c>
      <c r="AF80" s="32">
        <v>0.62586161836589926</v>
      </c>
      <c r="AG80" s="32">
        <v>0.51379496111447809</v>
      </c>
      <c r="AH80" s="32">
        <v>0.48597130878652817</v>
      </c>
      <c r="AI80" s="32">
        <v>579.44893954457564</v>
      </c>
      <c r="AJ80" s="32">
        <v>548.06991278122189</v>
      </c>
      <c r="AK80" s="32"/>
      <c r="AL80" s="32">
        <v>5.7253693427757213E-2</v>
      </c>
      <c r="AM80" s="32">
        <v>2</v>
      </c>
      <c r="AN80" s="32">
        <v>2.23</v>
      </c>
      <c r="AO80" s="32">
        <v>1.79</v>
      </c>
      <c r="AP80" s="32">
        <v>0.24581005586592175</v>
      </c>
      <c r="AQ80" s="32">
        <v>10.495152641344811</v>
      </c>
      <c r="AR80" s="32">
        <v>0.38304250000000001</v>
      </c>
      <c r="AS80" s="32">
        <v>2.0506426276330072</v>
      </c>
      <c r="AT80" s="32">
        <v>69.173930923889813</v>
      </c>
      <c r="AU80" s="32">
        <v>0.74406459752953324</v>
      </c>
      <c r="AV80" s="32">
        <v>37.197538090365079</v>
      </c>
      <c r="AW80" s="32">
        <v>606.23630000000003</v>
      </c>
      <c r="AX80" s="32">
        <v>139.17264999999998</v>
      </c>
      <c r="AY80" s="32">
        <v>523.10113749999994</v>
      </c>
      <c r="AZ80" s="32">
        <v>106.04885499999999</v>
      </c>
      <c r="BA80" s="32">
        <v>330.5996903594164</v>
      </c>
      <c r="BB80" s="32">
        <v>290.8718054144432</v>
      </c>
      <c r="BC80" s="32">
        <v>621.77856903508746</v>
      </c>
      <c r="BD80" s="32">
        <v>62.79879899269995</v>
      </c>
      <c r="BE80" s="32">
        <v>-47.902686166344914</v>
      </c>
      <c r="BF80" s="32">
        <v>109.35418215744208</v>
      </c>
      <c r="BG80" s="52"/>
      <c r="BH80" s="52"/>
      <c r="BI80" s="52"/>
      <c r="BJ80" s="52"/>
    </row>
    <row r="81" spans="1:62" s="41" customFormat="1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67"/>
      <c r="K81" s="32">
        <v>0.84436549271756389</v>
      </c>
      <c r="L81" s="32">
        <v>2159.2378803103024</v>
      </c>
      <c r="M81" s="32">
        <v>27.861133939487772</v>
      </c>
      <c r="N81" s="32">
        <v>2.504421899762463</v>
      </c>
      <c r="O81" s="32">
        <v>1.2039227480402672</v>
      </c>
      <c r="P81" s="32">
        <v>1351.9106585614504</v>
      </c>
      <c r="Q81" s="32">
        <v>17.444008497567101</v>
      </c>
      <c r="R81" s="32">
        <v>4279.1720362281676</v>
      </c>
      <c r="S81" s="32">
        <v>4279.1720362281676</v>
      </c>
      <c r="T81" s="32">
        <v>6228.7359063251643</v>
      </c>
      <c r="U81" s="32">
        <v>1078.948613321048</v>
      </c>
      <c r="V81" s="32">
        <v>1088.3054383007777</v>
      </c>
      <c r="W81" s="32">
        <v>8.6721692434721387E-3</v>
      </c>
      <c r="X81" s="32">
        <v>2.3507736169380151</v>
      </c>
      <c r="Y81" s="32">
        <v>2.7897636752119226</v>
      </c>
      <c r="Z81" s="32">
        <v>0.18674280462859327</v>
      </c>
      <c r="AA81" s="32">
        <v>634.09098355674394</v>
      </c>
      <c r="AB81" s="32">
        <v>759.02874482677498</v>
      </c>
      <c r="AC81" s="32">
        <v>0.19703443907880547</v>
      </c>
      <c r="AD81" s="32">
        <v>0.6396599028723815</v>
      </c>
      <c r="AE81" s="32">
        <v>0.65418067869458441</v>
      </c>
      <c r="AF81" s="32">
        <v>0.62774546023487365</v>
      </c>
      <c r="AG81" s="32">
        <v>0.46714460766766536</v>
      </c>
      <c r="AH81" s="32">
        <v>0.55539354637440208</v>
      </c>
      <c r="AI81" s="32">
        <v>505.22864431440587</v>
      </c>
      <c r="AJ81" s="32">
        <v>600.67209144653862</v>
      </c>
      <c r="AK81" s="32"/>
      <c r="AL81" s="32">
        <v>0.1889113932992641</v>
      </c>
      <c r="AM81" s="32">
        <v>1.25</v>
      </c>
      <c r="AN81" s="32">
        <v>1.17</v>
      </c>
      <c r="AO81" s="32">
        <v>1.3900000000000001</v>
      </c>
      <c r="AP81" s="32">
        <v>0.18803418803418825</v>
      </c>
      <c r="AQ81" s="32">
        <v>10.508761120750618</v>
      </c>
      <c r="AR81" s="32">
        <v>0.33286142857142853</v>
      </c>
      <c r="AS81" s="32">
        <v>1.8701892181363899</v>
      </c>
      <c r="AT81" s="32">
        <v>98.251115015659607</v>
      </c>
      <c r="AU81" s="32">
        <v>0.77193596793305397</v>
      </c>
      <c r="AV81" s="32">
        <v>38.976506683921443</v>
      </c>
      <c r="AW81" s="32">
        <v>466.26343750000001</v>
      </c>
      <c r="AX81" s="32">
        <v>104.73633749999999</v>
      </c>
      <c r="AY81" s="32">
        <v>371.37239999999997</v>
      </c>
      <c r="AZ81" s="32">
        <v>81.079129999999992</v>
      </c>
      <c r="BA81" s="32">
        <v>265.44112099543946</v>
      </c>
      <c r="BB81" s="32">
        <v>219.9126465282682</v>
      </c>
      <c r="BC81" s="32">
        <v>486.45969219382653</v>
      </c>
      <c r="BD81" s="32">
        <v>41.286454864604977</v>
      </c>
      <c r="BE81" s="32">
        <v>-28.681904695894936</v>
      </c>
      <c r="BF81" s="32">
        <v>72.355504442495501</v>
      </c>
      <c r="BG81" s="52"/>
      <c r="BH81" s="52"/>
      <c r="BI81" s="52"/>
      <c r="BJ81" s="52"/>
    </row>
    <row r="82" spans="1:62" s="41" customFormat="1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67"/>
      <c r="K82" s="32">
        <v>0.89963589373076647</v>
      </c>
      <c r="L82" s="32">
        <v>2316.8603828395521</v>
      </c>
      <c r="M82" s="32">
        <v>28.603214602957433</v>
      </c>
      <c r="N82" s="32">
        <v>2.4127157129959853</v>
      </c>
      <c r="O82" s="32">
        <v>1.2144192200264614</v>
      </c>
      <c r="P82" s="32">
        <v>1397.4813626237203</v>
      </c>
      <c r="Q82" s="32">
        <v>17.252856328687905</v>
      </c>
      <c r="R82" s="32">
        <v>2822.7545164333505</v>
      </c>
      <c r="S82" s="32">
        <v>2822.7545164333505</v>
      </c>
      <c r="T82" s="32">
        <v>3997.3157656773292</v>
      </c>
      <c r="U82" s="32">
        <v>1380.900411771157</v>
      </c>
      <c r="V82" s="32">
        <v>907.48934464098284</v>
      </c>
      <c r="W82" s="32">
        <v>0.5216712129192691</v>
      </c>
      <c r="X82" s="32">
        <v>2.4617988802556638</v>
      </c>
      <c r="Y82" s="32">
        <v>2.5193725996421286</v>
      </c>
      <c r="Z82" s="32">
        <v>2.3386849286602063E-2</v>
      </c>
      <c r="AA82" s="32">
        <v>849.87477186070487</v>
      </c>
      <c r="AB82" s="32">
        <v>571.57594733892108</v>
      </c>
      <c r="AC82" s="32">
        <v>0.48689736826305596</v>
      </c>
      <c r="AD82" s="32">
        <v>0.66911174558058539</v>
      </c>
      <c r="AE82" s="32">
        <v>0.66091001011866224</v>
      </c>
      <c r="AF82" s="32">
        <v>0.68247960085099457</v>
      </c>
      <c r="AG82" s="32">
        <v>0.60797770316151389</v>
      </c>
      <c r="AH82" s="32">
        <v>0.40837174465999448</v>
      </c>
      <c r="AI82" s="32">
        <v>702.17335910892905</v>
      </c>
      <c r="AJ82" s="32">
        <v>471.64190104666631</v>
      </c>
      <c r="AK82" s="32"/>
      <c r="AL82" s="32">
        <v>0.4887849394862247</v>
      </c>
      <c r="AM82" s="32">
        <v>1.21</v>
      </c>
      <c r="AN82" s="32">
        <v>1.23</v>
      </c>
      <c r="AO82" s="32">
        <v>1.26</v>
      </c>
      <c r="AP82" s="32">
        <v>2.4390243902439046E-2</v>
      </c>
      <c r="AQ82" s="32">
        <v>-34.465624733745955</v>
      </c>
      <c r="AR82" s="32">
        <v>0.33696124999999999</v>
      </c>
      <c r="AS82" s="32">
        <v>1.9897893609425408</v>
      </c>
      <c r="AT82" s="32">
        <v>120.57134673438571</v>
      </c>
      <c r="AU82" s="32">
        <v>0.8835742610840408</v>
      </c>
      <c r="AV82" s="32">
        <v>31.185930446768214</v>
      </c>
      <c r="AW82" s="32">
        <v>276.15231000000006</v>
      </c>
      <c r="AX82" s="32">
        <v>92.065572000000003</v>
      </c>
      <c r="AY82" s="32">
        <v>457.83441000000005</v>
      </c>
      <c r="AZ82" s="32">
        <v>125.25830500000002</v>
      </c>
      <c r="BA82" s="32">
        <v>143.27620808340311</v>
      </c>
      <c r="BB82" s="32">
        <v>251.94594650686727</v>
      </c>
      <c r="BC82" s="32">
        <v>391.3985692616003</v>
      </c>
      <c r="BD82" s="32">
        <v>42.17350380451802</v>
      </c>
      <c r="BE82" s="32">
        <v>-62.130488821057703</v>
      </c>
      <c r="BF82" s="32">
        <v>102.62512795544205</v>
      </c>
      <c r="BG82" s="52"/>
      <c r="BH82" s="52"/>
      <c r="BI82" s="52"/>
      <c r="BJ82" s="52"/>
    </row>
    <row r="83" spans="1:62" s="41" customFormat="1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67"/>
      <c r="K83" s="32">
        <v>0.86100162990541207</v>
      </c>
      <c r="L83" s="32">
        <v>2223.5760339208937</v>
      </c>
      <c r="M83" s="32">
        <v>23.283518679799933</v>
      </c>
      <c r="N83" s="32">
        <v>4.1213022353680815</v>
      </c>
      <c r="O83" s="32">
        <v>1.5804284690624679</v>
      </c>
      <c r="P83" s="32">
        <v>2291.0072197772679</v>
      </c>
      <c r="Q83" s="32">
        <v>23.989604395573487</v>
      </c>
      <c r="R83" s="32">
        <v>10240.312934505695</v>
      </c>
      <c r="S83" s="32">
        <v>10240.312934505695</v>
      </c>
      <c r="T83" s="32">
        <v>16426.432693656945</v>
      </c>
      <c r="U83" s="32">
        <v>1065.7002991656541</v>
      </c>
      <c r="V83" s="32">
        <v>1070.7682484922545</v>
      </c>
      <c r="W83" s="32">
        <v>4.7555108416204028E-3</v>
      </c>
      <c r="X83" s="32">
        <v>4.2179749662157242</v>
      </c>
      <c r="Y83" s="32">
        <v>5.1385122768604603</v>
      </c>
      <c r="Z83" s="32">
        <v>0.21824153012236169</v>
      </c>
      <c r="AA83" s="32">
        <v>1123.7742958423341</v>
      </c>
      <c r="AB83" s="32">
        <v>1375.5389476374555</v>
      </c>
      <c r="AC83" s="32">
        <v>0.22403489092657103</v>
      </c>
      <c r="AD83" s="32">
        <v>0.625829181892125</v>
      </c>
      <c r="AE83" s="32">
        <v>0.63667000782408689</v>
      </c>
      <c r="AF83" s="32">
        <v>0.61623914450566908</v>
      </c>
      <c r="AG83" s="32">
        <v>0.49025078535499761</v>
      </c>
      <c r="AH83" s="32">
        <v>0.57681929828354994</v>
      </c>
      <c r="AI83" s="32">
        <v>545.22717311226234</v>
      </c>
      <c r="AJ83" s="32">
        <v>641.50341987113109</v>
      </c>
      <c r="AK83" s="32"/>
      <c r="AL83" s="32">
        <v>0.17658005966449775</v>
      </c>
      <c r="AM83" s="32">
        <v>2.06</v>
      </c>
      <c r="AN83" s="32">
        <v>2.11</v>
      </c>
      <c r="AO83" s="32">
        <v>2.56</v>
      </c>
      <c r="AP83" s="32">
        <v>0.21327014218009488</v>
      </c>
      <c r="AQ83" s="32">
        <v>5.5426259625569916</v>
      </c>
      <c r="AR83" s="32">
        <v>0.34338285714285716</v>
      </c>
      <c r="AS83" s="32">
        <v>2.1745091038914612</v>
      </c>
      <c r="AT83" s="32">
        <v>119.53407271974334</v>
      </c>
      <c r="AU83" s="32">
        <v>0.64293249884502401</v>
      </c>
      <c r="AV83" s="32">
        <v>48.702063015322729</v>
      </c>
      <c r="AW83" s="32">
        <v>606.67396666666662</v>
      </c>
      <c r="AX83" s="32">
        <v>149.76901111111113</v>
      </c>
      <c r="AY83" s="32">
        <v>554.59966666666662</v>
      </c>
      <c r="AZ83" s="32">
        <v>140.36735666666667</v>
      </c>
      <c r="BA83" s="32">
        <v>328.1276933561719</v>
      </c>
      <c r="BB83" s="32">
        <v>296.97971614927491</v>
      </c>
      <c r="BC83" s="32">
        <v>611.06238068546782</v>
      </c>
      <c r="BD83" s="32">
        <v>65.996883279345965</v>
      </c>
      <c r="BE83" s="32">
        <v>-44.113603227792538</v>
      </c>
      <c r="BF83" s="32">
        <v>110.52433035450336</v>
      </c>
      <c r="BG83" s="52"/>
      <c r="BH83" s="52"/>
      <c r="BI83" s="52"/>
      <c r="BJ83" s="52"/>
    </row>
    <row r="84" spans="1:62" s="41" customFormat="1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67"/>
      <c r="K84" s="32">
        <v>0.82123838521559478</v>
      </c>
      <c r="L84" s="32">
        <v>1479.3259488243359</v>
      </c>
      <c r="M84" s="32">
        <v>16.887282520825753</v>
      </c>
      <c r="N84" s="32">
        <v>8.6888523326885281</v>
      </c>
      <c r="O84" s="32">
        <v>1.3713740228464222</v>
      </c>
      <c r="P84" s="32">
        <v>3213.4111803122505</v>
      </c>
      <c r="Q84" s="32">
        <v>36.682776030961769</v>
      </c>
      <c r="R84" s="32">
        <v>8222.7600537626258</v>
      </c>
      <c r="S84" s="32">
        <v>8222.7600537626258</v>
      </c>
      <c r="T84" s="32">
        <v>12754.38946113973</v>
      </c>
      <c r="U84" s="32">
        <v>787.67986477216186</v>
      </c>
      <c r="V84" s="32">
        <v>717.34313343079202</v>
      </c>
      <c r="W84" s="32">
        <v>9.8051724570046073E-2</v>
      </c>
      <c r="X84" s="32">
        <v>6.9578993580007857</v>
      </c>
      <c r="Y84" s="32">
        <v>11.910204700942447</v>
      </c>
      <c r="Z84" s="32">
        <v>0.71175294268191425</v>
      </c>
      <c r="AA84" s="32">
        <v>1370.1493063520927</v>
      </c>
      <c r="AB84" s="32">
        <v>2135.925889994051</v>
      </c>
      <c r="AC84" s="32">
        <v>0.55890009949410113</v>
      </c>
      <c r="AD84" s="32">
        <v>0.65748785447536739</v>
      </c>
      <c r="AE84" s="32">
        <v>0.66752518327624655</v>
      </c>
      <c r="AF84" s="32">
        <v>0.6477084310575002</v>
      </c>
      <c r="AG84" s="32">
        <v>0.40026574801289222</v>
      </c>
      <c r="AH84" s="32">
        <v>0.61579934521803992</v>
      </c>
      <c r="AI84" s="32">
        <v>296.36338587249736</v>
      </c>
      <c r="AJ84" s="32">
        <v>455.94802921035102</v>
      </c>
      <c r="AK84" s="32"/>
      <c r="AL84" s="32">
        <v>0.53847624553226958</v>
      </c>
      <c r="AM84" s="32">
        <v>4.34</v>
      </c>
      <c r="AN84" s="32">
        <v>3.48</v>
      </c>
      <c r="AO84" s="32">
        <v>5.95</v>
      </c>
      <c r="AP84" s="32">
        <v>0.70977011494252884</v>
      </c>
      <c r="AQ84" s="32">
        <v>1.7268795729253916</v>
      </c>
      <c r="AR84" s="32">
        <v>0.39769499999999997</v>
      </c>
      <c r="AS84" s="32">
        <v>2.028109008687371</v>
      </c>
      <c r="AT84" s="32">
        <v>50.001213370969445</v>
      </c>
      <c r="AU84" s="32">
        <v>0.89198480694369597</v>
      </c>
      <c r="AV84" s="32">
        <v>10.992467234856012</v>
      </c>
      <c r="AW84" s="32">
        <v>346.06808888888889</v>
      </c>
      <c r="AX84" s="32">
        <v>109.56131999999999</v>
      </c>
      <c r="AY84" s="32">
        <v>331.16788888888891</v>
      </c>
      <c r="AZ84" s="32">
        <v>104.48779666666667</v>
      </c>
      <c r="BA84" s="32">
        <v>222.28306572046648</v>
      </c>
      <c r="BB84" s="32">
        <v>217.1411353759577</v>
      </c>
      <c r="BC84" s="32">
        <v>434.12429143426357</v>
      </c>
      <c r="BD84" s="32">
        <v>59.803003832114996</v>
      </c>
      <c r="BE84" s="32">
        <v>-56.514005786769467</v>
      </c>
      <c r="BF84" s="32">
        <v>113.87578119896256</v>
      </c>
      <c r="BG84" s="52"/>
      <c r="BH84" s="52"/>
      <c r="BI84" s="52"/>
      <c r="BJ84" s="52"/>
    </row>
    <row r="85" spans="1:62" s="41" customFormat="1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67"/>
      <c r="K85" s="32">
        <v>0.95073057002961536</v>
      </c>
      <c r="L85" s="32">
        <v>3016.3734959298213</v>
      </c>
      <c r="M85" s="32">
        <v>35.486747010939077</v>
      </c>
      <c r="N85" s="32">
        <v>3.6436416133367548</v>
      </c>
      <c r="O85" s="32">
        <v>1.6699170484868742</v>
      </c>
      <c r="P85" s="32">
        <v>2747.6459977839904</v>
      </c>
      <c r="Q85" s="32">
        <v>32.325247032752827</v>
      </c>
      <c r="R85" s="32">
        <v>10958.15919806565</v>
      </c>
      <c r="S85" s="32">
        <v>10958.15919806565</v>
      </c>
      <c r="T85" s="32">
        <v>17699.854824558275</v>
      </c>
      <c r="U85" s="32">
        <v>1593.6418399733436</v>
      </c>
      <c r="V85" s="32">
        <v>1553.3597623605688</v>
      </c>
      <c r="W85" s="32">
        <v>2.593222676990159E-2</v>
      </c>
      <c r="X85" s="32">
        <v>3.3816877014324715</v>
      </c>
      <c r="Y85" s="32">
        <v>3.5851841182958171</v>
      </c>
      <c r="Z85" s="32">
        <v>6.0175993418063234E-2</v>
      </c>
      <c r="AA85" s="32">
        <v>1347.2997526815177</v>
      </c>
      <c r="AB85" s="32">
        <v>1392.2701875037189</v>
      </c>
      <c r="AC85" s="32">
        <v>3.3378195707894243E-2</v>
      </c>
      <c r="AD85" s="32">
        <v>0.63223188417163667</v>
      </c>
      <c r="AE85" s="32">
        <v>0.63553911512438377</v>
      </c>
      <c r="AF85" s="32">
        <v>0.62964787280219403</v>
      </c>
      <c r="AG85" s="32">
        <v>0.4874863493483792</v>
      </c>
      <c r="AH85" s="32">
        <v>0.5065958668600351</v>
      </c>
      <c r="AI85" s="32">
        <v>735.95526308368176</v>
      </c>
      <c r="AJ85" s="32">
        <v>764.80478883243734</v>
      </c>
      <c r="AK85" s="32"/>
      <c r="AL85" s="32">
        <v>3.9200107935739137E-2</v>
      </c>
      <c r="AM85" s="32">
        <v>1.82</v>
      </c>
      <c r="AN85" s="32">
        <v>1.69</v>
      </c>
      <c r="AO85" s="32">
        <v>1.79</v>
      </c>
      <c r="AP85" s="32">
        <v>5.9171597633136175E-2</v>
      </c>
      <c r="AQ85" s="32">
        <v>-0.3299430956923185</v>
      </c>
      <c r="AR85" s="32">
        <v>0.35437499999999994</v>
      </c>
      <c r="AS85" s="32">
        <v>2.3851481613709362</v>
      </c>
      <c r="AT85" s="32">
        <v>100.37277012579203</v>
      </c>
      <c r="AU85" s="32">
        <v>0.96019015699661414</v>
      </c>
      <c r="AV85" s="32">
        <v>20.040637131736158</v>
      </c>
      <c r="AW85" s="32">
        <v>690.75536666666665</v>
      </c>
      <c r="AX85" s="32">
        <v>150.10360833333334</v>
      </c>
      <c r="AY85" s="32">
        <v>661.52881666666667</v>
      </c>
      <c r="AZ85" s="32">
        <v>154.29291666666666</v>
      </c>
      <c r="BA85" s="32">
        <v>346.61824888016469</v>
      </c>
      <c r="BB85" s="32">
        <v>338.52914651246664</v>
      </c>
      <c r="BC85" s="32">
        <v>681.44516572370219</v>
      </c>
      <c r="BD85" s="32">
        <v>67.739837260581723</v>
      </c>
      <c r="BE85" s="32">
        <v>-58.223662887054921</v>
      </c>
      <c r="BF85" s="32">
        <v>126.128221475649</v>
      </c>
      <c r="BG85" s="52"/>
      <c r="BH85" s="52"/>
      <c r="BI85" s="52"/>
      <c r="BJ85" s="52"/>
    </row>
    <row r="86" spans="1:62" s="41" customFormat="1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67"/>
      <c r="K86" s="32">
        <v>0.77404616973466822</v>
      </c>
      <c r="L86" s="32">
        <v>1909.0941920475327</v>
      </c>
      <c r="M86" s="32">
        <v>21.694252182358326</v>
      </c>
      <c r="N86" s="32">
        <v>3.0440400547465991</v>
      </c>
      <c r="O86" s="32">
        <v>1.2006414336017122</v>
      </c>
      <c r="P86" s="32">
        <v>1452.8397972191965</v>
      </c>
      <c r="Q86" s="32">
        <v>16.509543150218143</v>
      </c>
      <c r="R86" s="32">
        <v>1320.6729779945927</v>
      </c>
      <c r="S86" s="32">
        <v>1320.6729779945927</v>
      </c>
      <c r="T86" s="32">
        <v>1911.1873960314956</v>
      </c>
      <c r="U86" s="32">
        <v>932.85199028924148</v>
      </c>
      <c r="V86" s="32">
        <v>966.43304414761383</v>
      </c>
      <c r="W86" s="32">
        <v>3.5998265756993497E-2</v>
      </c>
      <c r="X86" s="32">
        <v>3.098613955653259</v>
      </c>
      <c r="Y86" s="32">
        <v>3.149844265419405</v>
      </c>
      <c r="Z86" s="32">
        <v>1.6533298597161128E-2</v>
      </c>
      <c r="AA86" s="32">
        <v>722.63704891729049</v>
      </c>
      <c r="AB86" s="32">
        <v>761.02839550504507</v>
      </c>
      <c r="AC86" s="32">
        <v>5.3126734430894995E-2</v>
      </c>
      <c r="AD86" s="32">
        <v>0.59088549353980502</v>
      </c>
      <c r="AE86" s="32">
        <v>0.60070913966121198</v>
      </c>
      <c r="AF86" s="32">
        <v>0.58219853536762556</v>
      </c>
      <c r="AG86" s="32">
        <v>0.49721913404683776</v>
      </c>
      <c r="AH86" s="32">
        <v>0.52318516715591568</v>
      </c>
      <c r="AI86" s="32">
        <v>475.24899568170127</v>
      </c>
      <c r="AJ86" s="32">
        <v>500.06769293594778</v>
      </c>
      <c r="AK86" s="32"/>
      <c r="AL86" s="32">
        <v>5.2222513839605966E-2</v>
      </c>
      <c r="AM86" s="32">
        <v>1.52</v>
      </c>
      <c r="AN86" s="32">
        <v>1.55</v>
      </c>
      <c r="AO86" s="32">
        <v>1.57</v>
      </c>
      <c r="AP86" s="32">
        <v>1.2903225806451646E-2</v>
      </c>
      <c r="AQ86" s="32">
        <v>4.0485286111851355</v>
      </c>
      <c r="AR86" s="32">
        <v>0.34442800000000007</v>
      </c>
      <c r="AS86" s="32">
        <v>1.9656979650125055</v>
      </c>
      <c r="AT86" s="32">
        <v>80.521522073103768</v>
      </c>
      <c r="AU86" s="32">
        <v>0.73011769456935049</v>
      </c>
      <c r="AV86" s="32">
        <v>32.181442683518519</v>
      </c>
      <c r="AW86" s="32">
        <v>564.43098999999995</v>
      </c>
      <c r="AX86" s="32">
        <v>165.98968999999997</v>
      </c>
      <c r="AY86" s="32">
        <v>481.08825000000007</v>
      </c>
      <c r="AZ86" s="32">
        <v>133.046424</v>
      </c>
      <c r="BA86" s="32">
        <v>273.2784804674082</v>
      </c>
      <c r="BB86" s="32">
        <v>249.59254709474325</v>
      </c>
      <c r="BC86" s="32">
        <v>522.79245414818183</v>
      </c>
      <c r="BD86" s="32">
        <v>62.449187062954124</v>
      </c>
      <c r="BE86" s="32">
        <v>-55.065371284937541</v>
      </c>
      <c r="BF86" s="32">
        <v>115.97803606428847</v>
      </c>
      <c r="BG86" s="52"/>
      <c r="BH86" s="52"/>
      <c r="BI86" s="52"/>
      <c r="BJ86" s="52"/>
    </row>
    <row r="87" spans="1:62" s="41" customFormat="1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67"/>
      <c r="K87" s="32">
        <v>0.80696339685832208</v>
      </c>
      <c r="L87" s="32">
        <v>1981.7485673382587</v>
      </c>
      <c r="M87" s="32">
        <v>25.085424903015934</v>
      </c>
      <c r="N87" s="32">
        <v>2.8438138168083014</v>
      </c>
      <c r="O87" s="32">
        <v>1.1888203568444053</v>
      </c>
      <c r="P87" s="32">
        <v>1408.930989309149</v>
      </c>
      <c r="Q87" s="32">
        <v>17.834569484925936</v>
      </c>
      <c r="R87" s="32">
        <v>1857.2141473299989</v>
      </c>
      <c r="S87" s="32">
        <v>1857.2141473299989</v>
      </c>
      <c r="T87" s="32">
        <v>2817.1645039493196</v>
      </c>
      <c r="U87" s="32">
        <v>1102.2258021099731</v>
      </c>
      <c r="V87" s="32">
        <v>1025.7190947437775</v>
      </c>
      <c r="W87" s="32">
        <v>7.4588362211689851E-2</v>
      </c>
      <c r="X87" s="32">
        <v>3.1753000937231866</v>
      </c>
      <c r="Y87" s="32">
        <v>2.2449141337322676</v>
      </c>
      <c r="Z87" s="32">
        <v>0.41444166884196676</v>
      </c>
      <c r="AA87" s="32">
        <v>874.97442318597803</v>
      </c>
      <c r="AB87" s="32">
        <v>575.66282325734323</v>
      </c>
      <c r="AC87" s="32">
        <v>0.51994255636485853</v>
      </c>
      <c r="AD87" s="32">
        <v>0.65030634462296966</v>
      </c>
      <c r="AE87" s="32">
        <v>0.66503413963347835</v>
      </c>
      <c r="AF87" s="32">
        <v>0.63152145021495565</v>
      </c>
      <c r="AG87" s="32">
        <v>0.61409643619620247</v>
      </c>
      <c r="AH87" s="32">
        <v>0.37987162522536172</v>
      </c>
      <c r="AI87" s="32">
        <v>609.30841074589</v>
      </c>
      <c r="AJ87" s="32">
        <v>376.90981841095208</v>
      </c>
      <c r="AK87" s="32"/>
      <c r="AL87" s="32">
        <v>0.61658938287871612</v>
      </c>
      <c r="AM87" s="32">
        <v>1.42</v>
      </c>
      <c r="AN87" s="32">
        <v>1.59</v>
      </c>
      <c r="AO87" s="32">
        <v>1.1200000000000001</v>
      </c>
      <c r="AP87" s="32">
        <v>0.41964285714285698</v>
      </c>
      <c r="AQ87" s="32">
        <v>-17.78720473298516</v>
      </c>
      <c r="AR87" s="32">
        <v>0.33590750000000003</v>
      </c>
      <c r="AS87" s="32">
        <v>1.8755801499464546</v>
      </c>
      <c r="AT87" s="32">
        <v>119.91186574742838</v>
      </c>
      <c r="AU87" s="32">
        <v>0.80370053334949365</v>
      </c>
      <c r="AV87" s="32">
        <v>29.426214747716017</v>
      </c>
      <c r="AW87" s="32">
        <v>393.99609999999996</v>
      </c>
      <c r="AX87" s="32">
        <v>120.41480272727273</v>
      </c>
      <c r="AY87" s="32">
        <v>422.37517272727274</v>
      </c>
      <c r="AZ87" s="32">
        <v>120.90611818181819</v>
      </c>
      <c r="BA87" s="32">
        <v>169.60755762745021</v>
      </c>
      <c r="BB87" s="32">
        <v>194.56590746583379</v>
      </c>
      <c r="BC87" s="32">
        <v>360.26589931406227</v>
      </c>
      <c r="BD87" s="32">
        <v>55.277795620978416</v>
      </c>
      <c r="BE87" s="32">
        <v>-60.728772945485851</v>
      </c>
      <c r="BF87" s="32">
        <v>112.19400506999627</v>
      </c>
      <c r="BG87" s="52"/>
      <c r="BH87" s="52"/>
      <c r="BI87" s="52"/>
      <c r="BJ87" s="52"/>
    </row>
    <row r="88" spans="1:62" ht="15.75" x14ac:dyDescent="0.25">
      <c r="A88" s="10">
        <v>87</v>
      </c>
      <c r="B88" s="1" t="s">
        <v>471</v>
      </c>
      <c r="C88" s="1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67"/>
      <c r="K88" s="32">
        <v>0.87310659756145326</v>
      </c>
      <c r="L88" s="32">
        <v>1813.375663403634</v>
      </c>
      <c r="M88" s="32">
        <v>27.685124632116551</v>
      </c>
      <c r="N88" s="32">
        <v>3.7069091421721851</v>
      </c>
      <c r="O88" s="32">
        <v>1.4867030771684884</v>
      </c>
      <c r="P88" s="32">
        <v>1680.5047062158706</v>
      </c>
      <c r="Q88" s="32">
        <v>25.656560400242299</v>
      </c>
      <c r="R88" s="32">
        <v>6101.6712485321041</v>
      </c>
      <c r="S88" s="32">
        <v>6101.6712485321041</v>
      </c>
      <c r="T88" s="32">
        <v>8942.5024483102279</v>
      </c>
      <c r="U88" s="32">
        <v>965.9978575217508</v>
      </c>
      <c r="V88" s="32">
        <v>868.11076185526815</v>
      </c>
      <c r="W88" s="32">
        <v>0.11275876301462384</v>
      </c>
      <c r="X88" s="32">
        <v>3.6594052041013616</v>
      </c>
      <c r="Y88" s="32">
        <v>4.1916191254184305</v>
      </c>
      <c r="Z88" s="32">
        <v>0.14543727508519089</v>
      </c>
      <c r="AA88" s="32">
        <v>883.74439674146515</v>
      </c>
      <c r="AB88" s="32">
        <v>909.69741809352661</v>
      </c>
      <c r="AC88" s="32">
        <v>2.9367112762191505E-2</v>
      </c>
      <c r="AD88" s="32">
        <v>0.66403681711655327</v>
      </c>
      <c r="AE88" s="32">
        <v>0.67715242875246096</v>
      </c>
      <c r="AF88" s="32">
        <v>0.65044808829175471</v>
      </c>
      <c r="AG88" s="32">
        <v>0.52581745764003529</v>
      </c>
      <c r="AH88" s="32">
        <v>0.53387930635898873</v>
      </c>
      <c r="AI88" s="32">
        <v>477.64088781194368</v>
      </c>
      <c r="AJ88" s="32">
        <v>484.9640919459581</v>
      </c>
      <c r="AK88" s="32"/>
      <c r="AL88" s="32">
        <v>1.533202939882683E-2</v>
      </c>
      <c r="AM88" s="32">
        <v>1.85</v>
      </c>
      <c r="AN88" s="32">
        <v>1.83</v>
      </c>
      <c r="AO88" s="32">
        <v>2.1</v>
      </c>
      <c r="AP88" s="32">
        <v>0.14754098360655732</v>
      </c>
      <c r="AQ88" s="32">
        <v>-2.0489171794795991</v>
      </c>
      <c r="AR88" s="32">
        <v>0.38626999999999995</v>
      </c>
      <c r="AS88" s="32">
        <v>2.0476020468880138</v>
      </c>
      <c r="AT88" s="32">
        <v>122.48577630090205</v>
      </c>
      <c r="AU88" s="32">
        <v>0.70310617840927447</v>
      </c>
      <c r="AV88" s="32">
        <v>37.122785433065587</v>
      </c>
      <c r="AW88" s="32">
        <v>306.98518571428571</v>
      </c>
      <c r="AX88" s="32">
        <v>163.66487857142857</v>
      </c>
      <c r="AY88" s="32">
        <v>293.18397857142861</v>
      </c>
      <c r="AZ88" s="32">
        <v>146.25749285714286</v>
      </c>
      <c r="BA88" s="32">
        <v>169.94316565874487</v>
      </c>
      <c r="BB88" s="32">
        <v>147.73273347103557</v>
      </c>
      <c r="BC88" s="32">
        <v>317.14209646171633</v>
      </c>
      <c r="BD88" s="32">
        <v>91.965503474512943</v>
      </c>
      <c r="BE88" s="32">
        <v>-91.195530381113628</v>
      </c>
      <c r="BF88" s="32">
        <v>177.08099298172826</v>
      </c>
      <c r="BG88" s="19"/>
      <c r="BH88" s="19"/>
      <c r="BI88" s="19"/>
      <c r="BJ88" s="19"/>
    </row>
    <row r="89" spans="1:62" ht="15.75" x14ac:dyDescent="0.25">
      <c r="A89" s="10">
        <v>88</v>
      </c>
      <c r="B89" s="1" t="s">
        <v>472</v>
      </c>
      <c r="C89" s="1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67"/>
      <c r="K89" s="32">
        <v>0.72946132532096974</v>
      </c>
      <c r="L89" s="32">
        <v>1119.6220024398915</v>
      </c>
      <c r="M89" s="32">
        <v>17.771777816506216</v>
      </c>
      <c r="N89" s="32">
        <v>5.0182237997724464</v>
      </c>
      <c r="O89" s="32">
        <v>1.0862919590631863</v>
      </c>
      <c r="P89" s="32">
        <v>1404.628444848187</v>
      </c>
      <c r="Q89" s="32">
        <v>22.295689600764874</v>
      </c>
      <c r="R89" s="32">
        <v>3638.5486876182949</v>
      </c>
      <c r="S89" s="32">
        <v>3638.5486876182949</v>
      </c>
      <c r="T89" s="32">
        <v>5261.6064815024702</v>
      </c>
      <c r="U89" s="32">
        <v>565.47158669092346</v>
      </c>
      <c r="V89" s="32">
        <v>597.85474311417295</v>
      </c>
      <c r="W89" s="32">
        <v>5.7267521809101218E-2</v>
      </c>
      <c r="X89" s="32">
        <v>5.1973495329534947</v>
      </c>
      <c r="Y89" s="32">
        <v>4.664319831854522</v>
      </c>
      <c r="Z89" s="32">
        <v>0.11427811992194403</v>
      </c>
      <c r="AA89" s="32">
        <v>734.73837174663561</v>
      </c>
      <c r="AB89" s="32">
        <v>697.14643371893192</v>
      </c>
      <c r="AC89" s="32">
        <v>5.3922585284083446E-2</v>
      </c>
      <c r="AD89" s="32">
        <v>0.66505504548119843</v>
      </c>
      <c r="AE89" s="32">
        <v>0.67907655604564832</v>
      </c>
      <c r="AF89" s="32">
        <v>0.65249434588843147</v>
      </c>
      <c r="AG89" s="32">
        <v>0.52247478593922236</v>
      </c>
      <c r="AH89" s="32">
        <v>0.49343488842365774</v>
      </c>
      <c r="AI89" s="32">
        <v>292.38360721311176</v>
      </c>
      <c r="AJ89" s="32">
        <v>276.13250722282902</v>
      </c>
      <c r="AK89" s="32"/>
      <c r="AL89" s="32">
        <v>5.8852542041233358E-2</v>
      </c>
      <c r="AM89" s="32">
        <v>2.5100000000000002</v>
      </c>
      <c r="AN89" s="32">
        <v>2.6</v>
      </c>
      <c r="AO89" s="32">
        <v>2.33</v>
      </c>
      <c r="AP89" s="32">
        <v>0.11587982832618016</v>
      </c>
      <c r="AQ89" s="32">
        <v>6.6968103093196127</v>
      </c>
      <c r="AR89" s="32">
        <v>0.28722333333333333</v>
      </c>
      <c r="AS89" s="32">
        <v>1.4947994763774906</v>
      </c>
      <c r="AT89" s="32">
        <v>81.050058921038385</v>
      </c>
      <c r="AU89" s="32">
        <v>0.64082458930050978</v>
      </c>
      <c r="AV89" s="32">
        <v>16.009366000974545</v>
      </c>
      <c r="AW89" s="32">
        <v>220.62361249999995</v>
      </c>
      <c r="AX89" s="32">
        <v>116.52952499999999</v>
      </c>
      <c r="AY89" s="32">
        <v>188.80271875000003</v>
      </c>
      <c r="AZ89" s="32">
        <v>102.84828125</v>
      </c>
      <c r="BA89" s="32">
        <v>130.73446341597253</v>
      </c>
      <c r="BB89" s="32">
        <v>102.3894496722201</v>
      </c>
      <c r="BC89" s="32">
        <v>225.4188951205744</v>
      </c>
      <c r="BD89" s="32">
        <v>66.556855272935152</v>
      </c>
      <c r="BE89" s="32">
        <v>-59.345599007561766</v>
      </c>
      <c r="BF89" s="32">
        <v>119.08893355316859</v>
      </c>
      <c r="BG89" s="19"/>
      <c r="BH89" s="19"/>
      <c r="BI89" s="19"/>
      <c r="BJ89" s="19"/>
    </row>
    <row r="90" spans="1:62" ht="15.75" x14ac:dyDescent="0.25">
      <c r="A90" s="10">
        <v>89</v>
      </c>
      <c r="B90" s="1" t="s">
        <v>474</v>
      </c>
      <c r="C90" s="1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67"/>
      <c r="K90" s="32">
        <v>0.99860035998153718</v>
      </c>
      <c r="L90" s="32">
        <v>1841.2823435067985</v>
      </c>
      <c r="M90" s="32">
        <v>27.077681522158802</v>
      </c>
      <c r="N90" s="32">
        <v>2.3806254868085364</v>
      </c>
      <c r="O90" s="32">
        <v>1.0914148798844212</v>
      </c>
      <c r="P90" s="32">
        <v>1095.8509188407088</v>
      </c>
      <c r="Q90" s="32">
        <v>16.115454688833953</v>
      </c>
      <c r="R90" s="32">
        <v>1498.2281190168994</v>
      </c>
      <c r="S90" s="32">
        <v>1498.2281190168994</v>
      </c>
      <c r="T90" s="32">
        <v>2177.0261055863034</v>
      </c>
      <c r="U90" s="32">
        <v>926.60857948839464</v>
      </c>
      <c r="V90" s="32">
        <v>951.30380688044238</v>
      </c>
      <c r="W90" s="32">
        <v>2.6651196566389146E-2</v>
      </c>
      <c r="X90" s="32">
        <v>2.3850382240021339</v>
      </c>
      <c r="Y90" s="32">
        <v>2.3443359695283825</v>
      </c>
      <c r="Z90" s="32">
        <v>1.7361954516246003E-2</v>
      </c>
      <c r="AA90" s="32">
        <v>552.49922019203518</v>
      </c>
      <c r="AB90" s="32">
        <v>557.54393310477576</v>
      </c>
      <c r="AC90" s="32">
        <v>9.1307149917554398E-3</v>
      </c>
      <c r="AD90" s="32">
        <v>0.63236939647331214</v>
      </c>
      <c r="AE90" s="32">
        <v>0.63240131059849392</v>
      </c>
      <c r="AF90" s="32">
        <v>0.63273800757491716</v>
      </c>
      <c r="AG90" s="32">
        <v>0.50417149211166923</v>
      </c>
      <c r="AH90" s="32">
        <v>0.50865946194582301</v>
      </c>
      <c r="AI90" s="32">
        <v>464.28298717947951</v>
      </c>
      <c r="AJ90" s="32">
        <v>468.41588258029839</v>
      </c>
      <c r="AK90" s="32"/>
      <c r="AL90" s="32">
        <v>8.9016731496587287E-3</v>
      </c>
      <c r="AM90" s="32">
        <v>1.19</v>
      </c>
      <c r="AN90" s="32">
        <v>1.19</v>
      </c>
      <c r="AO90" s="32">
        <v>1.17</v>
      </c>
      <c r="AP90" s="32">
        <v>1.7094017094017033E-2</v>
      </c>
      <c r="AQ90" s="32">
        <v>-0.9388674883636956</v>
      </c>
      <c r="AR90" s="32">
        <v>0.26252799999999998</v>
      </c>
      <c r="AS90" s="32">
        <v>1.6126240628347026</v>
      </c>
      <c r="AT90" s="32">
        <v>35.204903965996614</v>
      </c>
      <c r="AU90" s="32">
        <v>0.99167116091359742</v>
      </c>
      <c r="AV90" s="32">
        <v>5.7841070891517674</v>
      </c>
      <c r="AW90" s="32">
        <v>351.29328750000002</v>
      </c>
      <c r="AX90" s="32">
        <v>90.92205125000001</v>
      </c>
      <c r="AY90" s="32">
        <v>360.34853750000002</v>
      </c>
      <c r="AZ90" s="32">
        <v>94.884813750000006</v>
      </c>
      <c r="BA90" s="32">
        <v>201.10610411313536</v>
      </c>
      <c r="BB90" s="32">
        <v>193.96151861297392</v>
      </c>
      <c r="BC90" s="32">
        <v>389.75261208055315</v>
      </c>
      <c r="BD90" s="32">
        <v>54.826216605117146</v>
      </c>
      <c r="BE90" s="32">
        <v>-54.329193336495734</v>
      </c>
      <c r="BF90" s="32">
        <v>107.2200309439162</v>
      </c>
      <c r="BG90" s="19"/>
      <c r="BH90" s="19"/>
      <c r="BI90" s="19"/>
      <c r="BJ90" s="19"/>
    </row>
    <row r="91" spans="1:62" ht="15.75" x14ac:dyDescent="0.25">
      <c r="A91" s="10">
        <v>90</v>
      </c>
      <c r="B91" s="1" t="s">
        <v>476</v>
      </c>
      <c r="C91" s="1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67"/>
      <c r="K91" s="32">
        <v>0.8008918024360514</v>
      </c>
      <c r="L91" s="32">
        <v>2451.3767542399187</v>
      </c>
      <c r="M91" s="32">
        <v>35.527199336810419</v>
      </c>
      <c r="N91" s="32">
        <v>2.0948826629121986</v>
      </c>
      <c r="O91" s="32">
        <v>1.1666001638070431</v>
      </c>
      <c r="P91" s="32">
        <v>1283.8366656807957</v>
      </c>
      <c r="Q91" s="32">
        <v>18.606328488127474</v>
      </c>
      <c r="R91" s="32">
        <v>1647.2767062353532</v>
      </c>
      <c r="S91" s="32">
        <v>1647.2767062353532</v>
      </c>
      <c r="T91" s="32">
        <v>2392.9843321037079</v>
      </c>
      <c r="U91" s="32">
        <v>1207.2465004738747</v>
      </c>
      <c r="V91" s="32">
        <v>1236.9332684317942</v>
      </c>
      <c r="W91" s="32">
        <v>2.4590477542297151E-2</v>
      </c>
      <c r="X91" s="32">
        <v>2.1377073662247841</v>
      </c>
      <c r="Y91" s="32">
        <v>2.0926039949750073</v>
      </c>
      <c r="Z91" s="32">
        <v>2.1553705984545646E-2</v>
      </c>
      <c r="AA91" s="32">
        <v>645.18493422802351</v>
      </c>
      <c r="AB91" s="32">
        <v>647.10287475946643</v>
      </c>
      <c r="AC91" s="32">
        <v>2.9726988801090926E-3</v>
      </c>
      <c r="AD91" s="32">
        <v>0.66278569653280417</v>
      </c>
      <c r="AE91" s="32">
        <v>0.66095900251839501</v>
      </c>
      <c r="AF91" s="32">
        <v>0.66493263231848176</v>
      </c>
      <c r="AG91" s="32">
        <v>0.5023910419173423</v>
      </c>
      <c r="AH91" s="32">
        <v>0.50403503032403363</v>
      </c>
      <c r="AI91" s="32">
        <v>614.2706584454213</v>
      </c>
      <c r="AJ91" s="32">
        <v>616.28075368358657</v>
      </c>
      <c r="AK91" s="32"/>
      <c r="AL91" s="32">
        <v>3.2723282652835639E-3</v>
      </c>
      <c r="AM91" s="32">
        <v>1.05</v>
      </c>
      <c r="AN91" s="32">
        <v>1.07</v>
      </c>
      <c r="AO91" s="32">
        <v>1.05</v>
      </c>
      <c r="AP91" s="32">
        <v>1.904761904761898E-2</v>
      </c>
      <c r="AQ91" s="32">
        <v>0.59502929974702767</v>
      </c>
      <c r="AR91" s="32">
        <v>0.27959888888888895</v>
      </c>
      <c r="AS91" s="32">
        <v>1.8083541592288421</v>
      </c>
      <c r="AT91" s="32">
        <v>93.122535770591881</v>
      </c>
      <c r="AU91" s="32">
        <v>0.80577306355606915</v>
      </c>
      <c r="AV91" s="32">
        <v>33.266914874852617</v>
      </c>
      <c r="AW91" s="32">
        <v>326.61730999999997</v>
      </c>
      <c r="AX91" s="32">
        <v>131.07678000000001</v>
      </c>
      <c r="AY91" s="32">
        <v>355.35705000000002</v>
      </c>
      <c r="AZ91" s="32">
        <v>94.719497000000004</v>
      </c>
      <c r="BA91" s="32">
        <v>173.69934465050724</v>
      </c>
      <c r="BB91" s="32">
        <v>189.25349189228103</v>
      </c>
      <c r="BC91" s="32">
        <v>358.94442252076789</v>
      </c>
      <c r="BD91" s="32">
        <v>60.657061323453355</v>
      </c>
      <c r="BE91" s="32">
        <v>-42.014501998819327</v>
      </c>
      <c r="BF91" s="32">
        <v>99.055634404162731</v>
      </c>
      <c r="BG91" s="19"/>
      <c r="BH91" s="19"/>
      <c r="BI91" s="19"/>
      <c r="BJ91" s="19"/>
    </row>
    <row r="92" spans="1:62" ht="15.75" x14ac:dyDescent="0.25">
      <c r="A92" s="10">
        <v>91</v>
      </c>
      <c r="B92" s="1" t="s">
        <v>478</v>
      </c>
      <c r="C92" s="1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67"/>
      <c r="K92" s="32">
        <v>0.85624408384267747</v>
      </c>
      <c r="L92" s="32">
        <v>1603.0407756769794</v>
      </c>
      <c r="M92" s="32">
        <v>18.216372450874765</v>
      </c>
      <c r="N92" s="32">
        <v>3.599705491835187</v>
      </c>
      <c r="O92" s="32">
        <v>1.2089626629722496</v>
      </c>
      <c r="P92" s="32">
        <v>1442.6186709600402</v>
      </c>
      <c r="Q92" s="32">
        <v>16.393393988182275</v>
      </c>
      <c r="R92" s="32">
        <v>1176.6296189492659</v>
      </c>
      <c r="S92" s="32">
        <v>1176.6296189492659</v>
      </c>
      <c r="T92" s="32">
        <v>1620.3273369420249</v>
      </c>
      <c r="U92" s="32">
        <v>823.97371898627341</v>
      </c>
      <c r="V92" s="32">
        <v>786.65340070279137</v>
      </c>
      <c r="W92" s="32">
        <v>4.7441882600571361E-2</v>
      </c>
      <c r="X92" s="32">
        <v>3.441194238443281</v>
      </c>
      <c r="Y92" s="32">
        <v>3.7364264241213307</v>
      </c>
      <c r="Z92" s="32">
        <v>8.5793525509215707E-2</v>
      </c>
      <c r="AA92" s="32">
        <v>708.8634036010618</v>
      </c>
      <c r="AB92" s="32">
        <v>734.81813825270376</v>
      </c>
      <c r="AC92" s="32">
        <v>3.6614578379685847E-2</v>
      </c>
      <c r="AD92" s="32">
        <v>0.66231745231818473</v>
      </c>
      <c r="AE92" s="32">
        <v>0.65417838869745659</v>
      </c>
      <c r="AF92" s="32">
        <v>0.67138529903796262</v>
      </c>
      <c r="AG92" s="32">
        <v>0.49032621795056358</v>
      </c>
      <c r="AH92" s="32">
        <v>0.50868502094126944</v>
      </c>
      <c r="AI92" s="32">
        <v>392.97430674552845</v>
      </c>
      <c r="AJ92" s="32">
        <v>407.68805774196761</v>
      </c>
      <c r="AK92" s="32"/>
      <c r="AL92" s="32">
        <v>3.7442017821198492E-2</v>
      </c>
      <c r="AM92" s="32">
        <v>1.8</v>
      </c>
      <c r="AN92" s="32">
        <v>1.72</v>
      </c>
      <c r="AO92" s="32">
        <v>1.87</v>
      </c>
      <c r="AP92" s="32">
        <v>8.720930232558155E-2</v>
      </c>
      <c r="AQ92" s="32">
        <v>-0.95102635161708582</v>
      </c>
      <c r="AR92" s="32">
        <v>0.34503250000000002</v>
      </c>
      <c r="AS92" s="32">
        <v>1.7638700464119927</v>
      </c>
      <c r="AT92" s="32">
        <v>57.169263736060174</v>
      </c>
      <c r="AU92" s="32">
        <v>0.87626167923496279</v>
      </c>
      <c r="AV92" s="32">
        <v>22.848390282710866</v>
      </c>
      <c r="AW92" s="32">
        <v>289.27844545454548</v>
      </c>
      <c r="AX92" s="32">
        <v>129.43248181818183</v>
      </c>
      <c r="AY92" s="32">
        <v>342.76081818181814</v>
      </c>
      <c r="AZ92" s="32">
        <v>96.726888181818182</v>
      </c>
      <c r="BA92" s="32">
        <v>129.36390997568756</v>
      </c>
      <c r="BB92" s="32">
        <v>162.30357191815494</v>
      </c>
      <c r="BC92" s="32">
        <v>306.31736497135614</v>
      </c>
      <c r="BD92" s="32">
        <v>75.490582939535074</v>
      </c>
      <c r="BE92" s="32">
        <v>-51.677494578515876</v>
      </c>
      <c r="BF92" s="32">
        <v>122.25186802531971</v>
      </c>
      <c r="BG92" s="19"/>
      <c r="BH92" s="19"/>
      <c r="BI92" s="19"/>
      <c r="BJ92" s="19"/>
    </row>
    <row r="93" spans="1:62" ht="15.75" x14ac:dyDescent="0.25">
      <c r="A93" s="10">
        <v>92</v>
      </c>
      <c r="B93" s="1" t="s">
        <v>480</v>
      </c>
      <c r="C93" s="1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67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19"/>
      <c r="BH93" s="19"/>
      <c r="BI93" s="19"/>
      <c r="BJ93" s="19"/>
    </row>
    <row r="94" spans="1:62" ht="15.75" x14ac:dyDescent="0.25">
      <c r="A94" s="10">
        <v>93</v>
      </c>
      <c r="B94" s="1" t="s">
        <v>482</v>
      </c>
      <c r="C94" s="1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67"/>
      <c r="K94" s="32">
        <v>0.58453910709633516</v>
      </c>
      <c r="L94" s="32">
        <v>1086.7357041139285</v>
      </c>
      <c r="M94" s="32">
        <v>12.710359112443609</v>
      </c>
      <c r="N94" s="32">
        <v>4.3944620453436434</v>
      </c>
      <c r="O94" s="32">
        <v>0.99630089466981431</v>
      </c>
      <c r="P94" s="32">
        <v>1193.9047012621147</v>
      </c>
      <c r="Q94" s="32">
        <v>13.963797675580288</v>
      </c>
      <c r="R94" s="32">
        <v>294.78849671400326</v>
      </c>
      <c r="S94" s="32">
        <v>294.78849671400326</v>
      </c>
      <c r="T94" s="32">
        <v>440.03565535813135</v>
      </c>
      <c r="U94" s="32">
        <v>607.32470325100076</v>
      </c>
      <c r="V94" s="32">
        <v>488.48923443509085</v>
      </c>
      <c r="W94" s="32">
        <v>0.24327141815793785</v>
      </c>
      <c r="X94" s="32">
        <v>3.7209247218866941</v>
      </c>
      <c r="Y94" s="32">
        <v>6.4831853578204193</v>
      </c>
      <c r="Z94" s="32">
        <v>0.74235864533510942</v>
      </c>
      <c r="AA94" s="32">
        <v>564.95237563478724</v>
      </c>
      <c r="AB94" s="32">
        <v>791.74156303562177</v>
      </c>
      <c r="AC94" s="32">
        <v>0.40143062881364378</v>
      </c>
      <c r="AD94" s="32">
        <v>0.68211766679880204</v>
      </c>
      <c r="AE94" s="32">
        <v>0.68979479825018875</v>
      </c>
      <c r="AF94" s="32">
        <v>0.67467252564794378</v>
      </c>
      <c r="AG94" s="32">
        <v>0.45743721103232932</v>
      </c>
      <c r="AH94" s="32">
        <v>0.59468520764106014</v>
      </c>
      <c r="AI94" s="32">
        <v>248.2434406570278</v>
      </c>
      <c r="AJ94" s="32">
        <v>322.72560800092469</v>
      </c>
      <c r="AK94" s="32"/>
      <c r="AL94" s="32">
        <v>0.3000367991466939</v>
      </c>
      <c r="AM94" s="32">
        <v>2.2000000000000002</v>
      </c>
      <c r="AN94" s="32">
        <v>1.86</v>
      </c>
      <c r="AO94" s="32">
        <v>3.24</v>
      </c>
      <c r="AP94" s="32">
        <v>0.74193548387096775</v>
      </c>
      <c r="AQ94" s="32">
        <v>-10.797284280206298</v>
      </c>
      <c r="AR94" s="32">
        <v>0.36371249999999999</v>
      </c>
      <c r="AS94" s="32">
        <v>1.3857550874687532</v>
      </c>
      <c r="AT94" s="32">
        <v>112.0856471347407</v>
      </c>
      <c r="AU94" s="32">
        <v>0.98682740776285738</v>
      </c>
      <c r="AV94" s="32">
        <v>4.1639553597462955</v>
      </c>
      <c r="AW94" s="32">
        <v>171.43691666666666</v>
      </c>
      <c r="AX94" s="32">
        <v>144.33118666666667</v>
      </c>
      <c r="AY94" s="32">
        <v>207.77711666666667</v>
      </c>
      <c r="AZ94" s="32">
        <v>123.72257583333332</v>
      </c>
      <c r="BA94" s="32">
        <v>81.561909874906178</v>
      </c>
      <c r="BB94" s="32">
        <v>102.75669811043444</v>
      </c>
      <c r="BC94" s="32">
        <v>194.21296185654433</v>
      </c>
      <c r="BD94" s="32">
        <v>84.360072800933267</v>
      </c>
      <c r="BE94" s="32">
        <v>-69.188817515168651</v>
      </c>
      <c r="BF94" s="32">
        <v>145.40485266451813</v>
      </c>
      <c r="BG94" s="19"/>
      <c r="BH94" s="19"/>
      <c r="BI94" s="19"/>
      <c r="BJ94" s="19"/>
    </row>
    <row r="95" spans="1:62" ht="15.75" x14ac:dyDescent="0.25">
      <c r="A95" s="10">
        <v>94</v>
      </c>
      <c r="B95" s="1" t="s">
        <v>484</v>
      </c>
      <c r="C95" s="1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67"/>
      <c r="K95" s="32">
        <v>0.90765472507648048</v>
      </c>
      <c r="L95" s="32">
        <v>1930.9919330890771</v>
      </c>
      <c r="M95" s="32">
        <v>25.077817312845156</v>
      </c>
      <c r="N95" s="32">
        <v>4.0529303412286222</v>
      </c>
      <c r="O95" s="32">
        <v>1.3592351177687461</v>
      </c>
      <c r="P95" s="32">
        <v>1956.5439485711074</v>
      </c>
      <c r="Q95" s="32">
        <v>25.409661669754641</v>
      </c>
      <c r="R95" s="32">
        <v>5954.1451619691279</v>
      </c>
      <c r="S95" s="32">
        <v>5954.1451619691279</v>
      </c>
      <c r="T95" s="32">
        <v>9105.2651764231996</v>
      </c>
      <c r="U95" s="32">
        <v>1052.0647662931899</v>
      </c>
      <c r="V95" s="32">
        <v>882.3071299118692</v>
      </c>
      <c r="W95" s="32">
        <v>0.19240197730044106</v>
      </c>
      <c r="X95" s="32">
        <v>3.8625029467577159</v>
      </c>
      <c r="Y95" s="32">
        <v>4.2842939260678392</v>
      </c>
      <c r="Z95" s="32">
        <v>0.10920146473006209</v>
      </c>
      <c r="AA95" s="32">
        <v>1015.9008149968535</v>
      </c>
      <c r="AB95" s="32">
        <v>945.01576940194229</v>
      </c>
      <c r="AC95" s="32">
        <v>7.5009378562826523E-2</v>
      </c>
      <c r="AD95" s="32">
        <v>0.67077446223543125</v>
      </c>
      <c r="AE95" s="32">
        <v>0.66615855503112187</v>
      </c>
      <c r="AF95" s="32">
        <v>0.67624666760824492</v>
      </c>
      <c r="AG95" s="32">
        <v>0.51787635895816941</v>
      </c>
      <c r="AH95" s="32">
        <v>0.48168023180854608</v>
      </c>
      <c r="AI95" s="32">
        <v>499.13535626699695</v>
      </c>
      <c r="AJ95" s="32">
        <v>464.24910106767038</v>
      </c>
      <c r="AK95" s="32"/>
      <c r="AL95" s="32">
        <v>7.5145552504239488E-2</v>
      </c>
      <c r="AM95" s="32">
        <v>2.0300000000000002</v>
      </c>
      <c r="AN95" s="32">
        <v>1.93</v>
      </c>
      <c r="AO95" s="32">
        <v>2.14</v>
      </c>
      <c r="AP95" s="32">
        <v>0.10880829015544058</v>
      </c>
      <c r="AQ95" s="32">
        <v>-14.765929625865478</v>
      </c>
      <c r="AR95" s="32">
        <v>0.34017124999999998</v>
      </c>
      <c r="AS95" s="32">
        <v>2.0667618707604372</v>
      </c>
      <c r="AT95" s="32">
        <v>42.181725619282609</v>
      </c>
      <c r="AU95" s="32">
        <v>0.96669840155279207</v>
      </c>
      <c r="AV95" s="32">
        <v>10.135946195996173</v>
      </c>
      <c r="AW95" s="32">
        <v>343.57014444444445</v>
      </c>
      <c r="AX95" s="32">
        <v>79.473623333333336</v>
      </c>
      <c r="AY95" s="32">
        <v>437.33070000000004</v>
      </c>
      <c r="AZ95" s="32">
        <v>71.569310000000002</v>
      </c>
      <c r="BA95" s="32">
        <v>218.19849038756649</v>
      </c>
      <c r="BB95" s="32">
        <v>258.50312846774</v>
      </c>
      <c r="BC95" s="32">
        <v>469.18810997608921</v>
      </c>
      <c r="BD95" s="32">
        <v>28.019312000695606</v>
      </c>
      <c r="BE95" s="32">
        <v>-26.74149529694856</v>
      </c>
      <c r="BF95" s="32">
        <v>56.658181605800834</v>
      </c>
      <c r="BG95" s="19"/>
      <c r="BH95" s="19"/>
      <c r="BI95" s="19"/>
      <c r="BJ95" s="19"/>
    </row>
    <row r="96" spans="1:62" ht="15.75" x14ac:dyDescent="0.25">
      <c r="A96" s="10">
        <v>95</v>
      </c>
      <c r="B96" s="1" t="s">
        <v>486</v>
      </c>
      <c r="C96" s="1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67"/>
      <c r="K96" s="32">
        <v>0.84804936913961682</v>
      </c>
      <c r="L96" s="32">
        <v>1931.9647482334321</v>
      </c>
      <c r="M96" s="32">
        <v>25.588937062694466</v>
      </c>
      <c r="N96" s="32">
        <v>3.0761367420913297</v>
      </c>
      <c r="O96" s="32">
        <v>1.2256789577163083</v>
      </c>
      <c r="P96" s="32">
        <v>1485.7469366165215</v>
      </c>
      <c r="Q96" s="32">
        <v>19.678767372404259</v>
      </c>
      <c r="R96" s="32">
        <v>1695.3665526565303</v>
      </c>
      <c r="S96" s="32">
        <v>1695.3665526565303</v>
      </c>
      <c r="T96" s="32">
        <v>2711.9934288215964</v>
      </c>
      <c r="U96" s="32">
        <v>996.52295807232338</v>
      </c>
      <c r="V96" s="32">
        <v>998.4199909848536</v>
      </c>
      <c r="W96" s="32">
        <v>1.9036519903161686E-3</v>
      </c>
      <c r="X96" s="32">
        <v>2.901023369974943</v>
      </c>
      <c r="Y96" s="32">
        <v>3.0193048307287671</v>
      </c>
      <c r="Z96" s="32">
        <v>4.0772322614845313E-2</v>
      </c>
      <c r="AA96" s="32">
        <v>722.73409752109262</v>
      </c>
      <c r="AB96" s="32">
        <v>753.63357546918519</v>
      </c>
      <c r="AC96" s="32">
        <v>4.2753590918257256E-2</v>
      </c>
      <c r="AD96" s="32">
        <v>0.5899423953403603</v>
      </c>
      <c r="AE96" s="32">
        <v>0.59931829155586247</v>
      </c>
      <c r="AF96" s="32">
        <v>0.58108229235831554</v>
      </c>
      <c r="AG96" s="32">
        <v>0.48459421571053168</v>
      </c>
      <c r="AH96" s="32">
        <v>0.50703804121063367</v>
      </c>
      <c r="AI96" s="32">
        <v>467.52158175985562</v>
      </c>
      <c r="AJ96" s="32">
        <v>489.17469370046075</v>
      </c>
      <c r="AK96" s="32"/>
      <c r="AL96" s="32">
        <v>4.6314678905512663E-2</v>
      </c>
      <c r="AM96" s="32">
        <v>1.54</v>
      </c>
      <c r="AN96" s="32">
        <v>1.45</v>
      </c>
      <c r="AO96" s="32">
        <v>1.51</v>
      </c>
      <c r="AP96" s="32">
        <v>4.1379310344827669E-2</v>
      </c>
      <c r="AQ96" s="32">
        <v>2.0715020530549437</v>
      </c>
      <c r="AR96" s="32">
        <v>0.29388166666666665</v>
      </c>
      <c r="AS96" s="32">
        <v>1.830013090562888</v>
      </c>
      <c r="AT96" s="32">
        <v>112.2290278476775</v>
      </c>
      <c r="AU96" s="32">
        <v>0.91460702966033358</v>
      </c>
      <c r="AV96" s="32">
        <v>21.273964956792593</v>
      </c>
      <c r="AW96" s="32">
        <v>545.33391818181815</v>
      </c>
      <c r="AX96" s="32">
        <v>175.34069090909091</v>
      </c>
      <c r="AY96" s="32">
        <v>532.86925454545451</v>
      </c>
      <c r="AZ96" s="32">
        <v>108.68526454545457</v>
      </c>
      <c r="BA96" s="32">
        <v>266.22490024876066</v>
      </c>
      <c r="BB96" s="32">
        <v>268.07133953958731</v>
      </c>
      <c r="BC96" s="32">
        <v>527.22419907832489</v>
      </c>
      <c r="BD96" s="32">
        <v>94.470221134241513</v>
      </c>
      <c r="BE96" s="32">
        <v>-60.083706262409599</v>
      </c>
      <c r="BF96" s="32">
        <v>148.92455330002255</v>
      </c>
      <c r="BG96" s="19"/>
      <c r="BH96" s="19"/>
      <c r="BI96" s="19"/>
      <c r="BJ96" s="19"/>
    </row>
    <row r="97" spans="1:62" ht="15.75" x14ac:dyDescent="0.25">
      <c r="A97" s="10">
        <v>96</v>
      </c>
      <c r="B97" s="1" t="s">
        <v>488</v>
      </c>
      <c r="C97" s="1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67"/>
      <c r="K97" s="32">
        <v>0.83937518282369994</v>
      </c>
      <c r="L97" s="32">
        <v>2022.2706510838243</v>
      </c>
      <c r="M97" s="32">
        <v>27.327981771403032</v>
      </c>
      <c r="N97" s="32">
        <v>2.8925588229816861</v>
      </c>
      <c r="O97" s="32">
        <v>1.2512264401871271</v>
      </c>
      <c r="P97" s="32">
        <v>1462.3842035623586</v>
      </c>
      <c r="Q97" s="32">
        <v>19.761948696788629</v>
      </c>
      <c r="R97" s="32">
        <v>3988.6677422754951</v>
      </c>
      <c r="S97" s="32">
        <v>3988.6677422754951</v>
      </c>
      <c r="T97" s="32">
        <v>5949.7726300678532</v>
      </c>
      <c r="U97" s="32">
        <v>1030.7784913791995</v>
      </c>
      <c r="V97" s="32">
        <v>960.21816217279718</v>
      </c>
      <c r="W97" s="32">
        <v>7.3483643599010051E-2</v>
      </c>
      <c r="X97" s="32">
        <v>3.2823647755715339</v>
      </c>
      <c r="Y97" s="32">
        <v>2.828347798230884</v>
      </c>
      <c r="Z97" s="32">
        <v>0.16052374380004997</v>
      </c>
      <c r="AA97" s="32">
        <v>845.84775287996263</v>
      </c>
      <c r="AB97" s="32">
        <v>678.95773120068418</v>
      </c>
      <c r="AC97" s="32">
        <v>0.24580325697764183</v>
      </c>
      <c r="AD97" s="32">
        <v>0.59956602423741767</v>
      </c>
      <c r="AE97" s="32">
        <v>0.61204184193661426</v>
      </c>
      <c r="AF97" s="32">
        <v>0.58581718725096454</v>
      </c>
      <c r="AG97" s="32">
        <v>0.5705580380083487</v>
      </c>
      <c r="AH97" s="32">
        <v>0.46398646208157662</v>
      </c>
      <c r="AI97" s="32">
        <v>575.42726910696115</v>
      </c>
      <c r="AJ97" s="32">
        <v>467.94619476431859</v>
      </c>
      <c r="AK97" s="32"/>
      <c r="AL97" s="32">
        <v>0.22968682200049839</v>
      </c>
      <c r="AM97" s="32">
        <v>1.45</v>
      </c>
      <c r="AN97" s="32">
        <v>1.6400000000000001</v>
      </c>
      <c r="AO97" s="32">
        <v>1.41</v>
      </c>
      <c r="AP97" s="32">
        <v>0.16312056737588665</v>
      </c>
      <c r="AQ97" s="32">
        <v>-10.990115111482421</v>
      </c>
      <c r="AR97" s="32">
        <v>0.31381375</v>
      </c>
      <c r="AS97" s="32">
        <v>1.8822027847197551</v>
      </c>
      <c r="AT97" s="32">
        <v>82.857422387673182</v>
      </c>
      <c r="AU97" s="32">
        <v>0.72263089519906476</v>
      </c>
      <c r="AV97" s="32">
        <v>36.333876590945678</v>
      </c>
      <c r="AW97" s="32">
        <v>456.99954000000008</v>
      </c>
      <c r="AX97" s="32">
        <v>145.32103000000001</v>
      </c>
      <c r="AY97" s="32">
        <v>510.01356999999996</v>
      </c>
      <c r="AZ97" s="32">
        <v>108.16217499999998</v>
      </c>
      <c r="BA97" s="32">
        <v>244.62569985896334</v>
      </c>
      <c r="BB97" s="32">
        <v>285.26052994157607</v>
      </c>
      <c r="BC97" s="32">
        <v>522.93284391209784</v>
      </c>
      <c r="BD97" s="32">
        <v>82.6980474506706</v>
      </c>
      <c r="BE97" s="32">
        <v>-60.184723813344831</v>
      </c>
      <c r="BF97" s="32">
        <v>139.50279350813926</v>
      </c>
      <c r="BG97" s="19"/>
      <c r="BH97" s="19"/>
      <c r="BI97" s="19"/>
      <c r="BJ97" s="19"/>
    </row>
    <row r="98" spans="1:62" ht="15.75" x14ac:dyDescent="0.25">
      <c r="A98" s="10">
        <v>97</v>
      </c>
      <c r="B98" s="1" t="s">
        <v>490</v>
      </c>
      <c r="C98" s="1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67"/>
      <c r="K98" s="32">
        <v>0.85232048924913884</v>
      </c>
      <c r="L98" s="32">
        <v>1695.5484516078257</v>
      </c>
      <c r="M98" s="32">
        <v>22.607312688104344</v>
      </c>
      <c r="N98" s="32">
        <v>4.3689791426190441</v>
      </c>
      <c r="O98" s="32">
        <v>1.2514916183622389</v>
      </c>
      <c r="P98" s="32">
        <v>1851.9539550936515</v>
      </c>
      <c r="Q98" s="32">
        <v>24.692719401248688</v>
      </c>
      <c r="R98" s="32">
        <v>3313.8882960711335</v>
      </c>
      <c r="S98" s="32">
        <v>3313.8882960711335</v>
      </c>
      <c r="T98" s="32">
        <v>4828.6215446060305</v>
      </c>
      <c r="U98" s="32">
        <v>757.88334433693637</v>
      </c>
      <c r="V98" s="32">
        <v>941.45102426443009</v>
      </c>
      <c r="W98" s="32">
        <v>0.24221099632172938</v>
      </c>
      <c r="X98" s="32">
        <v>4.9067789239873694</v>
      </c>
      <c r="Y98" s="32">
        <v>4.0277198866037605</v>
      </c>
      <c r="Z98" s="32">
        <v>0.21825227725179408</v>
      </c>
      <c r="AA98" s="32">
        <v>929.69150520838537</v>
      </c>
      <c r="AB98" s="32">
        <v>947.97525317333111</v>
      </c>
      <c r="AC98" s="32">
        <v>1.9666467707315061E-2</v>
      </c>
      <c r="AD98" s="32">
        <v>0.61513896317676187</v>
      </c>
      <c r="AE98" s="32">
        <v>0.62491896870207797</v>
      </c>
      <c r="AF98" s="32">
        <v>0.60716622979642354</v>
      </c>
      <c r="AG98" s="32">
        <v>0.49577422417121486</v>
      </c>
      <c r="AH98" s="32">
        <v>0.50839673097154392</v>
      </c>
      <c r="AI98" s="32">
        <v>421.16842070799191</v>
      </c>
      <c r="AJ98" s="32">
        <v>431.89144944825682</v>
      </c>
      <c r="AK98" s="32"/>
      <c r="AL98" s="32">
        <v>2.546019172624403E-2</v>
      </c>
      <c r="AM98" s="32">
        <v>2.1800000000000002</v>
      </c>
      <c r="AN98" s="32">
        <v>2.4500000000000002</v>
      </c>
      <c r="AO98" s="32">
        <v>2.0100000000000002</v>
      </c>
      <c r="AP98" s="32">
        <v>0.21890547263681581</v>
      </c>
      <c r="AQ98" s="32">
        <v>13.07025924048936</v>
      </c>
      <c r="AR98" s="32">
        <v>0.31343875000000004</v>
      </c>
      <c r="AS98" s="32">
        <v>2.0166547661549572</v>
      </c>
      <c r="AT98" s="32">
        <v>45.098104478007933</v>
      </c>
      <c r="AU98" s="32">
        <v>0.79700703304156684</v>
      </c>
      <c r="AV98" s="32">
        <v>16.599165377993558</v>
      </c>
      <c r="AW98" s="32">
        <v>523.01328000000001</v>
      </c>
      <c r="AX98" s="32">
        <v>174.20137</v>
      </c>
      <c r="AY98" s="32">
        <v>433.28792000000004</v>
      </c>
      <c r="AZ98" s="32">
        <v>128.35756000000001</v>
      </c>
      <c r="BA98" s="32">
        <v>279.99802034166891</v>
      </c>
      <c r="BB98" s="32">
        <v>223.72567389478678</v>
      </c>
      <c r="BC98" s="32">
        <v>494.27831876171996</v>
      </c>
      <c r="BD98" s="32">
        <v>78.544458104007532</v>
      </c>
      <c r="BE98" s="32">
        <v>-51.338671591884079</v>
      </c>
      <c r="BF98" s="32">
        <v>127.55928652923176</v>
      </c>
      <c r="BG98" s="19"/>
      <c r="BH98" s="19"/>
      <c r="BI98" s="19"/>
      <c r="BJ98" s="19"/>
    </row>
    <row r="99" spans="1:62" ht="15.75" x14ac:dyDescent="0.25">
      <c r="A99" s="10">
        <v>98</v>
      </c>
      <c r="B99" s="1" t="s">
        <v>492</v>
      </c>
      <c r="C99" s="1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67"/>
      <c r="K99" s="32">
        <v>0.93789959682108148</v>
      </c>
      <c r="L99" s="32">
        <v>1692.6372416186382</v>
      </c>
      <c r="M99" s="32">
        <v>19.344425618498722</v>
      </c>
      <c r="N99" s="32">
        <v>3.881214572304085</v>
      </c>
      <c r="O99" s="32">
        <v>1.1690188189574409</v>
      </c>
      <c r="P99" s="32">
        <v>1642.3720819487123</v>
      </c>
      <c r="Q99" s="32">
        <v>18.769966650842427</v>
      </c>
      <c r="R99" s="32">
        <v>2060.6473182099412</v>
      </c>
      <c r="S99" s="32">
        <v>2060.6473182099412</v>
      </c>
      <c r="T99" s="32">
        <v>3106.830709042471</v>
      </c>
      <c r="U99" s="32">
        <v>1066.3929592835073</v>
      </c>
      <c r="V99" s="32">
        <v>735.68960803412597</v>
      </c>
      <c r="W99" s="32">
        <v>0.44951477856683431</v>
      </c>
      <c r="X99" s="32">
        <v>3.3030415297179263</v>
      </c>
      <c r="Y99" s="32">
        <v>3.5579764365196609</v>
      </c>
      <c r="Z99" s="32">
        <v>7.7181865413452844E-2</v>
      </c>
      <c r="AA99" s="32">
        <v>880.58505787805552</v>
      </c>
      <c r="AB99" s="32">
        <v>654.39157249445145</v>
      </c>
      <c r="AC99" s="32">
        <v>0.34565464301654325</v>
      </c>
      <c r="AD99" s="32">
        <v>0.66753397232636147</v>
      </c>
      <c r="AE99" s="32">
        <v>0.65338166739366321</v>
      </c>
      <c r="AF99" s="32">
        <v>0.68917206018068577</v>
      </c>
      <c r="AG99" s="32">
        <v>0.51980750024778466</v>
      </c>
      <c r="AH99" s="32">
        <v>0.39517909727378803</v>
      </c>
      <c r="AI99" s="32">
        <v>440.06043442824875</v>
      </c>
      <c r="AJ99" s="32">
        <v>334.55208926452474</v>
      </c>
      <c r="AK99" s="32"/>
      <c r="AL99" s="32">
        <v>0.31537195118306482</v>
      </c>
      <c r="AM99" s="32">
        <v>1.94</v>
      </c>
      <c r="AN99" s="32">
        <v>1.6500000000000001</v>
      </c>
      <c r="AO99" s="32">
        <v>1.78</v>
      </c>
      <c r="AP99" s="32">
        <v>7.8787878787878629E-2</v>
      </c>
      <c r="AQ99" s="32">
        <v>-33.094134462325606</v>
      </c>
      <c r="AR99" s="32">
        <v>0.30946499999999999</v>
      </c>
      <c r="AS99" s="32">
        <v>1.6072593121504386</v>
      </c>
      <c r="AT99" s="32">
        <v>85.572438815478947</v>
      </c>
      <c r="AU99" s="32">
        <v>0.94731318886498228</v>
      </c>
      <c r="AV99" s="32">
        <v>14.941631906091549</v>
      </c>
      <c r="AW99" s="32">
        <v>289.15249166666666</v>
      </c>
      <c r="AX99" s="32">
        <v>100.53183666666666</v>
      </c>
      <c r="AY99" s="32">
        <v>472.73889166666669</v>
      </c>
      <c r="AZ99" s="32">
        <v>109.12631833333336</v>
      </c>
      <c r="BA99" s="32">
        <v>145.89793170577278</v>
      </c>
      <c r="BB99" s="32">
        <v>258.93178362008888</v>
      </c>
      <c r="BC99" s="32">
        <v>403.88235268833932</v>
      </c>
      <c r="BD99" s="32">
        <v>52.564888385475705</v>
      </c>
      <c r="BE99" s="32">
        <v>-54.323152632776498</v>
      </c>
      <c r="BF99" s="32">
        <v>105.55965209441148</v>
      </c>
      <c r="BG99" s="19"/>
      <c r="BH99" s="19"/>
      <c r="BI99" s="19"/>
      <c r="BJ99" s="19"/>
    </row>
    <row r="100" spans="1:62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67"/>
      <c r="K100" s="32">
        <v>0.90077030770166278</v>
      </c>
      <c r="L100" s="32">
        <v>2261.7510953878027</v>
      </c>
      <c r="M100" s="32">
        <v>26.299431341718638</v>
      </c>
      <c r="N100" s="32">
        <v>4.8420791072433831</v>
      </c>
      <c r="O100" s="32">
        <v>1.5599116387004641</v>
      </c>
      <c r="P100" s="32">
        <v>2737.8944311905288</v>
      </c>
      <c r="Q100" s="32">
        <v>31.835981758029405</v>
      </c>
      <c r="R100" s="32">
        <v>2899.1168232096302</v>
      </c>
      <c r="S100" s="32">
        <v>2899.1168232096302</v>
      </c>
      <c r="T100" s="32">
        <v>4437.9981193670601</v>
      </c>
      <c r="U100" s="32">
        <v>1039.8126272265015</v>
      </c>
      <c r="V100" s="32">
        <v>1258.9003987734523</v>
      </c>
      <c r="W100" s="32">
        <v>0.21069927966861202</v>
      </c>
      <c r="X100" s="32">
        <v>5.1091557383504407</v>
      </c>
      <c r="Y100" s="32">
        <v>4.5726086243721049</v>
      </c>
      <c r="Z100" s="32">
        <v>0.11733939159335183</v>
      </c>
      <c r="AA100" s="32">
        <v>1328.1411628008818</v>
      </c>
      <c r="AB100" s="32">
        <v>1439.1147051642424</v>
      </c>
      <c r="AC100" s="32">
        <v>8.3555532703565527E-2</v>
      </c>
      <c r="AD100" s="32">
        <v>0.67624716031571985</v>
      </c>
      <c r="AE100" s="32">
        <v>0.69887536657413174</v>
      </c>
      <c r="AF100" s="32">
        <v>0.65792773250298198</v>
      </c>
      <c r="AG100" s="32">
        <v>0.48374963243186647</v>
      </c>
      <c r="AH100" s="32">
        <v>0.52383096069036394</v>
      </c>
      <c r="AI100" s="32">
        <v>547.29552914708972</v>
      </c>
      <c r="AJ100" s="32">
        <v>592.6419858417978</v>
      </c>
      <c r="AK100" s="32"/>
      <c r="AL100" s="32">
        <v>8.285552188846923E-2</v>
      </c>
      <c r="AM100" s="32">
        <v>2.42</v>
      </c>
      <c r="AN100" s="32">
        <v>2.5500000000000003</v>
      </c>
      <c r="AO100" s="32">
        <v>2.29</v>
      </c>
      <c r="AP100" s="32">
        <v>0.11353711790393017</v>
      </c>
      <c r="AQ100" s="32">
        <v>12.485923113141533</v>
      </c>
      <c r="AR100" s="32">
        <v>0.38916099999999998</v>
      </c>
      <c r="AS100" s="32">
        <v>2.3739521599428777</v>
      </c>
      <c r="AT100" s="32">
        <v>33.366496369744169</v>
      </c>
      <c r="AU100" s="32">
        <v>0.80834373245051938</v>
      </c>
      <c r="AV100" s="32">
        <v>21.327368077589291</v>
      </c>
      <c r="AW100" s="32">
        <v>498.29016000000001</v>
      </c>
      <c r="AX100" s="32">
        <v>174.88964000000001</v>
      </c>
      <c r="AY100" s="32">
        <v>410.25193000000002</v>
      </c>
      <c r="AZ100" s="32">
        <v>99.761725000000013</v>
      </c>
      <c r="BA100" s="32">
        <v>251.9264946640796</v>
      </c>
      <c r="BB100" s="32">
        <v>199.78800021509929</v>
      </c>
      <c r="BC100" s="32">
        <v>454.84476647674649</v>
      </c>
      <c r="BD100" s="32">
        <v>90.932727034771091</v>
      </c>
      <c r="BE100" s="32">
        <v>-42.78974274166751</v>
      </c>
      <c r="BF100" s="32">
        <v>133.10993556182763</v>
      </c>
      <c r="BG100" s="19"/>
      <c r="BH100" s="19"/>
      <c r="BI100" s="19"/>
      <c r="BJ100" s="19"/>
    </row>
    <row r="101" spans="1:62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67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</row>
    <row r="102" spans="1:62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67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</row>
    <row r="103" spans="1:62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67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</row>
    <row r="104" spans="1:62" s="32" customFormat="1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67" t="s">
        <v>156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</row>
    <row r="105" spans="1:62" s="32" customFormat="1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67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</row>
    <row r="106" spans="1:62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67"/>
    </row>
    <row r="107" spans="1:62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67"/>
    </row>
    <row r="108" spans="1:62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67"/>
    </row>
    <row r="109" spans="1:62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67"/>
    </row>
    <row r="110" spans="1:62" x14ac:dyDescent="0.25">
      <c r="J110" s="67"/>
    </row>
    <row r="111" spans="1:62" x14ac:dyDescent="0.25">
      <c r="J111" s="67"/>
    </row>
    <row r="112" spans="1:62" x14ac:dyDescent="0.25">
      <c r="J112" s="67"/>
    </row>
    <row r="113" spans="10:10" x14ac:dyDescent="0.25">
      <c r="J113" s="67"/>
    </row>
    <row r="114" spans="10:10" x14ac:dyDescent="0.25">
      <c r="J114" s="67"/>
    </row>
    <row r="115" spans="10:10" x14ac:dyDescent="0.25">
      <c r="J115" s="67"/>
    </row>
    <row r="116" spans="10:10" x14ac:dyDescent="0.25">
      <c r="J116" s="67"/>
    </row>
    <row r="117" spans="10:10" x14ac:dyDescent="0.25">
      <c r="J117" s="67"/>
    </row>
    <row r="118" spans="10:10" x14ac:dyDescent="0.25">
      <c r="J118" s="67"/>
    </row>
    <row r="119" spans="10:10" x14ac:dyDescent="0.25">
      <c r="J119" s="67"/>
    </row>
    <row r="120" spans="10:10" x14ac:dyDescent="0.25">
      <c r="J120" s="67"/>
    </row>
    <row r="121" spans="10:10" x14ac:dyDescent="0.25">
      <c r="J121" s="67"/>
    </row>
    <row r="122" spans="10:10" x14ac:dyDescent="0.25">
      <c r="J122" s="67"/>
    </row>
    <row r="123" spans="10:10" x14ac:dyDescent="0.25">
      <c r="J123" s="67"/>
    </row>
    <row r="124" spans="10:10" x14ac:dyDescent="0.25">
      <c r="J124" s="67"/>
    </row>
    <row r="125" spans="10:10" x14ac:dyDescent="0.25">
      <c r="J125" s="67"/>
    </row>
    <row r="126" spans="10:10" x14ac:dyDescent="0.25">
      <c r="J126" s="67"/>
    </row>
    <row r="127" spans="10:10" x14ac:dyDescent="0.25">
      <c r="J127" s="67"/>
    </row>
    <row r="128" spans="10:10" x14ac:dyDescent="0.25">
      <c r="J128" s="67"/>
    </row>
    <row r="129" spans="10:10" x14ac:dyDescent="0.25">
      <c r="J129" s="67"/>
    </row>
    <row r="130" spans="10:10" x14ac:dyDescent="0.25">
      <c r="J130" s="67"/>
    </row>
    <row r="131" spans="10:10" x14ac:dyDescent="0.25">
      <c r="J131" s="67"/>
    </row>
    <row r="132" spans="10:10" x14ac:dyDescent="0.25">
      <c r="J132" s="67"/>
    </row>
    <row r="133" spans="10:10" x14ac:dyDescent="0.25">
      <c r="J133" s="67"/>
    </row>
    <row r="134" spans="10:10" x14ac:dyDescent="0.25">
      <c r="J134" s="67"/>
    </row>
    <row r="135" spans="10:10" x14ac:dyDescent="0.25">
      <c r="J135" s="67"/>
    </row>
    <row r="136" spans="10:10" x14ac:dyDescent="0.25">
      <c r="J136" s="67"/>
    </row>
    <row r="137" spans="10:10" x14ac:dyDescent="0.25">
      <c r="J137" s="67"/>
    </row>
    <row r="138" spans="10:10" x14ac:dyDescent="0.25">
      <c r="J138" s="67"/>
    </row>
    <row r="139" spans="10:10" x14ac:dyDescent="0.25">
      <c r="J139" s="67"/>
    </row>
    <row r="140" spans="10:10" x14ac:dyDescent="0.25">
      <c r="J140" s="67"/>
    </row>
    <row r="141" spans="10:10" x14ac:dyDescent="0.25">
      <c r="J141" s="67"/>
    </row>
    <row r="142" spans="10:10" x14ac:dyDescent="0.25">
      <c r="J142" s="67"/>
    </row>
    <row r="143" spans="10:10" x14ac:dyDescent="0.25">
      <c r="J143" s="67"/>
    </row>
    <row r="144" spans="10:10" x14ac:dyDescent="0.25">
      <c r="J144" s="67"/>
    </row>
    <row r="145" spans="10:10" x14ac:dyDescent="0.25">
      <c r="J145" s="67"/>
    </row>
    <row r="146" spans="10:10" x14ac:dyDescent="0.25">
      <c r="J146" s="67"/>
    </row>
    <row r="147" spans="10:10" x14ac:dyDescent="0.25">
      <c r="J147" s="67"/>
    </row>
    <row r="148" spans="10:10" x14ac:dyDescent="0.25">
      <c r="J148" s="67"/>
    </row>
  </sheetData>
  <mergeCells count="3">
    <mergeCell ref="J1:J58"/>
    <mergeCell ref="J59:J103"/>
    <mergeCell ref="J104:J14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4F6-8FAD-42CE-BE25-DE01E49E7F72}">
  <dimension ref="A1:S109"/>
  <sheetViews>
    <sheetView topLeftCell="A40" zoomScale="70" zoomScaleNormal="70" workbookViewId="0">
      <selection activeCell="L34" sqref="L34"/>
    </sheetView>
  </sheetViews>
  <sheetFormatPr baseColWidth="10" defaultRowHeight="15" x14ac:dyDescent="0.25"/>
  <cols>
    <col min="1" max="1" width="14" bestFit="1" customWidth="1"/>
    <col min="2" max="3" width="13.140625" bestFit="1" customWidth="1"/>
    <col min="4" max="5" width="8.140625" bestFit="1" customWidth="1"/>
    <col min="6" max="6" width="6.85546875" bestFit="1" customWidth="1"/>
    <col min="7" max="7" width="13.85546875" bestFit="1" customWidth="1"/>
    <col min="8" max="8" width="6.7109375" bestFit="1" customWidth="1"/>
    <col min="9" max="9" width="8.140625" bestFit="1" customWidth="1"/>
    <col min="10" max="10" width="12" style="2" bestFit="1" customWidth="1"/>
    <col min="11" max="11" width="13.42578125" style="47" bestFit="1" customWidth="1"/>
    <col min="12" max="12" width="17.7109375" style="47" bestFit="1" customWidth="1"/>
    <col min="13" max="13" width="14" style="47" bestFit="1" customWidth="1"/>
    <col min="14" max="14" width="13" style="47" bestFit="1" customWidth="1"/>
    <col min="15" max="15" width="17.28515625" style="47" customWidth="1"/>
    <col min="16" max="16" width="12.140625" style="47" bestFit="1" customWidth="1"/>
    <col min="17" max="17" width="12.85546875" style="47" bestFit="1" customWidth="1"/>
    <col min="18" max="18" width="11.42578125" style="47" bestFit="1" customWidth="1"/>
    <col min="19" max="19" width="19.140625" style="47" customWidth="1"/>
  </cols>
  <sheetData>
    <row r="1" spans="1:19" ht="18.75" x14ac:dyDescent="0.25">
      <c r="A1" s="9" t="s">
        <v>364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44" t="s">
        <v>461</v>
      </c>
      <c r="K1" s="13" t="s">
        <v>497</v>
      </c>
      <c r="L1" s="13" t="s">
        <v>498</v>
      </c>
      <c r="M1" s="13" t="s">
        <v>499</v>
      </c>
      <c r="N1" s="13" t="s">
        <v>500</v>
      </c>
      <c r="O1" s="13" t="s">
        <v>508</v>
      </c>
      <c r="P1" s="13" t="s">
        <v>501</v>
      </c>
      <c r="Q1" s="13" t="s">
        <v>502</v>
      </c>
      <c r="R1" s="13" t="s">
        <v>503</v>
      </c>
      <c r="S1" s="13" t="s">
        <v>505</v>
      </c>
    </row>
    <row r="2" spans="1:19" ht="15.75" x14ac:dyDescent="0.25">
      <c r="A2" s="21">
        <v>1</v>
      </c>
      <c r="B2" s="22" t="s">
        <v>30</v>
      </c>
      <c r="C2" s="22" t="s">
        <v>31</v>
      </c>
      <c r="D2" s="23">
        <v>81.599999999999994</v>
      </c>
      <c r="E2" s="23">
        <v>192</v>
      </c>
      <c r="F2" s="23">
        <v>33</v>
      </c>
      <c r="G2" s="24" t="s">
        <v>32</v>
      </c>
      <c r="H2" s="24" t="s">
        <v>33</v>
      </c>
      <c r="I2" s="25">
        <v>25</v>
      </c>
      <c r="J2" s="45" t="s">
        <v>463</v>
      </c>
      <c r="K2" s="47">
        <v>24</v>
      </c>
      <c r="L2" s="47" t="s">
        <v>506</v>
      </c>
      <c r="M2" s="47">
        <v>4</v>
      </c>
      <c r="N2" s="47" t="s">
        <v>507</v>
      </c>
      <c r="O2" s="47" t="s">
        <v>509</v>
      </c>
      <c r="P2" s="47" t="s">
        <v>504</v>
      </c>
      <c r="Q2" s="47">
        <v>4</v>
      </c>
      <c r="R2" s="47">
        <v>5</v>
      </c>
      <c r="S2" s="47" t="s">
        <v>506</v>
      </c>
    </row>
    <row r="3" spans="1:19" ht="15.75" x14ac:dyDescent="0.25">
      <c r="A3" s="21">
        <v>2</v>
      </c>
      <c r="B3" s="22" t="s">
        <v>35</v>
      </c>
      <c r="C3" s="22" t="s">
        <v>36</v>
      </c>
      <c r="D3" s="23">
        <v>64</v>
      </c>
      <c r="E3" s="23">
        <v>173</v>
      </c>
      <c r="F3" s="23">
        <v>23</v>
      </c>
      <c r="G3" s="24" t="s">
        <v>32</v>
      </c>
      <c r="H3" s="24" t="s">
        <v>33</v>
      </c>
      <c r="I3" s="24">
        <v>25</v>
      </c>
      <c r="J3" s="45" t="s">
        <v>463</v>
      </c>
      <c r="K3" s="47" t="s">
        <v>509</v>
      </c>
      <c r="L3" s="11" t="s">
        <v>507</v>
      </c>
      <c r="M3" s="47">
        <v>6</v>
      </c>
      <c r="N3" s="47" t="s">
        <v>506</v>
      </c>
      <c r="O3" s="47" t="s">
        <v>510</v>
      </c>
      <c r="Q3" s="47">
        <v>1</v>
      </c>
      <c r="R3" s="47">
        <v>3</v>
      </c>
      <c r="S3" s="47" t="s">
        <v>506</v>
      </c>
    </row>
    <row r="4" spans="1:19" ht="15.75" x14ac:dyDescent="0.25">
      <c r="A4" s="10">
        <v>3</v>
      </c>
      <c r="B4" s="3" t="s">
        <v>37</v>
      </c>
      <c r="C4" s="3" t="s">
        <v>38</v>
      </c>
      <c r="D4" s="6">
        <v>65</v>
      </c>
      <c r="E4" s="6">
        <v>171</v>
      </c>
      <c r="F4" s="6">
        <v>26</v>
      </c>
      <c r="G4" s="11" t="s">
        <v>32</v>
      </c>
      <c r="H4" s="11" t="s">
        <v>33</v>
      </c>
      <c r="I4" s="11">
        <v>25</v>
      </c>
      <c r="J4" s="45" t="s">
        <v>463</v>
      </c>
      <c r="K4" s="47">
        <v>28</v>
      </c>
      <c r="L4" s="47" t="s">
        <v>506</v>
      </c>
      <c r="M4" s="47">
        <v>4</v>
      </c>
      <c r="N4" s="47" t="s">
        <v>506</v>
      </c>
      <c r="O4" s="47" t="s">
        <v>511</v>
      </c>
      <c r="Q4" s="47">
        <v>7</v>
      </c>
      <c r="R4" s="47">
        <v>7</v>
      </c>
      <c r="S4" s="47" t="s">
        <v>506</v>
      </c>
    </row>
    <row r="5" spans="1:19" ht="15.75" x14ac:dyDescent="0.25">
      <c r="A5" s="21">
        <v>4</v>
      </c>
      <c r="B5" s="22" t="s">
        <v>39</v>
      </c>
      <c r="C5" s="22" t="s">
        <v>40</v>
      </c>
      <c r="D5" s="23">
        <v>68.3</v>
      </c>
      <c r="E5" s="23">
        <v>170</v>
      </c>
      <c r="F5" s="23">
        <v>24</v>
      </c>
      <c r="G5" s="24" t="s">
        <v>32</v>
      </c>
      <c r="H5" s="24" t="s">
        <v>33</v>
      </c>
      <c r="I5" s="24">
        <v>25</v>
      </c>
      <c r="J5" s="45" t="s">
        <v>463</v>
      </c>
      <c r="K5" s="47" t="s">
        <v>509</v>
      </c>
      <c r="L5" s="47" t="s">
        <v>507</v>
      </c>
      <c r="M5" s="47">
        <v>5</v>
      </c>
      <c r="N5" s="47" t="s">
        <v>507</v>
      </c>
      <c r="O5" s="47" t="s">
        <v>509</v>
      </c>
      <c r="Q5" s="47">
        <v>8</v>
      </c>
      <c r="R5" s="47">
        <v>7</v>
      </c>
      <c r="S5" s="47" t="s">
        <v>506</v>
      </c>
    </row>
    <row r="6" spans="1:19" ht="15.75" x14ac:dyDescent="0.25">
      <c r="A6" s="21">
        <v>5</v>
      </c>
      <c r="B6" s="22" t="s">
        <v>41</v>
      </c>
      <c r="C6" s="22" t="s">
        <v>42</v>
      </c>
      <c r="D6" s="23">
        <v>82.6</v>
      </c>
      <c r="E6" s="23">
        <v>183</v>
      </c>
      <c r="F6" s="23">
        <v>20</v>
      </c>
      <c r="G6" s="24" t="s">
        <v>32</v>
      </c>
      <c r="H6" s="24" t="s">
        <v>33</v>
      </c>
      <c r="I6" s="24">
        <v>27</v>
      </c>
      <c r="J6" s="45" t="s">
        <v>463</v>
      </c>
      <c r="K6" s="47">
        <v>29</v>
      </c>
      <c r="L6" s="47" t="s">
        <v>506</v>
      </c>
      <c r="M6" s="47">
        <v>5</v>
      </c>
      <c r="N6" s="47" t="s">
        <v>506</v>
      </c>
      <c r="O6" s="47" t="s">
        <v>512</v>
      </c>
      <c r="Q6" s="47">
        <v>1</v>
      </c>
      <c r="R6" s="47">
        <v>5</v>
      </c>
      <c r="S6" s="47" t="s">
        <v>507</v>
      </c>
    </row>
    <row r="7" spans="1:19" ht="15.75" x14ac:dyDescent="0.25">
      <c r="A7" s="21">
        <v>6</v>
      </c>
      <c r="B7" s="22" t="s">
        <v>43</v>
      </c>
      <c r="C7" s="22" t="s">
        <v>44</v>
      </c>
      <c r="D7" s="23">
        <v>60</v>
      </c>
      <c r="E7" s="23">
        <v>160</v>
      </c>
      <c r="F7" s="23">
        <v>27</v>
      </c>
      <c r="G7" s="24" t="s">
        <v>45</v>
      </c>
      <c r="H7" s="24" t="s">
        <v>33</v>
      </c>
      <c r="I7" s="24">
        <v>24</v>
      </c>
      <c r="J7" s="45" t="s">
        <v>463</v>
      </c>
      <c r="K7" s="47" t="s">
        <v>509</v>
      </c>
      <c r="L7" s="47" t="s">
        <v>507</v>
      </c>
      <c r="M7" s="47" t="s">
        <v>509</v>
      </c>
      <c r="N7" s="47" t="s">
        <v>506</v>
      </c>
      <c r="O7" s="47" t="s">
        <v>512</v>
      </c>
      <c r="P7" s="47" t="s">
        <v>509</v>
      </c>
      <c r="Q7" s="47" t="s">
        <v>509</v>
      </c>
      <c r="R7" s="47" t="s">
        <v>509</v>
      </c>
      <c r="S7" s="47" t="s">
        <v>509</v>
      </c>
    </row>
    <row r="8" spans="1:19" ht="15.75" x14ac:dyDescent="0.25">
      <c r="A8" s="10">
        <v>7</v>
      </c>
      <c r="B8" s="3" t="s">
        <v>46</v>
      </c>
      <c r="C8" s="3" t="s">
        <v>47</v>
      </c>
      <c r="D8" s="6">
        <v>60</v>
      </c>
      <c r="E8" s="6">
        <v>170</v>
      </c>
      <c r="F8" s="6">
        <v>33</v>
      </c>
      <c r="G8" s="11" t="s">
        <v>32</v>
      </c>
      <c r="H8" s="11" t="s">
        <v>33</v>
      </c>
      <c r="I8" s="11">
        <v>25</v>
      </c>
      <c r="J8" s="45" t="s">
        <v>463</v>
      </c>
      <c r="K8" s="47">
        <v>28</v>
      </c>
      <c r="L8" s="47" t="s">
        <v>506</v>
      </c>
      <c r="M8" s="47">
        <v>7</v>
      </c>
      <c r="N8" s="47" t="s">
        <v>507</v>
      </c>
      <c r="O8" s="47" t="s">
        <v>509</v>
      </c>
      <c r="Q8" s="47">
        <v>0</v>
      </c>
      <c r="R8" s="47">
        <v>2</v>
      </c>
      <c r="S8" s="47" t="s">
        <v>507</v>
      </c>
    </row>
    <row r="9" spans="1:19" ht="15.75" x14ac:dyDescent="0.25">
      <c r="A9" s="10">
        <v>8</v>
      </c>
      <c r="B9" s="3" t="s">
        <v>48</v>
      </c>
      <c r="C9" s="3" t="s">
        <v>49</v>
      </c>
      <c r="D9" s="6">
        <v>69.099999999999994</v>
      </c>
      <c r="E9" s="6">
        <v>173</v>
      </c>
      <c r="F9" s="6">
        <v>27</v>
      </c>
      <c r="G9" s="11" t="s">
        <v>32</v>
      </c>
      <c r="H9" s="11" t="s">
        <v>33</v>
      </c>
      <c r="I9" s="11">
        <v>25</v>
      </c>
      <c r="J9" s="45" t="s">
        <v>463</v>
      </c>
      <c r="K9" s="47">
        <v>28</v>
      </c>
      <c r="L9" s="47" t="s">
        <v>506</v>
      </c>
      <c r="M9" s="47">
        <v>4</v>
      </c>
      <c r="N9" s="47" t="s">
        <v>507</v>
      </c>
      <c r="O9" s="47" t="s">
        <v>509</v>
      </c>
      <c r="P9" s="47" t="s">
        <v>513</v>
      </c>
      <c r="Q9" s="47">
        <v>2</v>
      </c>
      <c r="R9" s="47">
        <v>5</v>
      </c>
      <c r="S9" s="47" t="s">
        <v>506</v>
      </c>
    </row>
    <row r="10" spans="1:19" ht="15.75" x14ac:dyDescent="0.25">
      <c r="A10" s="21">
        <v>9</v>
      </c>
      <c r="B10" s="22" t="s">
        <v>50</v>
      </c>
      <c r="C10" s="22" t="s">
        <v>51</v>
      </c>
      <c r="D10" s="23">
        <v>70.2</v>
      </c>
      <c r="E10" s="23">
        <v>171</v>
      </c>
      <c r="F10" s="23">
        <v>21</v>
      </c>
      <c r="G10" s="24" t="s">
        <v>32</v>
      </c>
      <c r="H10" s="24" t="s">
        <v>33</v>
      </c>
      <c r="I10" s="24">
        <v>27</v>
      </c>
      <c r="J10" s="45" t="s">
        <v>463</v>
      </c>
      <c r="K10" s="47">
        <v>30</v>
      </c>
      <c r="L10" s="47" t="s">
        <v>506</v>
      </c>
      <c r="M10" s="47">
        <v>7</v>
      </c>
      <c r="N10" s="47" t="s">
        <v>507</v>
      </c>
      <c r="O10" s="47" t="s">
        <v>509</v>
      </c>
      <c r="Q10" s="47">
        <v>0</v>
      </c>
      <c r="R10" s="47">
        <v>10</v>
      </c>
      <c r="S10" s="47" t="s">
        <v>506</v>
      </c>
    </row>
    <row r="11" spans="1:19" ht="15.75" x14ac:dyDescent="0.25">
      <c r="A11" s="10">
        <v>10</v>
      </c>
      <c r="B11" s="3" t="s">
        <v>52</v>
      </c>
      <c r="C11" s="3" t="s">
        <v>53</v>
      </c>
      <c r="D11" s="6">
        <v>74.900000000000006</v>
      </c>
      <c r="E11" s="6">
        <v>177</v>
      </c>
      <c r="F11" s="6">
        <v>20</v>
      </c>
      <c r="G11" s="11" t="s">
        <v>32</v>
      </c>
      <c r="H11" s="11" t="s">
        <v>33</v>
      </c>
      <c r="I11" s="11">
        <v>27</v>
      </c>
      <c r="J11" s="45" t="s">
        <v>463</v>
      </c>
      <c r="K11" s="47">
        <v>28</v>
      </c>
      <c r="L11" s="47" t="s">
        <v>506</v>
      </c>
      <c r="M11" s="47">
        <v>4</v>
      </c>
      <c r="N11" s="47" t="s">
        <v>506</v>
      </c>
      <c r="O11" s="47" t="s">
        <v>512</v>
      </c>
      <c r="Q11" s="47">
        <v>4</v>
      </c>
      <c r="R11" s="47">
        <v>6</v>
      </c>
      <c r="S11" s="47" t="s">
        <v>506</v>
      </c>
    </row>
    <row r="12" spans="1:19" ht="15.75" x14ac:dyDescent="0.25">
      <c r="A12" s="21">
        <v>11</v>
      </c>
      <c r="B12" s="22" t="s">
        <v>54</v>
      </c>
      <c r="C12" s="22" t="s">
        <v>55</v>
      </c>
      <c r="D12" s="23">
        <v>63.6</v>
      </c>
      <c r="E12" s="23">
        <v>168</v>
      </c>
      <c r="F12" s="23">
        <v>24</v>
      </c>
      <c r="G12" s="24" t="s">
        <v>32</v>
      </c>
      <c r="H12" s="24" t="s">
        <v>33</v>
      </c>
      <c r="I12" s="24">
        <v>27</v>
      </c>
      <c r="J12" s="45" t="s">
        <v>463</v>
      </c>
      <c r="K12" s="47">
        <v>28</v>
      </c>
      <c r="L12" s="47" t="s">
        <v>506</v>
      </c>
      <c r="M12" s="47">
        <v>4</v>
      </c>
      <c r="N12" s="47" t="s">
        <v>507</v>
      </c>
      <c r="O12" s="47" t="s">
        <v>509</v>
      </c>
      <c r="P12" s="47" t="s">
        <v>504</v>
      </c>
      <c r="Q12" s="47">
        <v>1</v>
      </c>
      <c r="R12" s="47">
        <v>1</v>
      </c>
      <c r="S12" s="47" t="s">
        <v>507</v>
      </c>
    </row>
    <row r="13" spans="1:19" ht="15.75" x14ac:dyDescent="0.25">
      <c r="A13" s="21">
        <v>12</v>
      </c>
      <c r="B13" s="22" t="s">
        <v>56</v>
      </c>
      <c r="C13" s="22" t="s">
        <v>57</v>
      </c>
      <c r="D13" s="23">
        <v>49.8</v>
      </c>
      <c r="E13" s="23">
        <v>160</v>
      </c>
      <c r="F13" s="23">
        <v>20</v>
      </c>
      <c r="G13" s="24" t="s">
        <v>45</v>
      </c>
      <c r="H13" s="24" t="s">
        <v>33</v>
      </c>
      <c r="I13" s="24">
        <v>24</v>
      </c>
      <c r="J13" s="45" t="s">
        <v>463</v>
      </c>
      <c r="K13" s="47">
        <v>28</v>
      </c>
      <c r="L13" s="47" t="s">
        <v>506</v>
      </c>
      <c r="M13" s="47">
        <v>5</v>
      </c>
      <c r="N13" s="47" t="s">
        <v>507</v>
      </c>
      <c r="O13" s="47" t="s">
        <v>509</v>
      </c>
      <c r="P13" s="47" t="s">
        <v>513</v>
      </c>
      <c r="Q13" s="47">
        <v>1</v>
      </c>
      <c r="R13" s="47">
        <v>3</v>
      </c>
      <c r="S13" s="47" t="s">
        <v>506</v>
      </c>
    </row>
    <row r="14" spans="1:19" ht="15.75" x14ac:dyDescent="0.25">
      <c r="A14" s="21">
        <v>13</v>
      </c>
      <c r="B14" s="22" t="s">
        <v>58</v>
      </c>
      <c r="C14" s="22" t="s">
        <v>59</v>
      </c>
      <c r="D14" s="23">
        <v>74</v>
      </c>
      <c r="E14" s="23">
        <v>184</v>
      </c>
      <c r="F14" s="23">
        <v>20</v>
      </c>
      <c r="G14" s="24" t="s">
        <v>32</v>
      </c>
      <c r="H14" s="24" t="s">
        <v>33</v>
      </c>
      <c r="I14" s="24">
        <v>25</v>
      </c>
      <c r="J14" s="45" t="s">
        <v>463</v>
      </c>
      <c r="K14" s="47">
        <v>26</v>
      </c>
      <c r="L14" s="47" t="s">
        <v>507</v>
      </c>
      <c r="M14" s="47">
        <v>6</v>
      </c>
      <c r="N14" s="47" t="s">
        <v>506</v>
      </c>
      <c r="O14" s="47" t="s">
        <v>512</v>
      </c>
      <c r="P14" s="47" t="s">
        <v>513</v>
      </c>
      <c r="Q14" s="47">
        <v>6</v>
      </c>
      <c r="R14" s="47">
        <v>6</v>
      </c>
      <c r="S14" s="47" t="s">
        <v>506</v>
      </c>
    </row>
    <row r="15" spans="1:19" ht="15.75" x14ac:dyDescent="0.25">
      <c r="A15" s="10">
        <v>14</v>
      </c>
      <c r="B15" s="3" t="s">
        <v>60</v>
      </c>
      <c r="C15" s="3" t="s">
        <v>61</v>
      </c>
      <c r="D15" s="6">
        <v>61.7</v>
      </c>
      <c r="E15" s="6">
        <v>177</v>
      </c>
      <c r="F15" s="6">
        <v>21</v>
      </c>
      <c r="G15" s="11" t="s">
        <v>32</v>
      </c>
      <c r="H15" s="11" t="s">
        <v>33</v>
      </c>
      <c r="I15" s="11">
        <v>25</v>
      </c>
      <c r="J15" s="45" t="s">
        <v>463</v>
      </c>
      <c r="K15" s="47">
        <v>28</v>
      </c>
      <c r="L15" s="47" t="s">
        <v>507</v>
      </c>
      <c r="M15" s="47">
        <v>5</v>
      </c>
      <c r="N15" s="47" t="s">
        <v>506</v>
      </c>
      <c r="O15" s="47" t="s">
        <v>512</v>
      </c>
      <c r="Q15" s="47">
        <v>7</v>
      </c>
      <c r="R15" s="47">
        <v>5</v>
      </c>
      <c r="S15" s="47" t="s">
        <v>507</v>
      </c>
    </row>
    <row r="16" spans="1:19" ht="15.75" x14ac:dyDescent="0.25">
      <c r="A16" s="10">
        <v>15</v>
      </c>
      <c r="B16" s="3" t="s">
        <v>62</v>
      </c>
      <c r="C16" s="1" t="s">
        <v>453</v>
      </c>
      <c r="D16" s="6">
        <v>76</v>
      </c>
      <c r="E16" s="6">
        <v>191</v>
      </c>
      <c r="F16" s="6">
        <v>20</v>
      </c>
      <c r="G16" s="11" t="s">
        <v>32</v>
      </c>
      <c r="H16" s="11" t="s">
        <v>63</v>
      </c>
      <c r="I16" s="11">
        <v>26</v>
      </c>
      <c r="J16" s="46" t="s">
        <v>464</v>
      </c>
      <c r="K16" s="47">
        <v>28</v>
      </c>
      <c r="L16" s="47" t="s">
        <v>506</v>
      </c>
      <c r="M16" s="47">
        <v>6</v>
      </c>
      <c r="N16" s="47" t="s">
        <v>506</v>
      </c>
      <c r="O16" s="47" t="s">
        <v>510</v>
      </c>
      <c r="P16" s="47" t="s">
        <v>513</v>
      </c>
      <c r="Q16" s="47">
        <v>2</v>
      </c>
      <c r="R16" s="47">
        <v>4</v>
      </c>
      <c r="S16" s="47" t="s">
        <v>507</v>
      </c>
    </row>
    <row r="17" spans="1:19" ht="15.75" x14ac:dyDescent="0.25">
      <c r="A17" s="21">
        <v>16</v>
      </c>
      <c r="B17" s="22" t="s">
        <v>64</v>
      </c>
      <c r="C17" s="22" t="s">
        <v>65</v>
      </c>
      <c r="D17" s="23">
        <v>58.1</v>
      </c>
      <c r="E17" s="23">
        <v>173</v>
      </c>
      <c r="F17" s="23">
        <v>20</v>
      </c>
      <c r="G17" s="24" t="s">
        <v>45</v>
      </c>
      <c r="H17" s="24" t="s">
        <v>33</v>
      </c>
      <c r="I17" s="24">
        <v>25</v>
      </c>
      <c r="J17" s="45" t="s">
        <v>463</v>
      </c>
      <c r="K17" s="47">
        <v>28</v>
      </c>
      <c r="L17" s="47" t="s">
        <v>506</v>
      </c>
      <c r="M17" s="47">
        <v>10</v>
      </c>
      <c r="N17" s="47" t="s">
        <v>506</v>
      </c>
      <c r="O17" s="47" t="s">
        <v>511</v>
      </c>
      <c r="Q17" s="47">
        <v>5</v>
      </c>
      <c r="R17" s="47">
        <v>5</v>
      </c>
      <c r="S17" s="47" t="s">
        <v>507</v>
      </c>
    </row>
    <row r="18" spans="1:19" ht="15.75" x14ac:dyDescent="0.25">
      <c r="A18" s="10">
        <v>17</v>
      </c>
      <c r="B18" s="3" t="s">
        <v>66</v>
      </c>
      <c r="C18" s="3" t="s">
        <v>67</v>
      </c>
      <c r="D18" s="3">
        <v>78</v>
      </c>
      <c r="E18" s="3">
        <v>169</v>
      </c>
      <c r="F18" s="3">
        <v>24</v>
      </c>
      <c r="G18" s="11" t="s">
        <v>32</v>
      </c>
      <c r="H18" s="11" t="s">
        <v>33</v>
      </c>
      <c r="I18" s="11">
        <v>24</v>
      </c>
      <c r="J18" s="45" t="s">
        <v>463</v>
      </c>
    </row>
    <row r="19" spans="1:19" ht="15.75" x14ac:dyDescent="0.25">
      <c r="A19" s="10">
        <v>18</v>
      </c>
      <c r="B19" s="3" t="s">
        <v>68</v>
      </c>
      <c r="C19" s="3" t="s">
        <v>69</v>
      </c>
      <c r="D19" s="6">
        <v>99</v>
      </c>
      <c r="E19" s="6">
        <v>197</v>
      </c>
      <c r="F19" s="6">
        <v>29</v>
      </c>
      <c r="G19" s="11" t="s">
        <v>32</v>
      </c>
      <c r="H19" s="11" t="s">
        <v>63</v>
      </c>
      <c r="I19" s="11">
        <v>24</v>
      </c>
      <c r="J19" s="46" t="s">
        <v>462</v>
      </c>
    </row>
    <row r="20" spans="1:19" ht="15.75" x14ac:dyDescent="0.25">
      <c r="A20" s="10">
        <v>19</v>
      </c>
      <c r="B20" s="3" t="s">
        <v>70</v>
      </c>
      <c r="C20" s="3" t="s">
        <v>71</v>
      </c>
      <c r="D20" s="6">
        <v>95</v>
      </c>
      <c r="E20" s="6">
        <v>194</v>
      </c>
      <c r="F20" s="6">
        <v>20</v>
      </c>
      <c r="G20" s="11" t="s">
        <v>32</v>
      </c>
      <c r="H20" s="11" t="s">
        <v>63</v>
      </c>
      <c r="I20" s="11">
        <v>24</v>
      </c>
      <c r="J20" s="46" t="s">
        <v>462</v>
      </c>
    </row>
    <row r="21" spans="1:19" ht="15.75" x14ac:dyDescent="0.25">
      <c r="A21" s="10">
        <v>20</v>
      </c>
      <c r="B21" s="3" t="s">
        <v>72</v>
      </c>
      <c r="C21" s="3" t="s">
        <v>73</v>
      </c>
      <c r="D21" s="6">
        <v>103</v>
      </c>
      <c r="E21" s="6">
        <v>203</v>
      </c>
      <c r="F21" s="6">
        <v>33</v>
      </c>
      <c r="G21" s="11" t="s">
        <v>32</v>
      </c>
      <c r="H21" s="11" t="s">
        <v>63</v>
      </c>
      <c r="I21" s="11">
        <v>24</v>
      </c>
      <c r="J21" s="46" t="s">
        <v>462</v>
      </c>
    </row>
    <row r="22" spans="1:19" ht="15.75" x14ac:dyDescent="0.25">
      <c r="A22" s="10">
        <v>21</v>
      </c>
      <c r="B22" s="28" t="s">
        <v>74</v>
      </c>
      <c r="C22" s="28" t="s">
        <v>75</v>
      </c>
      <c r="D22" s="29">
        <v>113</v>
      </c>
      <c r="E22" s="29">
        <v>207</v>
      </c>
      <c r="F22" s="29">
        <v>25</v>
      </c>
      <c r="G22" s="30" t="s">
        <v>32</v>
      </c>
      <c r="H22" s="30" t="s">
        <v>63</v>
      </c>
      <c r="I22" s="30">
        <v>25</v>
      </c>
      <c r="J22" s="46" t="s">
        <v>462</v>
      </c>
    </row>
    <row r="23" spans="1:19" ht="15.75" x14ac:dyDescent="0.25">
      <c r="A23" s="10">
        <v>22</v>
      </c>
      <c r="B23" s="3" t="s">
        <v>76</v>
      </c>
      <c r="C23" s="3" t="s">
        <v>77</v>
      </c>
      <c r="D23" s="6">
        <v>97</v>
      </c>
      <c r="E23" s="6">
        <v>204</v>
      </c>
      <c r="F23" s="6">
        <v>20</v>
      </c>
      <c r="G23" s="11" t="s">
        <v>32</v>
      </c>
      <c r="H23" s="11" t="s">
        <v>63</v>
      </c>
      <c r="I23" s="11">
        <v>24</v>
      </c>
      <c r="J23" s="46" t="s">
        <v>462</v>
      </c>
    </row>
    <row r="24" spans="1:19" ht="15.75" x14ac:dyDescent="0.25">
      <c r="A24" s="10">
        <v>23</v>
      </c>
      <c r="B24" s="28" t="s">
        <v>78</v>
      </c>
      <c r="C24" s="28" t="s">
        <v>79</v>
      </c>
      <c r="D24" s="28">
        <v>73</v>
      </c>
      <c r="E24" s="28">
        <v>190</v>
      </c>
      <c r="F24" s="28">
        <v>19</v>
      </c>
      <c r="G24" s="30" t="s">
        <v>32</v>
      </c>
      <c r="H24" s="30" t="s">
        <v>63</v>
      </c>
      <c r="I24" s="30">
        <v>24</v>
      </c>
      <c r="J24" s="46" t="s">
        <v>462</v>
      </c>
    </row>
    <row r="25" spans="1:19" ht="15.75" x14ac:dyDescent="0.25">
      <c r="A25" s="10">
        <v>24</v>
      </c>
      <c r="B25" s="29" t="s">
        <v>80</v>
      </c>
      <c r="C25" s="28" t="s">
        <v>81</v>
      </c>
      <c r="D25" s="29">
        <v>83</v>
      </c>
      <c r="E25" s="29">
        <v>193</v>
      </c>
      <c r="F25" s="29">
        <v>19</v>
      </c>
      <c r="G25" s="30" t="s">
        <v>32</v>
      </c>
      <c r="H25" s="30" t="s">
        <v>63</v>
      </c>
      <c r="I25" s="30">
        <v>24</v>
      </c>
      <c r="J25" s="46" t="s">
        <v>462</v>
      </c>
    </row>
    <row r="26" spans="1:19" ht="15.75" x14ac:dyDescent="0.25">
      <c r="A26" s="10">
        <v>25</v>
      </c>
      <c r="B26" s="28" t="s">
        <v>82</v>
      </c>
      <c r="C26" s="28" t="s">
        <v>83</v>
      </c>
      <c r="D26" s="29">
        <v>90</v>
      </c>
      <c r="E26" s="29">
        <v>201</v>
      </c>
      <c r="F26" s="29">
        <v>19</v>
      </c>
      <c r="G26" s="30" t="s">
        <v>32</v>
      </c>
      <c r="H26" s="30" t="s">
        <v>63</v>
      </c>
      <c r="I26" s="30">
        <v>24</v>
      </c>
      <c r="J26" s="46" t="s">
        <v>462</v>
      </c>
    </row>
    <row r="27" spans="1:19" ht="15.75" x14ac:dyDescent="0.25">
      <c r="A27" s="10">
        <v>26</v>
      </c>
      <c r="B27" s="28" t="s">
        <v>84</v>
      </c>
      <c r="C27" s="28" t="s">
        <v>85</v>
      </c>
      <c r="D27" s="29">
        <v>94</v>
      </c>
      <c r="E27" s="29">
        <v>203</v>
      </c>
      <c r="F27" s="29">
        <v>19</v>
      </c>
      <c r="G27" s="11" t="s">
        <v>45</v>
      </c>
      <c r="H27" s="11" t="s">
        <v>63</v>
      </c>
      <c r="I27" s="11">
        <v>24</v>
      </c>
      <c r="J27" s="46" t="s">
        <v>462</v>
      </c>
    </row>
    <row r="28" spans="1:19" ht="15.75" x14ac:dyDescent="0.25">
      <c r="A28" s="10">
        <v>27</v>
      </c>
      <c r="B28" s="28" t="s">
        <v>86</v>
      </c>
      <c r="C28" s="28" t="s">
        <v>87</v>
      </c>
      <c r="D28" s="29">
        <v>87</v>
      </c>
      <c r="E28" s="29">
        <v>203</v>
      </c>
      <c r="F28" s="29">
        <v>19</v>
      </c>
      <c r="G28" s="30" t="s">
        <v>32</v>
      </c>
      <c r="H28" s="30" t="s">
        <v>63</v>
      </c>
      <c r="I28" s="30">
        <v>24</v>
      </c>
      <c r="J28" s="46" t="s">
        <v>462</v>
      </c>
    </row>
    <row r="29" spans="1:19" ht="15.75" x14ac:dyDescent="0.25">
      <c r="A29" s="10">
        <v>28</v>
      </c>
      <c r="B29" s="3" t="s">
        <v>88</v>
      </c>
      <c r="C29" s="3" t="s">
        <v>89</v>
      </c>
      <c r="D29" s="6">
        <v>74</v>
      </c>
      <c r="E29" s="6">
        <v>187</v>
      </c>
      <c r="F29" s="6">
        <v>18</v>
      </c>
      <c r="G29" s="11" t="s">
        <v>32</v>
      </c>
      <c r="H29" s="11" t="s">
        <v>63</v>
      </c>
      <c r="I29" s="11">
        <v>24</v>
      </c>
      <c r="J29" s="46" t="s">
        <v>462</v>
      </c>
    </row>
    <row r="30" spans="1:19" ht="15.75" x14ac:dyDescent="0.25">
      <c r="A30" s="10">
        <v>29</v>
      </c>
      <c r="B30" s="3" t="s">
        <v>90</v>
      </c>
      <c r="C30" s="3" t="s">
        <v>91</v>
      </c>
      <c r="D30" s="6">
        <v>95</v>
      </c>
      <c r="E30" s="6">
        <v>203</v>
      </c>
      <c r="F30" s="6">
        <v>16</v>
      </c>
      <c r="G30" s="11" t="s">
        <v>32</v>
      </c>
      <c r="H30" s="11" t="s">
        <v>63</v>
      </c>
      <c r="I30" s="11">
        <v>25</v>
      </c>
      <c r="J30" s="46" t="s">
        <v>462</v>
      </c>
    </row>
    <row r="31" spans="1:19" ht="15.75" x14ac:dyDescent="0.25">
      <c r="A31" s="10">
        <v>30</v>
      </c>
      <c r="B31" s="3" t="s">
        <v>92</v>
      </c>
      <c r="C31" s="3" t="s">
        <v>93</v>
      </c>
      <c r="D31" s="6">
        <v>96</v>
      </c>
      <c r="E31" s="6">
        <v>190</v>
      </c>
      <c r="F31" s="6">
        <v>17</v>
      </c>
      <c r="G31" s="11" t="s">
        <v>32</v>
      </c>
      <c r="H31" s="11" t="s">
        <v>63</v>
      </c>
      <c r="I31" s="11">
        <v>25</v>
      </c>
      <c r="J31" s="46" t="s">
        <v>462</v>
      </c>
    </row>
    <row r="32" spans="1:19" ht="15.75" x14ac:dyDescent="0.25">
      <c r="A32" s="10">
        <v>31</v>
      </c>
      <c r="B32" s="3" t="s">
        <v>94</v>
      </c>
      <c r="C32" s="3" t="s">
        <v>95</v>
      </c>
      <c r="D32" s="6">
        <v>78</v>
      </c>
      <c r="E32" s="6">
        <v>192</v>
      </c>
      <c r="F32" s="6">
        <v>16</v>
      </c>
      <c r="G32" s="11" t="s">
        <v>32</v>
      </c>
      <c r="H32" s="11" t="s">
        <v>63</v>
      </c>
      <c r="I32" s="11">
        <v>25</v>
      </c>
      <c r="J32" s="46" t="s">
        <v>462</v>
      </c>
    </row>
    <row r="33" spans="1:10" ht="15.75" x14ac:dyDescent="0.25">
      <c r="A33" s="10">
        <v>32</v>
      </c>
      <c r="B33" s="3" t="s">
        <v>96</v>
      </c>
      <c r="C33" s="3" t="s">
        <v>97</v>
      </c>
      <c r="D33" s="6">
        <v>75</v>
      </c>
      <c r="E33" s="6">
        <v>190</v>
      </c>
      <c r="F33" s="6">
        <v>17</v>
      </c>
      <c r="G33" s="11" t="s">
        <v>32</v>
      </c>
      <c r="H33" s="11" t="s">
        <v>63</v>
      </c>
      <c r="I33" s="11">
        <v>25</v>
      </c>
      <c r="J33" s="46" t="s">
        <v>462</v>
      </c>
    </row>
    <row r="34" spans="1:10" ht="15.75" x14ac:dyDescent="0.25">
      <c r="A34" s="10">
        <v>33</v>
      </c>
      <c r="B34" s="3" t="s">
        <v>98</v>
      </c>
      <c r="C34" s="3" t="s">
        <v>99</v>
      </c>
      <c r="D34" s="6">
        <v>85</v>
      </c>
      <c r="E34" s="6">
        <v>194</v>
      </c>
      <c r="F34" s="6">
        <v>16</v>
      </c>
      <c r="G34" s="11" t="s">
        <v>32</v>
      </c>
      <c r="H34" s="11" t="s">
        <v>63</v>
      </c>
      <c r="I34" s="11">
        <v>25</v>
      </c>
      <c r="J34" s="46" t="s">
        <v>462</v>
      </c>
    </row>
    <row r="35" spans="1:10" ht="15.75" x14ac:dyDescent="0.25">
      <c r="A35" s="10">
        <v>34</v>
      </c>
      <c r="B35" s="3" t="s">
        <v>100</v>
      </c>
      <c r="C35" s="3" t="s">
        <v>101</v>
      </c>
      <c r="D35" s="6">
        <v>83</v>
      </c>
      <c r="E35" s="6">
        <v>199</v>
      </c>
      <c r="F35" s="6">
        <v>16</v>
      </c>
      <c r="G35" s="11" t="s">
        <v>32</v>
      </c>
      <c r="H35" s="11" t="s">
        <v>63</v>
      </c>
      <c r="I35" s="11">
        <v>25</v>
      </c>
      <c r="J35" s="46" t="s">
        <v>462</v>
      </c>
    </row>
    <row r="36" spans="1:10" ht="15.75" x14ac:dyDescent="0.25">
      <c r="A36" s="10">
        <v>35</v>
      </c>
      <c r="B36" s="3" t="s">
        <v>102</v>
      </c>
      <c r="C36" s="3" t="s">
        <v>103</v>
      </c>
      <c r="D36" s="6">
        <v>77</v>
      </c>
      <c r="E36" s="6">
        <v>183</v>
      </c>
      <c r="F36" s="6">
        <v>28</v>
      </c>
      <c r="G36" s="12" t="s">
        <v>32</v>
      </c>
      <c r="H36" s="12" t="s">
        <v>63</v>
      </c>
      <c r="I36" s="12">
        <v>25</v>
      </c>
      <c r="J36" s="45" t="s">
        <v>464</v>
      </c>
    </row>
    <row r="37" spans="1:10" ht="15.75" x14ac:dyDescent="0.25">
      <c r="A37" s="10">
        <v>36</v>
      </c>
      <c r="B37" s="3" t="s">
        <v>104</v>
      </c>
      <c r="C37" s="3" t="s">
        <v>105</v>
      </c>
      <c r="D37" s="6">
        <v>73</v>
      </c>
      <c r="E37" s="6">
        <v>190</v>
      </c>
      <c r="F37" s="6">
        <v>17</v>
      </c>
      <c r="G37" s="12" t="s">
        <v>45</v>
      </c>
      <c r="H37" s="12" t="s">
        <v>63</v>
      </c>
      <c r="I37" s="12">
        <v>26</v>
      </c>
      <c r="J37" s="46" t="s">
        <v>462</v>
      </c>
    </row>
    <row r="38" spans="1:10" ht="15.75" x14ac:dyDescent="0.25">
      <c r="A38" s="10">
        <v>37</v>
      </c>
      <c r="B38" s="3" t="s">
        <v>106</v>
      </c>
      <c r="C38" s="3" t="s">
        <v>107</v>
      </c>
      <c r="D38" s="6">
        <v>65</v>
      </c>
      <c r="E38" s="6">
        <v>182</v>
      </c>
      <c r="F38" s="6">
        <v>17</v>
      </c>
      <c r="G38" s="12" t="s">
        <v>32</v>
      </c>
      <c r="H38" s="12" t="s">
        <v>63</v>
      </c>
      <c r="I38" s="12">
        <v>26</v>
      </c>
      <c r="J38" s="46" t="s">
        <v>462</v>
      </c>
    </row>
    <row r="39" spans="1:10" ht="15.75" x14ac:dyDescent="0.25">
      <c r="A39" s="10">
        <v>38</v>
      </c>
      <c r="B39" s="3" t="s">
        <v>108</v>
      </c>
      <c r="C39" s="3" t="s">
        <v>109</v>
      </c>
      <c r="D39" s="6">
        <v>102</v>
      </c>
      <c r="E39" s="6">
        <v>195</v>
      </c>
      <c r="F39" s="6">
        <v>17</v>
      </c>
      <c r="G39" s="12" t="s">
        <v>32</v>
      </c>
      <c r="H39" s="12" t="s">
        <v>63</v>
      </c>
      <c r="I39" s="12">
        <v>26</v>
      </c>
      <c r="J39" s="46" t="s">
        <v>462</v>
      </c>
    </row>
    <row r="40" spans="1:10" ht="15.75" x14ac:dyDescent="0.25">
      <c r="A40" s="10">
        <v>39</v>
      </c>
      <c r="B40" s="3" t="s">
        <v>110</v>
      </c>
      <c r="C40" s="3" t="s">
        <v>111</v>
      </c>
      <c r="D40" s="6">
        <v>64</v>
      </c>
      <c r="E40" s="6">
        <v>188</v>
      </c>
      <c r="F40" s="6">
        <v>16</v>
      </c>
      <c r="G40" s="12" t="s">
        <v>45</v>
      </c>
      <c r="H40" s="12" t="s">
        <v>63</v>
      </c>
      <c r="I40" s="12">
        <v>26</v>
      </c>
      <c r="J40" s="46" t="s">
        <v>462</v>
      </c>
    </row>
    <row r="41" spans="1:10" ht="15.75" x14ac:dyDescent="0.25">
      <c r="A41" s="10">
        <v>40</v>
      </c>
      <c r="B41" s="3" t="s">
        <v>113</v>
      </c>
      <c r="C41" s="3" t="s">
        <v>114</v>
      </c>
      <c r="D41" s="6">
        <v>87</v>
      </c>
      <c r="E41" s="6">
        <v>187</v>
      </c>
      <c r="F41" s="6">
        <v>20</v>
      </c>
      <c r="G41" s="12" t="s">
        <v>32</v>
      </c>
      <c r="H41" s="12" t="s">
        <v>63</v>
      </c>
      <c r="I41" s="12">
        <v>23</v>
      </c>
      <c r="J41" s="46" t="s">
        <v>462</v>
      </c>
    </row>
    <row r="42" spans="1:10" ht="15.75" x14ac:dyDescent="0.25">
      <c r="A42" s="10">
        <v>41</v>
      </c>
      <c r="B42" s="3" t="s">
        <v>115</v>
      </c>
      <c r="C42" s="3" t="s">
        <v>115</v>
      </c>
      <c r="D42" s="6">
        <v>73</v>
      </c>
      <c r="E42" s="6">
        <v>171</v>
      </c>
      <c r="F42" s="6">
        <v>19</v>
      </c>
      <c r="G42" s="12" t="s">
        <v>32</v>
      </c>
      <c r="H42" s="12" t="s">
        <v>33</v>
      </c>
      <c r="I42" s="12">
        <v>24</v>
      </c>
      <c r="J42" s="45" t="s">
        <v>465</v>
      </c>
    </row>
    <row r="43" spans="1:10" ht="15.75" x14ac:dyDescent="0.25">
      <c r="A43" s="10">
        <v>42</v>
      </c>
      <c r="B43" s="3" t="s">
        <v>116</v>
      </c>
      <c r="C43" s="3" t="s">
        <v>117</v>
      </c>
      <c r="D43" s="6">
        <v>62.4</v>
      </c>
      <c r="E43" s="6">
        <v>175</v>
      </c>
      <c r="F43" s="6">
        <v>20</v>
      </c>
      <c r="G43" s="12" t="s">
        <v>45</v>
      </c>
      <c r="H43" s="12" t="s">
        <v>63</v>
      </c>
      <c r="I43" s="12">
        <v>26</v>
      </c>
      <c r="J43" s="45" t="s">
        <v>466</v>
      </c>
    </row>
    <row r="44" spans="1:10" ht="15.75" x14ac:dyDescent="0.25">
      <c r="A44" s="10">
        <v>43</v>
      </c>
      <c r="B44" s="3" t="s">
        <v>118</v>
      </c>
      <c r="C44" s="3" t="s">
        <v>119</v>
      </c>
      <c r="D44" s="6">
        <v>77</v>
      </c>
      <c r="E44" s="6">
        <v>184</v>
      </c>
      <c r="F44" s="6">
        <v>19</v>
      </c>
      <c r="G44" s="12" t="s">
        <v>45</v>
      </c>
      <c r="H44" s="12" t="s">
        <v>63</v>
      </c>
      <c r="I44" s="12">
        <v>21</v>
      </c>
      <c r="J44" s="45" t="s">
        <v>466</v>
      </c>
    </row>
    <row r="45" spans="1:10" ht="15.75" x14ac:dyDescent="0.25">
      <c r="A45" s="10">
        <v>44</v>
      </c>
      <c r="B45" s="3" t="s">
        <v>120</v>
      </c>
      <c r="C45" s="3" t="s">
        <v>121</v>
      </c>
      <c r="D45" s="6">
        <v>72</v>
      </c>
      <c r="E45" s="6">
        <v>178</v>
      </c>
      <c r="F45" s="6">
        <v>22</v>
      </c>
      <c r="G45" s="12" t="s">
        <v>32</v>
      </c>
      <c r="H45" s="12" t="s">
        <v>63</v>
      </c>
      <c r="I45" s="12">
        <v>21</v>
      </c>
      <c r="J45" s="45" t="s">
        <v>466</v>
      </c>
    </row>
    <row r="46" spans="1:10" ht="15.75" x14ac:dyDescent="0.25">
      <c r="A46" s="10">
        <v>45</v>
      </c>
      <c r="B46" s="3" t="s">
        <v>122</v>
      </c>
      <c r="C46" s="3" t="s">
        <v>123</v>
      </c>
      <c r="D46" s="6">
        <v>83</v>
      </c>
      <c r="E46" s="6">
        <v>189</v>
      </c>
      <c r="F46" s="6">
        <v>35</v>
      </c>
      <c r="G46" s="12" t="s">
        <v>32</v>
      </c>
      <c r="H46" s="12" t="s">
        <v>63</v>
      </c>
      <c r="I46" s="12">
        <v>20</v>
      </c>
      <c r="J46" s="45" t="s">
        <v>466</v>
      </c>
    </row>
    <row r="47" spans="1:10" ht="15.75" x14ac:dyDescent="0.25">
      <c r="A47" s="10">
        <v>46</v>
      </c>
      <c r="B47" s="3" t="s">
        <v>124</v>
      </c>
      <c r="C47" s="3" t="s">
        <v>125</v>
      </c>
      <c r="D47" s="6">
        <v>69</v>
      </c>
      <c r="E47" s="6">
        <v>179</v>
      </c>
      <c r="F47" s="6">
        <v>19</v>
      </c>
      <c r="G47" s="12" t="s">
        <v>32</v>
      </c>
      <c r="H47" s="12" t="s">
        <v>63</v>
      </c>
      <c r="I47" s="12">
        <v>20</v>
      </c>
      <c r="J47" s="45" t="s">
        <v>466</v>
      </c>
    </row>
    <row r="48" spans="1:10" ht="15.75" x14ac:dyDescent="0.25">
      <c r="A48" s="10">
        <v>47</v>
      </c>
      <c r="B48" s="3" t="s">
        <v>200</v>
      </c>
      <c r="C48" s="3" t="s">
        <v>130</v>
      </c>
      <c r="D48" s="6">
        <v>64</v>
      </c>
      <c r="E48" s="6">
        <v>175</v>
      </c>
      <c r="F48" s="6">
        <v>21</v>
      </c>
      <c r="G48" s="12" t="s">
        <v>45</v>
      </c>
      <c r="H48" s="12" t="s">
        <v>63</v>
      </c>
      <c r="I48" s="12">
        <v>19</v>
      </c>
      <c r="J48" s="45" t="s">
        <v>466</v>
      </c>
    </row>
    <row r="49" spans="1:10" ht="15.75" x14ac:dyDescent="0.25">
      <c r="A49" s="10">
        <v>48</v>
      </c>
      <c r="B49" s="3" t="s">
        <v>328</v>
      </c>
      <c r="C49" s="3" t="s">
        <v>329</v>
      </c>
      <c r="D49" s="6">
        <v>68</v>
      </c>
      <c r="E49" s="6">
        <v>168</v>
      </c>
      <c r="F49" s="6">
        <v>27</v>
      </c>
      <c r="G49" s="12" t="s">
        <v>32</v>
      </c>
      <c r="H49" s="12" t="s">
        <v>63</v>
      </c>
      <c r="I49" s="12">
        <v>26</v>
      </c>
      <c r="J49" s="45" t="s">
        <v>466</v>
      </c>
    </row>
    <row r="50" spans="1:10" ht="15.75" x14ac:dyDescent="0.25">
      <c r="A50" s="10">
        <v>49</v>
      </c>
      <c r="B50" s="3" t="s">
        <v>331</v>
      </c>
      <c r="C50" s="3" t="s">
        <v>330</v>
      </c>
      <c r="D50" s="6">
        <v>79</v>
      </c>
      <c r="E50" s="6">
        <v>173</v>
      </c>
      <c r="F50" s="6">
        <v>23</v>
      </c>
      <c r="G50" s="12" t="s">
        <v>32</v>
      </c>
      <c r="H50" s="12" t="s">
        <v>63</v>
      </c>
      <c r="I50" s="12">
        <v>26</v>
      </c>
      <c r="J50" s="45" t="s">
        <v>466</v>
      </c>
    </row>
    <row r="51" spans="1:10" ht="15.75" x14ac:dyDescent="0.25">
      <c r="A51" s="10">
        <v>50</v>
      </c>
      <c r="B51" s="3" t="s">
        <v>333</v>
      </c>
      <c r="C51" s="3" t="s">
        <v>332</v>
      </c>
      <c r="D51" s="6">
        <v>75</v>
      </c>
      <c r="E51" s="6">
        <v>186</v>
      </c>
      <c r="F51" s="6">
        <v>24</v>
      </c>
      <c r="G51" s="12" t="s">
        <v>32</v>
      </c>
      <c r="H51" s="12" t="s">
        <v>63</v>
      </c>
      <c r="I51" s="12">
        <v>24</v>
      </c>
      <c r="J51" s="45" t="s">
        <v>466</v>
      </c>
    </row>
    <row r="52" spans="1:10" ht="15.75" x14ac:dyDescent="0.25">
      <c r="A52" s="10">
        <v>51</v>
      </c>
      <c r="B52" s="3" t="s">
        <v>335</v>
      </c>
      <c r="C52" s="3" t="s">
        <v>334</v>
      </c>
      <c r="D52" s="6">
        <v>69</v>
      </c>
      <c r="E52" s="6">
        <v>171</v>
      </c>
      <c r="F52" s="6">
        <v>29</v>
      </c>
      <c r="G52" s="12" t="s">
        <v>32</v>
      </c>
      <c r="H52" s="12" t="s">
        <v>63</v>
      </c>
      <c r="I52" s="12">
        <v>24</v>
      </c>
      <c r="J52" s="45" t="s">
        <v>466</v>
      </c>
    </row>
    <row r="53" spans="1:10" ht="15.75" x14ac:dyDescent="0.25">
      <c r="A53" s="10">
        <v>52</v>
      </c>
      <c r="B53" s="1" t="s">
        <v>339</v>
      </c>
      <c r="C53" s="3" t="s">
        <v>336</v>
      </c>
      <c r="D53" s="6">
        <v>54</v>
      </c>
      <c r="E53" s="6">
        <v>165</v>
      </c>
      <c r="F53" s="6">
        <v>34</v>
      </c>
      <c r="G53" s="12" t="s">
        <v>32</v>
      </c>
      <c r="H53" s="12" t="s">
        <v>63</v>
      </c>
      <c r="I53" s="12">
        <v>24</v>
      </c>
      <c r="J53" s="45" t="s">
        <v>466</v>
      </c>
    </row>
    <row r="54" spans="1:10" ht="15.75" x14ac:dyDescent="0.25">
      <c r="A54" s="10">
        <v>53</v>
      </c>
      <c r="B54" s="1" t="s">
        <v>338</v>
      </c>
      <c r="C54" s="1" t="s">
        <v>337</v>
      </c>
      <c r="D54" s="6">
        <v>72</v>
      </c>
      <c r="E54" s="6">
        <v>179</v>
      </c>
      <c r="F54" s="6">
        <v>23</v>
      </c>
      <c r="G54" s="12" t="s">
        <v>32</v>
      </c>
      <c r="H54" s="12" t="s">
        <v>63</v>
      </c>
      <c r="I54" s="12">
        <v>25</v>
      </c>
      <c r="J54" s="45" t="s">
        <v>466</v>
      </c>
    </row>
    <row r="55" spans="1:10" ht="15.75" x14ac:dyDescent="0.25">
      <c r="A55" s="10">
        <v>54</v>
      </c>
      <c r="B55" s="1" t="s">
        <v>341</v>
      </c>
      <c r="C55" s="1" t="s">
        <v>340</v>
      </c>
      <c r="D55" s="6">
        <v>80</v>
      </c>
      <c r="E55" s="6">
        <v>186</v>
      </c>
      <c r="F55" s="6">
        <v>28</v>
      </c>
      <c r="G55" s="12" t="s">
        <v>32</v>
      </c>
      <c r="H55" s="12" t="s">
        <v>63</v>
      </c>
      <c r="I55" s="12">
        <v>24</v>
      </c>
      <c r="J55" s="45" t="s">
        <v>466</v>
      </c>
    </row>
    <row r="56" spans="1:10" ht="15.75" x14ac:dyDescent="0.25">
      <c r="A56" s="10">
        <v>55</v>
      </c>
      <c r="B56" s="1" t="s">
        <v>343</v>
      </c>
      <c r="C56" s="1" t="s">
        <v>342</v>
      </c>
      <c r="D56" s="6">
        <v>77</v>
      </c>
      <c r="E56" s="6">
        <v>183</v>
      </c>
      <c r="F56" s="6">
        <v>21</v>
      </c>
      <c r="G56" s="12" t="s">
        <v>32</v>
      </c>
      <c r="H56" s="12" t="s">
        <v>63</v>
      </c>
      <c r="I56" s="12">
        <v>25</v>
      </c>
      <c r="J56" s="45" t="s">
        <v>466</v>
      </c>
    </row>
    <row r="57" spans="1:10" ht="15.75" x14ac:dyDescent="0.25">
      <c r="A57" s="10">
        <v>56</v>
      </c>
      <c r="B57" s="1" t="s">
        <v>345</v>
      </c>
      <c r="C57" s="1" t="s">
        <v>344</v>
      </c>
      <c r="D57" s="6">
        <v>75</v>
      </c>
      <c r="E57" s="6">
        <v>189</v>
      </c>
      <c r="F57" s="6">
        <v>34</v>
      </c>
      <c r="G57" s="12" t="s">
        <v>32</v>
      </c>
      <c r="H57" s="12" t="s">
        <v>63</v>
      </c>
      <c r="I57" s="12">
        <v>25</v>
      </c>
      <c r="J57" s="45" t="s">
        <v>466</v>
      </c>
    </row>
    <row r="58" spans="1:10" ht="15.75" x14ac:dyDescent="0.25">
      <c r="A58" s="10">
        <v>57</v>
      </c>
      <c r="B58" s="1" t="s">
        <v>346</v>
      </c>
      <c r="C58" s="1" t="s">
        <v>347</v>
      </c>
      <c r="D58" s="6">
        <v>83.5</v>
      </c>
      <c r="E58" s="6">
        <v>188</v>
      </c>
      <c r="F58" s="6">
        <v>22</v>
      </c>
      <c r="G58" s="12" t="s">
        <v>32</v>
      </c>
      <c r="H58" s="12" t="s">
        <v>63</v>
      </c>
      <c r="I58" s="12">
        <v>24</v>
      </c>
      <c r="J58" s="45" t="s">
        <v>466</v>
      </c>
    </row>
    <row r="59" spans="1:10" ht="15.75" x14ac:dyDescent="0.25">
      <c r="A59" s="10">
        <v>58</v>
      </c>
      <c r="B59" s="1" t="s">
        <v>349</v>
      </c>
      <c r="C59" s="1" t="s">
        <v>350</v>
      </c>
      <c r="D59" s="6">
        <v>68</v>
      </c>
      <c r="E59" s="6">
        <v>179</v>
      </c>
      <c r="F59" s="6">
        <v>26</v>
      </c>
      <c r="G59" s="12" t="s">
        <v>32</v>
      </c>
      <c r="H59" s="12" t="s">
        <v>63</v>
      </c>
      <c r="I59" s="12">
        <v>24</v>
      </c>
      <c r="J59" s="45" t="s">
        <v>466</v>
      </c>
    </row>
    <row r="60" spans="1:10" ht="15.75" x14ac:dyDescent="0.25">
      <c r="A60" s="10">
        <v>59</v>
      </c>
      <c r="B60" s="1" t="s">
        <v>370</v>
      </c>
      <c r="C60" s="1" t="s">
        <v>371</v>
      </c>
      <c r="D60" s="6">
        <v>85</v>
      </c>
      <c r="E60" s="6">
        <v>186</v>
      </c>
      <c r="F60" s="6">
        <v>24</v>
      </c>
      <c r="G60" s="12" t="s">
        <v>32</v>
      </c>
      <c r="H60" s="12" t="s">
        <v>63</v>
      </c>
      <c r="I60" s="12">
        <v>25</v>
      </c>
      <c r="J60" s="45" t="s">
        <v>466</v>
      </c>
    </row>
    <row r="61" spans="1:10" ht="15.75" x14ac:dyDescent="0.25">
      <c r="A61" s="10">
        <v>60</v>
      </c>
      <c r="B61" s="1" t="s">
        <v>372</v>
      </c>
      <c r="C61" s="1" t="s">
        <v>373</v>
      </c>
      <c r="D61" s="6">
        <v>60.8</v>
      </c>
      <c r="E61" s="6">
        <v>160</v>
      </c>
      <c r="F61" s="6">
        <v>29</v>
      </c>
      <c r="G61" s="12" t="s">
        <v>45</v>
      </c>
      <c r="H61" s="12" t="s">
        <v>33</v>
      </c>
      <c r="I61" s="12">
        <v>25</v>
      </c>
      <c r="J61" s="45" t="s">
        <v>463</v>
      </c>
    </row>
    <row r="62" spans="1:10" ht="15.75" x14ac:dyDescent="0.25">
      <c r="A62" s="10">
        <v>61</v>
      </c>
      <c r="B62" s="1" t="s">
        <v>374</v>
      </c>
      <c r="C62" s="1" t="s">
        <v>375</v>
      </c>
      <c r="D62" s="6">
        <v>84.5</v>
      </c>
      <c r="E62" s="6">
        <v>192</v>
      </c>
      <c r="F62" s="6">
        <v>34</v>
      </c>
      <c r="G62" s="12" t="s">
        <v>32</v>
      </c>
      <c r="H62" s="12" t="s">
        <v>33</v>
      </c>
      <c r="I62" s="12">
        <v>25</v>
      </c>
      <c r="J62" s="45" t="s">
        <v>463</v>
      </c>
    </row>
    <row r="63" spans="1:10" ht="15.75" x14ac:dyDescent="0.25">
      <c r="A63" s="10">
        <v>62</v>
      </c>
      <c r="B63" s="1" t="s">
        <v>376</v>
      </c>
      <c r="C63" s="1" t="s">
        <v>377</v>
      </c>
      <c r="D63" s="6">
        <v>64</v>
      </c>
      <c r="E63" s="6">
        <v>171</v>
      </c>
      <c r="F63" s="6">
        <v>27</v>
      </c>
      <c r="G63" s="12" t="s">
        <v>32</v>
      </c>
      <c r="H63" s="12" t="s">
        <v>33</v>
      </c>
      <c r="I63" s="12">
        <v>25</v>
      </c>
      <c r="J63" s="45" t="s">
        <v>463</v>
      </c>
    </row>
    <row r="64" spans="1:10" ht="15.75" x14ac:dyDescent="0.25">
      <c r="A64" s="10">
        <v>63</v>
      </c>
      <c r="B64" s="1" t="s">
        <v>378</v>
      </c>
      <c r="C64" s="1" t="s">
        <v>379</v>
      </c>
      <c r="D64" s="6">
        <v>70</v>
      </c>
      <c r="E64" s="6">
        <v>182</v>
      </c>
      <c r="F64" s="6">
        <v>23</v>
      </c>
      <c r="G64" s="12" t="s">
        <v>45</v>
      </c>
      <c r="H64" s="12" t="s">
        <v>33</v>
      </c>
      <c r="I64" s="12">
        <v>26</v>
      </c>
      <c r="J64" s="45" t="s">
        <v>463</v>
      </c>
    </row>
    <row r="65" spans="1:10" ht="15.75" x14ac:dyDescent="0.25">
      <c r="A65" s="10">
        <v>64</v>
      </c>
      <c r="B65" s="1" t="s">
        <v>380</v>
      </c>
      <c r="C65" s="1" t="s">
        <v>381</v>
      </c>
      <c r="D65" s="6">
        <v>72</v>
      </c>
      <c r="E65" s="6">
        <v>184</v>
      </c>
      <c r="F65" s="6">
        <v>21</v>
      </c>
      <c r="G65" s="12" t="s">
        <v>32</v>
      </c>
      <c r="H65" s="12" t="s">
        <v>33</v>
      </c>
      <c r="I65" s="12">
        <v>27</v>
      </c>
      <c r="J65" s="45" t="s">
        <v>463</v>
      </c>
    </row>
    <row r="66" spans="1:10" ht="15.75" x14ac:dyDescent="0.25">
      <c r="A66" s="10">
        <v>65</v>
      </c>
      <c r="B66" s="1" t="s">
        <v>382</v>
      </c>
      <c r="C66" s="1" t="s">
        <v>383</v>
      </c>
      <c r="D66" s="6">
        <v>60</v>
      </c>
      <c r="E66" s="6">
        <v>173</v>
      </c>
      <c r="F66" s="6">
        <v>21</v>
      </c>
      <c r="G66" s="12" t="s">
        <v>45</v>
      </c>
      <c r="H66" s="12" t="s">
        <v>33</v>
      </c>
      <c r="I66" s="12">
        <v>27</v>
      </c>
      <c r="J66" s="45" t="s">
        <v>463</v>
      </c>
    </row>
    <row r="67" spans="1:10" ht="15.75" x14ac:dyDescent="0.25">
      <c r="A67" s="10">
        <v>66</v>
      </c>
      <c r="B67" s="1" t="s">
        <v>384</v>
      </c>
      <c r="C67" s="1" t="s">
        <v>385</v>
      </c>
      <c r="D67" s="6">
        <v>70</v>
      </c>
      <c r="E67" s="6">
        <v>171</v>
      </c>
      <c r="F67" s="6">
        <v>22</v>
      </c>
      <c r="G67" s="12" t="s">
        <v>32</v>
      </c>
      <c r="H67" s="12" t="s">
        <v>33</v>
      </c>
      <c r="I67" s="12">
        <v>27</v>
      </c>
      <c r="J67" s="45" t="s">
        <v>463</v>
      </c>
    </row>
    <row r="68" spans="1:10" ht="15.75" x14ac:dyDescent="0.25">
      <c r="A68" s="10">
        <v>67</v>
      </c>
      <c r="B68" s="1" t="s">
        <v>386</v>
      </c>
      <c r="C68" s="1" t="s">
        <v>387</v>
      </c>
      <c r="D68" s="6">
        <v>68</v>
      </c>
      <c r="E68" s="6">
        <v>175</v>
      </c>
      <c r="F68" s="6">
        <v>18</v>
      </c>
      <c r="G68" s="12" t="s">
        <v>32</v>
      </c>
      <c r="H68" s="12" t="s">
        <v>33</v>
      </c>
      <c r="I68" s="12">
        <v>27</v>
      </c>
      <c r="J68" s="45" t="s">
        <v>463</v>
      </c>
    </row>
    <row r="69" spans="1:10" ht="15.75" x14ac:dyDescent="0.25">
      <c r="A69" s="10">
        <v>68</v>
      </c>
      <c r="B69" s="1" t="s">
        <v>388</v>
      </c>
      <c r="C69" s="1" t="s">
        <v>389</v>
      </c>
      <c r="D69" s="6">
        <v>73</v>
      </c>
      <c r="E69" s="6">
        <v>180</v>
      </c>
      <c r="F69" s="6">
        <v>26</v>
      </c>
      <c r="G69" s="12" t="s">
        <v>45</v>
      </c>
      <c r="H69" s="12" t="s">
        <v>33</v>
      </c>
      <c r="I69" s="12">
        <v>26</v>
      </c>
      <c r="J69" s="45" t="s">
        <v>463</v>
      </c>
    </row>
    <row r="70" spans="1:10" ht="15.75" x14ac:dyDescent="0.25">
      <c r="A70" s="10">
        <v>69</v>
      </c>
      <c r="B70" s="1" t="s">
        <v>390</v>
      </c>
      <c r="C70" s="1" t="s">
        <v>391</v>
      </c>
      <c r="D70" s="6">
        <v>65</v>
      </c>
      <c r="E70" s="6">
        <v>173</v>
      </c>
      <c r="F70" s="6">
        <v>24</v>
      </c>
      <c r="G70" s="12" t="s">
        <v>32</v>
      </c>
      <c r="H70" s="12" t="s">
        <v>33</v>
      </c>
      <c r="I70" s="12">
        <v>25</v>
      </c>
      <c r="J70" s="45" t="s">
        <v>463</v>
      </c>
    </row>
    <row r="71" spans="1:10" ht="15.75" x14ac:dyDescent="0.25">
      <c r="A71" s="10">
        <v>70</v>
      </c>
      <c r="B71" s="1" t="s">
        <v>392</v>
      </c>
      <c r="C71" s="1" t="s">
        <v>393</v>
      </c>
      <c r="D71" s="6">
        <v>64</v>
      </c>
      <c r="E71" s="6">
        <v>168</v>
      </c>
      <c r="F71" s="6">
        <v>25</v>
      </c>
      <c r="G71" s="12" t="s">
        <v>45</v>
      </c>
      <c r="H71" s="12" t="s">
        <v>33</v>
      </c>
      <c r="I71" s="12">
        <v>26</v>
      </c>
      <c r="J71" s="45" t="s">
        <v>463</v>
      </c>
    </row>
    <row r="72" spans="1:10" ht="15.75" x14ac:dyDescent="0.25">
      <c r="A72" s="10">
        <v>71</v>
      </c>
      <c r="B72" s="1" t="s">
        <v>394</v>
      </c>
      <c r="C72" s="1" t="s">
        <v>395</v>
      </c>
      <c r="D72" s="6">
        <v>60</v>
      </c>
      <c r="E72" s="6">
        <v>170</v>
      </c>
      <c r="F72" s="6">
        <v>25</v>
      </c>
      <c r="G72" s="12" t="s">
        <v>32</v>
      </c>
      <c r="H72" s="12" t="s">
        <v>33</v>
      </c>
      <c r="I72" s="12">
        <v>26</v>
      </c>
      <c r="J72" s="45" t="s">
        <v>463</v>
      </c>
    </row>
    <row r="73" spans="1:10" ht="15.75" x14ac:dyDescent="0.25">
      <c r="A73" s="10">
        <v>72</v>
      </c>
      <c r="B73" s="1" t="s">
        <v>396</v>
      </c>
      <c r="C73" s="1" t="s">
        <v>397</v>
      </c>
      <c r="D73" s="6">
        <v>49.8</v>
      </c>
      <c r="E73" s="6">
        <v>160</v>
      </c>
      <c r="F73" s="6">
        <v>21</v>
      </c>
      <c r="G73" s="12" t="s">
        <v>32</v>
      </c>
      <c r="H73" s="12" t="s">
        <v>33</v>
      </c>
      <c r="I73" s="12">
        <v>21</v>
      </c>
      <c r="J73" s="45" t="s">
        <v>463</v>
      </c>
    </row>
    <row r="74" spans="1:10" ht="15.75" x14ac:dyDescent="0.25">
      <c r="A74" s="10">
        <v>73</v>
      </c>
      <c r="B74" s="1" t="s">
        <v>398</v>
      </c>
      <c r="C74" s="1" t="s">
        <v>399</v>
      </c>
      <c r="D74" s="6">
        <v>67</v>
      </c>
      <c r="E74" s="6">
        <v>176</v>
      </c>
      <c r="F74" s="6">
        <v>20</v>
      </c>
      <c r="G74" s="12" t="s">
        <v>32</v>
      </c>
      <c r="H74" s="12" t="s">
        <v>33</v>
      </c>
      <c r="I74" s="12">
        <v>20</v>
      </c>
      <c r="J74" s="45" t="s">
        <v>463</v>
      </c>
    </row>
    <row r="75" spans="1:10" ht="15.75" x14ac:dyDescent="0.25">
      <c r="A75" s="10">
        <v>74</v>
      </c>
      <c r="B75" s="1" t="s">
        <v>400</v>
      </c>
      <c r="C75" s="1" t="s">
        <v>401</v>
      </c>
      <c r="D75" s="6">
        <v>79</v>
      </c>
      <c r="E75" s="6">
        <v>183</v>
      </c>
      <c r="F75" s="6">
        <v>24</v>
      </c>
      <c r="G75" s="12" t="s">
        <v>32</v>
      </c>
      <c r="H75" s="12" t="s">
        <v>33</v>
      </c>
      <c r="I75" s="12">
        <v>27</v>
      </c>
      <c r="J75" s="45" t="s">
        <v>463</v>
      </c>
    </row>
    <row r="76" spans="1:10" ht="15.75" x14ac:dyDescent="0.25">
      <c r="A76" s="10">
        <v>75</v>
      </c>
      <c r="B76" s="1" t="s">
        <v>402</v>
      </c>
      <c r="C76" s="1" t="s">
        <v>404</v>
      </c>
      <c r="D76" s="6">
        <v>62</v>
      </c>
      <c r="E76" s="6">
        <v>163</v>
      </c>
      <c r="F76" s="6">
        <v>21</v>
      </c>
      <c r="G76" s="12" t="s">
        <v>45</v>
      </c>
      <c r="H76" s="12" t="s">
        <v>33</v>
      </c>
      <c r="I76" s="12">
        <v>27</v>
      </c>
      <c r="J76" s="45" t="s">
        <v>463</v>
      </c>
    </row>
    <row r="77" spans="1:10" ht="15.75" x14ac:dyDescent="0.25">
      <c r="A77" s="10">
        <v>76</v>
      </c>
      <c r="B77" s="1" t="s">
        <v>422</v>
      </c>
      <c r="C77" s="1" t="s">
        <v>423</v>
      </c>
      <c r="D77" s="6">
        <v>100</v>
      </c>
      <c r="E77" s="6">
        <v>203</v>
      </c>
      <c r="F77" s="6">
        <v>30</v>
      </c>
      <c r="G77" s="12" t="s">
        <v>32</v>
      </c>
      <c r="H77" s="12" t="s">
        <v>63</v>
      </c>
      <c r="I77" s="12">
        <v>27</v>
      </c>
      <c r="J77" s="45" t="s">
        <v>467</v>
      </c>
    </row>
    <row r="78" spans="1:10" ht="15.75" x14ac:dyDescent="0.25">
      <c r="A78" s="10">
        <v>77</v>
      </c>
      <c r="B78" s="1" t="s">
        <v>424</v>
      </c>
      <c r="C78" s="1" t="s">
        <v>425</v>
      </c>
      <c r="D78" s="6">
        <v>103</v>
      </c>
      <c r="E78" s="6">
        <v>204</v>
      </c>
      <c r="F78" s="6">
        <v>32</v>
      </c>
      <c r="G78" s="12" t="s">
        <v>32</v>
      </c>
      <c r="H78" s="12" t="s">
        <v>63</v>
      </c>
      <c r="I78" s="12">
        <v>27</v>
      </c>
      <c r="J78" s="45" t="s">
        <v>467</v>
      </c>
    </row>
    <row r="79" spans="1:10" ht="15.75" x14ac:dyDescent="0.25">
      <c r="A79" s="10">
        <v>78</v>
      </c>
      <c r="B79" s="1" t="s">
        <v>426</v>
      </c>
      <c r="C79" s="1" t="s">
        <v>427</v>
      </c>
      <c r="D79" s="6">
        <v>70</v>
      </c>
      <c r="E79" s="6">
        <v>176</v>
      </c>
      <c r="F79" s="6">
        <v>24</v>
      </c>
      <c r="G79" s="12" t="s">
        <v>32</v>
      </c>
      <c r="H79" s="12" t="s">
        <v>63</v>
      </c>
      <c r="I79" s="12">
        <v>27</v>
      </c>
      <c r="J79" s="45" t="s">
        <v>467</v>
      </c>
    </row>
    <row r="80" spans="1:10" ht="15.75" x14ac:dyDescent="0.25">
      <c r="A80" s="10">
        <v>79</v>
      </c>
      <c r="B80" s="1" t="s">
        <v>428</v>
      </c>
      <c r="C80" s="1" t="s">
        <v>429</v>
      </c>
      <c r="D80" s="6">
        <v>108</v>
      </c>
      <c r="E80" s="6">
        <v>206</v>
      </c>
      <c r="F80" s="6">
        <v>30</v>
      </c>
      <c r="G80" s="12" t="s">
        <v>32</v>
      </c>
      <c r="H80" s="12" t="s">
        <v>63</v>
      </c>
      <c r="I80" s="12">
        <v>27</v>
      </c>
      <c r="J80" s="45" t="s">
        <v>467</v>
      </c>
    </row>
    <row r="81" spans="1:10" ht="15.75" x14ac:dyDescent="0.25">
      <c r="A81" s="10">
        <v>80</v>
      </c>
      <c r="B81" s="1" t="s">
        <v>430</v>
      </c>
      <c r="C81" s="1" t="s">
        <v>431</v>
      </c>
      <c r="D81" s="6">
        <v>77</v>
      </c>
      <c r="E81" s="6">
        <v>186</v>
      </c>
      <c r="F81" s="6">
        <v>28</v>
      </c>
      <c r="G81" s="12" t="s">
        <v>32</v>
      </c>
      <c r="H81" s="12" t="s">
        <v>63</v>
      </c>
      <c r="I81" s="12">
        <v>28</v>
      </c>
      <c r="J81" s="45" t="s">
        <v>467</v>
      </c>
    </row>
    <row r="82" spans="1:10" ht="15.75" x14ac:dyDescent="0.25">
      <c r="A82" s="10">
        <v>81</v>
      </c>
      <c r="B82" s="1" t="s">
        <v>432</v>
      </c>
      <c r="C82" s="1" t="s">
        <v>433</v>
      </c>
      <c r="D82" s="6">
        <v>82</v>
      </c>
      <c r="E82" s="6">
        <v>190</v>
      </c>
      <c r="F82" s="6">
        <v>31</v>
      </c>
      <c r="G82" s="12" t="s">
        <v>45</v>
      </c>
      <c r="H82" s="12" t="s">
        <v>63</v>
      </c>
      <c r="I82" s="12">
        <v>27</v>
      </c>
      <c r="J82" s="45" t="s">
        <v>467</v>
      </c>
    </row>
    <row r="83" spans="1:10" ht="15.75" x14ac:dyDescent="0.25">
      <c r="A83" s="10">
        <v>82</v>
      </c>
      <c r="B83" s="1" t="s">
        <v>434</v>
      </c>
      <c r="C83" s="1" t="s">
        <v>435</v>
      </c>
      <c r="D83" s="6">
        <v>95</v>
      </c>
      <c r="E83" s="6">
        <v>201</v>
      </c>
      <c r="F83" s="6">
        <v>20</v>
      </c>
      <c r="G83" s="12" t="s">
        <v>45</v>
      </c>
      <c r="H83" s="12" t="s">
        <v>63</v>
      </c>
      <c r="I83" s="12">
        <v>28</v>
      </c>
      <c r="J83" s="45" t="s">
        <v>467</v>
      </c>
    </row>
    <row r="84" spans="1:10" ht="15.75" x14ac:dyDescent="0.25">
      <c r="A84" s="10">
        <v>83</v>
      </c>
      <c r="B84" s="1" t="s">
        <v>436</v>
      </c>
      <c r="C84" s="1" t="s">
        <v>437</v>
      </c>
      <c r="D84" s="6">
        <v>85</v>
      </c>
      <c r="E84" s="6">
        <v>203</v>
      </c>
      <c r="F84" s="6">
        <v>20</v>
      </c>
      <c r="G84" s="12" t="s">
        <v>32</v>
      </c>
      <c r="H84" s="12" t="s">
        <v>63</v>
      </c>
      <c r="I84" s="12">
        <v>28</v>
      </c>
      <c r="J84" s="45" t="s">
        <v>467</v>
      </c>
    </row>
    <row r="85" spans="1:10" ht="15.75" x14ac:dyDescent="0.25">
      <c r="A85" s="10">
        <v>84</v>
      </c>
      <c r="B85" s="1" t="s">
        <v>438</v>
      </c>
      <c r="C85" s="1" t="s">
        <v>439</v>
      </c>
      <c r="D85" s="6">
        <v>86</v>
      </c>
      <c r="E85" s="6">
        <v>195</v>
      </c>
      <c r="F85" s="6">
        <v>20</v>
      </c>
      <c r="G85" s="12" t="s">
        <v>32</v>
      </c>
      <c r="H85" s="12" t="s">
        <v>63</v>
      </c>
      <c r="I85" s="12">
        <v>28</v>
      </c>
      <c r="J85" s="45" t="s">
        <v>467</v>
      </c>
    </row>
    <row r="86" spans="1:10" ht="15.75" x14ac:dyDescent="0.25">
      <c r="A86" s="10">
        <v>85</v>
      </c>
      <c r="B86" s="1" t="s">
        <v>440</v>
      </c>
      <c r="C86" s="1" t="s">
        <v>441</v>
      </c>
      <c r="D86" s="6">
        <v>88</v>
      </c>
      <c r="E86" s="6">
        <v>201</v>
      </c>
      <c r="F86" s="6">
        <v>20</v>
      </c>
      <c r="G86" s="12" t="s">
        <v>32</v>
      </c>
      <c r="H86" s="12" t="s">
        <v>63</v>
      </c>
      <c r="I86" s="12">
        <v>28</v>
      </c>
      <c r="J86" s="45" t="s">
        <v>467</v>
      </c>
    </row>
    <row r="87" spans="1:10" ht="15.75" x14ac:dyDescent="0.25">
      <c r="A87" s="10">
        <v>86</v>
      </c>
      <c r="B87" s="1" t="s">
        <v>442</v>
      </c>
      <c r="C87" s="1" t="s">
        <v>443</v>
      </c>
      <c r="D87" s="6">
        <v>79</v>
      </c>
      <c r="E87" s="6">
        <v>189</v>
      </c>
      <c r="F87" s="6">
        <v>20</v>
      </c>
      <c r="G87" s="12" t="s">
        <v>32</v>
      </c>
      <c r="H87" s="12" t="s">
        <v>63</v>
      </c>
      <c r="I87" s="12">
        <v>28</v>
      </c>
      <c r="J87" s="45" t="s">
        <v>467</v>
      </c>
    </row>
    <row r="88" spans="1:10" ht="15.75" x14ac:dyDescent="0.25">
      <c r="A88" s="10">
        <v>87</v>
      </c>
      <c r="B88" s="36" t="s">
        <v>471</v>
      </c>
      <c r="C88" s="36" t="s">
        <v>470</v>
      </c>
      <c r="D88" s="6">
        <v>65</v>
      </c>
      <c r="E88" s="6">
        <v>177</v>
      </c>
      <c r="F88" s="6">
        <v>20</v>
      </c>
      <c r="G88" s="12" t="s">
        <v>32</v>
      </c>
      <c r="H88" s="12" t="s">
        <v>63</v>
      </c>
      <c r="I88" s="12">
        <v>27</v>
      </c>
      <c r="J88" s="45" t="s">
        <v>466</v>
      </c>
    </row>
    <row r="89" spans="1:10" ht="15.75" x14ac:dyDescent="0.25">
      <c r="A89" s="10">
        <v>88</v>
      </c>
      <c r="B89" s="36" t="s">
        <v>472</v>
      </c>
      <c r="C89" s="40" t="s">
        <v>496</v>
      </c>
      <c r="D89" s="6">
        <v>63</v>
      </c>
      <c r="E89" s="6">
        <v>162</v>
      </c>
      <c r="F89" s="6">
        <v>35</v>
      </c>
      <c r="G89" s="12" t="s">
        <v>32</v>
      </c>
      <c r="H89" s="12" t="s">
        <v>33</v>
      </c>
      <c r="I89" s="12">
        <v>24</v>
      </c>
      <c r="J89" s="45" t="s">
        <v>467</v>
      </c>
    </row>
    <row r="90" spans="1:10" ht="15.75" x14ac:dyDescent="0.25">
      <c r="A90" s="10">
        <v>89</v>
      </c>
      <c r="B90" s="36" t="s">
        <v>474</v>
      </c>
      <c r="C90" s="36" t="s">
        <v>473</v>
      </c>
      <c r="D90" s="6">
        <v>68</v>
      </c>
      <c r="E90" s="6">
        <v>177</v>
      </c>
      <c r="F90" s="6">
        <v>33</v>
      </c>
      <c r="G90" s="12" t="s">
        <v>32</v>
      </c>
      <c r="H90" s="12" t="s">
        <v>33</v>
      </c>
      <c r="I90" s="12">
        <v>24</v>
      </c>
      <c r="J90" s="45" t="s">
        <v>467</v>
      </c>
    </row>
    <row r="91" spans="1:10" ht="15.75" x14ac:dyDescent="0.25">
      <c r="A91" s="10">
        <v>90</v>
      </c>
      <c r="B91" s="36" t="s">
        <v>476</v>
      </c>
      <c r="C91" s="36" t="s">
        <v>475</v>
      </c>
      <c r="D91" s="6">
        <v>69</v>
      </c>
      <c r="E91" s="6">
        <v>176</v>
      </c>
      <c r="F91" s="6">
        <v>22</v>
      </c>
      <c r="G91" s="12" t="s">
        <v>32</v>
      </c>
      <c r="H91" s="12" t="s">
        <v>33</v>
      </c>
      <c r="I91" s="12">
        <v>25</v>
      </c>
      <c r="J91" s="45" t="s">
        <v>467</v>
      </c>
    </row>
    <row r="92" spans="1:10" ht="15.75" x14ac:dyDescent="0.25">
      <c r="A92" s="10">
        <v>91</v>
      </c>
      <c r="B92" s="36" t="s">
        <v>478</v>
      </c>
      <c r="C92" s="36" t="s">
        <v>477</v>
      </c>
      <c r="D92" s="6">
        <v>88</v>
      </c>
      <c r="E92" s="6">
        <v>183</v>
      </c>
      <c r="F92" s="6">
        <v>21</v>
      </c>
      <c r="G92" s="12" t="s">
        <v>32</v>
      </c>
      <c r="H92" s="12" t="s">
        <v>33</v>
      </c>
      <c r="I92" s="12">
        <v>25</v>
      </c>
      <c r="J92" s="45" t="s">
        <v>467</v>
      </c>
    </row>
    <row r="93" spans="1:10" ht="15.75" x14ac:dyDescent="0.25">
      <c r="A93" s="10">
        <v>92</v>
      </c>
      <c r="B93" s="36" t="s">
        <v>480</v>
      </c>
      <c r="C93" s="36" t="s">
        <v>479</v>
      </c>
      <c r="D93" s="6">
        <v>81.3</v>
      </c>
      <c r="E93" s="6">
        <v>182</v>
      </c>
      <c r="F93" s="6">
        <v>27</v>
      </c>
      <c r="G93" s="12" t="s">
        <v>32</v>
      </c>
      <c r="H93" s="12" t="s">
        <v>33</v>
      </c>
      <c r="I93" s="12">
        <v>25</v>
      </c>
      <c r="J93" s="45" t="s">
        <v>467</v>
      </c>
    </row>
    <row r="94" spans="1:10" ht="15.75" x14ac:dyDescent="0.25">
      <c r="A94" s="10">
        <v>93</v>
      </c>
      <c r="B94" s="36" t="s">
        <v>482</v>
      </c>
      <c r="C94" s="36" t="s">
        <v>481</v>
      </c>
      <c r="D94" s="6">
        <v>85.3</v>
      </c>
      <c r="E94" s="6">
        <v>188</v>
      </c>
      <c r="F94" s="6">
        <v>33</v>
      </c>
      <c r="G94" s="12" t="s">
        <v>32</v>
      </c>
      <c r="H94" s="12" t="s">
        <v>33</v>
      </c>
      <c r="I94" s="12">
        <v>25</v>
      </c>
      <c r="J94" s="45" t="s">
        <v>467</v>
      </c>
    </row>
    <row r="95" spans="1:10" ht="15.75" x14ac:dyDescent="0.25">
      <c r="A95" s="10">
        <v>94</v>
      </c>
      <c r="B95" s="36" t="s">
        <v>484</v>
      </c>
      <c r="C95" s="36" t="s">
        <v>483</v>
      </c>
      <c r="D95" s="6">
        <v>77.099999999999994</v>
      </c>
      <c r="E95" s="6">
        <v>177</v>
      </c>
      <c r="F95" s="6">
        <v>27</v>
      </c>
      <c r="G95" s="12" t="s">
        <v>32</v>
      </c>
      <c r="H95" s="12" t="s">
        <v>33</v>
      </c>
      <c r="I95" s="12">
        <v>26</v>
      </c>
      <c r="J95" s="45" t="s">
        <v>467</v>
      </c>
    </row>
    <row r="96" spans="1:10" ht="15.75" x14ac:dyDescent="0.25">
      <c r="A96" s="10">
        <v>95</v>
      </c>
      <c r="B96" s="36" t="s">
        <v>486</v>
      </c>
      <c r="C96" s="36" t="s">
        <v>485</v>
      </c>
      <c r="D96" s="6">
        <v>75.3</v>
      </c>
      <c r="E96" s="6">
        <v>179</v>
      </c>
      <c r="F96" s="6">
        <v>23</v>
      </c>
      <c r="G96" s="12" t="s">
        <v>32</v>
      </c>
      <c r="H96" s="12" t="s">
        <v>33</v>
      </c>
      <c r="I96" s="12">
        <v>25</v>
      </c>
      <c r="J96" s="45" t="s">
        <v>467</v>
      </c>
    </row>
    <row r="97" spans="1:10" ht="15.75" x14ac:dyDescent="0.25">
      <c r="A97" s="10">
        <v>96</v>
      </c>
      <c r="B97" s="36" t="s">
        <v>488</v>
      </c>
      <c r="C97" s="36" t="s">
        <v>487</v>
      </c>
      <c r="D97" s="6">
        <v>73.8</v>
      </c>
      <c r="E97" s="6">
        <v>182</v>
      </c>
      <c r="F97" s="6">
        <v>18</v>
      </c>
      <c r="G97" s="12" t="s">
        <v>32</v>
      </c>
      <c r="H97" s="12" t="s">
        <v>33</v>
      </c>
      <c r="I97" s="12">
        <v>25</v>
      </c>
      <c r="J97" s="45" t="s">
        <v>467</v>
      </c>
    </row>
    <row r="98" spans="1:10" ht="15.75" x14ac:dyDescent="0.25">
      <c r="A98" s="10">
        <v>97</v>
      </c>
      <c r="B98" s="36" t="s">
        <v>490</v>
      </c>
      <c r="C98" s="36" t="s">
        <v>489</v>
      </c>
      <c r="D98" s="6">
        <v>75</v>
      </c>
      <c r="E98" s="6">
        <v>185</v>
      </c>
      <c r="F98" s="6">
        <v>19</v>
      </c>
      <c r="G98" s="12" t="s">
        <v>32</v>
      </c>
      <c r="H98" s="12" t="s">
        <v>63</v>
      </c>
      <c r="I98" s="12">
        <v>25</v>
      </c>
      <c r="J98" s="45" t="s">
        <v>467</v>
      </c>
    </row>
    <row r="99" spans="1:10" ht="15.75" x14ac:dyDescent="0.25">
      <c r="A99" s="10">
        <v>98</v>
      </c>
      <c r="B99" s="36" t="s">
        <v>492</v>
      </c>
      <c r="C99" s="36" t="s">
        <v>491</v>
      </c>
      <c r="D99" s="6">
        <v>87</v>
      </c>
      <c r="E99" s="6">
        <v>195</v>
      </c>
      <c r="F99" s="6">
        <v>18</v>
      </c>
      <c r="G99" s="12" t="s">
        <v>32</v>
      </c>
      <c r="H99" s="12" t="s">
        <v>63</v>
      </c>
      <c r="I99" s="12">
        <v>25</v>
      </c>
      <c r="J99" s="45" t="s">
        <v>467</v>
      </c>
    </row>
    <row r="100" spans="1:10" ht="15.75" x14ac:dyDescent="0.25">
      <c r="A100" s="10">
        <v>99</v>
      </c>
      <c r="B100" s="1" t="s">
        <v>493</v>
      </c>
      <c r="C100" s="1" t="s">
        <v>494</v>
      </c>
      <c r="D100" s="6">
        <v>86</v>
      </c>
      <c r="E100" s="6">
        <v>184</v>
      </c>
      <c r="F100" s="6">
        <v>28</v>
      </c>
      <c r="G100" s="12" t="s">
        <v>32</v>
      </c>
      <c r="H100" s="12" t="s">
        <v>63</v>
      </c>
      <c r="I100" s="12">
        <v>25</v>
      </c>
      <c r="J100" s="45" t="s">
        <v>466</v>
      </c>
    </row>
    <row r="101" spans="1:10" ht="15.75" x14ac:dyDescent="0.25">
      <c r="A101" s="10">
        <v>100</v>
      </c>
      <c r="B101" s="1" t="s">
        <v>534</v>
      </c>
      <c r="C101" s="1" t="s">
        <v>535</v>
      </c>
      <c r="D101" s="6">
        <v>71</v>
      </c>
      <c r="E101" s="6">
        <v>170</v>
      </c>
      <c r="F101" s="6">
        <v>34</v>
      </c>
      <c r="G101" s="12"/>
      <c r="H101" s="12" t="s">
        <v>63</v>
      </c>
      <c r="I101" s="12">
        <v>21</v>
      </c>
      <c r="J101" s="45" t="s">
        <v>533</v>
      </c>
    </row>
    <row r="102" spans="1:10" ht="15.75" x14ac:dyDescent="0.25">
      <c r="A102" s="10">
        <v>101</v>
      </c>
      <c r="B102" s="1" t="s">
        <v>536</v>
      </c>
      <c r="C102" s="1" t="s">
        <v>544</v>
      </c>
      <c r="D102" s="6">
        <v>70</v>
      </c>
      <c r="E102" s="6">
        <v>170</v>
      </c>
      <c r="F102" s="6">
        <v>25</v>
      </c>
      <c r="G102" s="12"/>
      <c r="H102" s="12" t="s">
        <v>63</v>
      </c>
      <c r="I102" s="12">
        <v>22</v>
      </c>
      <c r="J102" s="45" t="s">
        <v>533</v>
      </c>
    </row>
    <row r="103" spans="1:10" ht="15.75" x14ac:dyDescent="0.25">
      <c r="A103" s="10">
        <v>102</v>
      </c>
      <c r="B103" s="1" t="s">
        <v>537</v>
      </c>
      <c r="C103" s="1" t="s">
        <v>545</v>
      </c>
      <c r="D103" s="6">
        <v>79</v>
      </c>
      <c r="E103" s="6">
        <v>182</v>
      </c>
      <c r="F103" s="6">
        <v>28</v>
      </c>
      <c r="G103" s="12"/>
      <c r="H103" s="12" t="s">
        <v>63</v>
      </c>
      <c r="I103" s="12">
        <v>23</v>
      </c>
      <c r="J103" s="45" t="s">
        <v>533</v>
      </c>
    </row>
    <row r="104" spans="1:10" ht="15.75" x14ac:dyDescent="0.25">
      <c r="A104" s="10">
        <v>103</v>
      </c>
      <c r="B104" s="1" t="s">
        <v>538</v>
      </c>
      <c r="C104" s="1" t="s">
        <v>546</v>
      </c>
      <c r="D104" s="6">
        <v>74</v>
      </c>
      <c r="E104" s="6">
        <v>185</v>
      </c>
      <c r="F104" s="6">
        <v>28</v>
      </c>
      <c r="G104" s="12"/>
      <c r="H104" s="12" t="s">
        <v>63</v>
      </c>
      <c r="I104" s="12">
        <v>25</v>
      </c>
      <c r="J104" s="45" t="s">
        <v>533</v>
      </c>
    </row>
    <row r="105" spans="1:10" ht="15.75" x14ac:dyDescent="0.25">
      <c r="A105" s="10">
        <v>104</v>
      </c>
      <c r="B105" s="1" t="s">
        <v>539</v>
      </c>
      <c r="C105" s="1" t="s">
        <v>547</v>
      </c>
      <c r="D105" s="6">
        <v>68</v>
      </c>
      <c r="E105" s="6">
        <v>174</v>
      </c>
      <c r="F105" s="6">
        <v>27</v>
      </c>
      <c r="G105" s="12"/>
      <c r="H105" s="12" t="s">
        <v>33</v>
      </c>
      <c r="I105" s="12">
        <v>27</v>
      </c>
      <c r="J105" s="45" t="s">
        <v>533</v>
      </c>
    </row>
    <row r="106" spans="1:10" ht="15.75" x14ac:dyDescent="0.25">
      <c r="A106" s="10">
        <v>105</v>
      </c>
      <c r="B106" s="1" t="s">
        <v>540</v>
      </c>
      <c r="C106" s="1" t="s">
        <v>548</v>
      </c>
      <c r="D106" s="6">
        <v>76</v>
      </c>
      <c r="E106" s="6">
        <v>180</v>
      </c>
      <c r="F106" s="6">
        <v>23</v>
      </c>
      <c r="G106" s="12"/>
      <c r="H106" s="12" t="s">
        <v>63</v>
      </c>
      <c r="I106" s="12">
        <v>23</v>
      </c>
      <c r="J106" s="45" t="s">
        <v>533</v>
      </c>
    </row>
    <row r="107" spans="1:10" ht="15.75" x14ac:dyDescent="0.25">
      <c r="A107" s="10">
        <v>106</v>
      </c>
      <c r="B107" s="1" t="s">
        <v>541</v>
      </c>
      <c r="C107" s="1" t="s">
        <v>549</v>
      </c>
      <c r="D107" s="6">
        <v>79</v>
      </c>
      <c r="E107" s="6">
        <v>184</v>
      </c>
      <c r="F107" s="6">
        <v>26</v>
      </c>
      <c r="G107" s="12"/>
      <c r="H107" s="12" t="s">
        <v>63</v>
      </c>
      <c r="I107" s="12">
        <v>24</v>
      </c>
      <c r="J107" s="45" t="s">
        <v>533</v>
      </c>
    </row>
    <row r="108" spans="1:10" ht="15.75" x14ac:dyDescent="0.25">
      <c r="A108" s="10">
        <v>107</v>
      </c>
      <c r="B108" s="1" t="s">
        <v>542</v>
      </c>
      <c r="C108" s="1" t="s">
        <v>550</v>
      </c>
      <c r="D108" s="6">
        <v>66</v>
      </c>
      <c r="E108" s="6">
        <v>169</v>
      </c>
      <c r="F108" s="6">
        <v>23</v>
      </c>
      <c r="G108" s="12"/>
      <c r="H108" s="12" t="s">
        <v>63</v>
      </c>
      <c r="I108" s="12">
        <v>23</v>
      </c>
      <c r="J108" s="45" t="s">
        <v>533</v>
      </c>
    </row>
    <row r="109" spans="1:10" ht="15.75" x14ac:dyDescent="0.25">
      <c r="A109" s="10">
        <v>108</v>
      </c>
      <c r="B109" s="1" t="s">
        <v>543</v>
      </c>
      <c r="C109" s="1" t="s">
        <v>551</v>
      </c>
      <c r="D109" s="6">
        <v>67</v>
      </c>
      <c r="E109" s="6">
        <v>178</v>
      </c>
      <c r="F109" s="6">
        <v>19</v>
      </c>
      <c r="G109" s="12"/>
      <c r="H109" s="12" t="s">
        <v>63</v>
      </c>
      <c r="I109" s="12">
        <v>24</v>
      </c>
      <c r="J109" s="45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Metadonnées</vt:lpstr>
      <vt:lpstr>Questionnaires</vt:lpstr>
      <vt:lpstr>Data_Sanguines</vt:lpstr>
      <vt:lpstr>RAST_FV</vt:lpstr>
      <vt:lpstr>RAST_PF</vt:lpstr>
      <vt:lpstr>CMJ</vt:lpstr>
      <vt:lpstr>SJ</vt:lpstr>
      <vt:lpstr>DJ PRE</vt:lpstr>
      <vt:lpstr>DJ POST</vt:lpstr>
      <vt:lpstr>VO2</vt:lpstr>
      <vt:lpstr>FV Ergometre</vt:lpstr>
      <vt:lpstr>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MANGINI Adrien</dc:creator>
  <cp:lastModifiedBy>Adrien Mangini</cp:lastModifiedBy>
  <cp:lastPrinted>2024-02-08T13:12:47Z</cp:lastPrinted>
  <dcterms:created xsi:type="dcterms:W3CDTF">2024-01-30T13:56:24Z</dcterms:created>
  <dcterms:modified xsi:type="dcterms:W3CDTF">2025-01-15T10:26:00Z</dcterms:modified>
</cp:coreProperties>
</file>